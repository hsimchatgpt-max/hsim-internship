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lan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Influenc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3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6" fontId="0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4" customWidth="1" min="3" max="3"/>
    <col width="11" customWidth="1" min="4" max="4"/>
    <col width="15" customWidth="1" min="5" max="5"/>
    <col width="11" customWidth="1" min="6" max="6"/>
    <col width="13" customWidth="1" min="7" max="7"/>
    <col width="12" customWidth="1" min="8" max="8"/>
    <col width="13" customWidth="1" min="9" max="9"/>
    <col width="44" customWidth="1" min="10" max="10"/>
  </cols>
  <sheetData>
    <row r="1">
      <c r="A1" s="1" t="inlineStr">
        <is>
          <t>eie-Dubai Global Scholars' Hunt: daily ad budget plan (Rs)</t>
        </is>
      </c>
    </row>
    <row r="2">
      <c r="A2" t="inlineStr">
        <is>
          <t>Prepared by HSIM (Hindustan School of Internet Marketing) for Turning Point Studies Consultants Pvt. Ltd. Planning figures, not guarantees.</t>
        </is>
      </c>
    </row>
    <row r="4">
      <c r="A4" s="2" t="inlineStr">
        <is>
          <t>Date</t>
        </is>
      </c>
      <c r="B4" s="2" t="inlineStr">
        <is>
          <t>Day</t>
        </is>
      </c>
      <c r="C4" s="2" t="inlineStr">
        <is>
          <t>Phase</t>
        </is>
      </c>
      <c r="D4" s="2" t="inlineStr">
        <is>
          <t>Meta</t>
        </is>
      </c>
      <c r="E4" s="2" t="inlineStr">
        <is>
          <t>Google Search</t>
        </is>
      </c>
      <c r="F4" s="2" t="inlineStr">
        <is>
          <t>YouTube</t>
        </is>
      </c>
      <c r="G4" s="2" t="inlineStr">
        <is>
          <t>Retargeting</t>
        </is>
      </c>
      <c r="H4" s="2" t="inlineStr">
        <is>
          <t>Day total</t>
        </is>
      </c>
      <c r="I4" s="2" t="inlineStr">
        <is>
          <t>Cumulative</t>
        </is>
      </c>
      <c r="J4" s="2" t="inlineStr">
        <is>
          <t>Note</t>
        </is>
      </c>
    </row>
    <row r="5">
      <c r="A5" s="3" t="n">
        <v>46320</v>
      </c>
      <c r="B5" s="4" t="inlineStr">
        <is>
          <t>Sun</t>
        </is>
      </c>
      <c r="C5" s="4" t="inlineStr">
        <is>
          <t>Test</t>
        </is>
      </c>
      <c r="D5" s="5" t="n">
        <v>2200</v>
      </c>
      <c r="E5" s="5" t="n">
        <v>1000</v>
      </c>
      <c r="F5" s="5" t="n">
        <v>300</v>
      </c>
      <c r="G5" s="5" t="n">
        <v>0</v>
      </c>
      <c r="H5" s="5">
        <f>SUM(D5:G5)</f>
        <v/>
      </c>
      <c r="I5" s="5">
        <f>SUM($H$5:H5)</f>
        <v/>
      </c>
      <c r="J5" s="4" t="inlineStr">
        <is>
          <t>Ads go live; test 4 creatives x 3 audiences</t>
        </is>
      </c>
    </row>
    <row r="6">
      <c r="A6" s="3" t="n">
        <v>46321</v>
      </c>
      <c r="B6" s="4" t="inlineStr">
        <is>
          <t>Mon</t>
        </is>
      </c>
      <c r="C6" s="4" t="inlineStr">
        <is>
          <t>Test</t>
        </is>
      </c>
      <c r="D6" s="5" t="n">
        <v>2200</v>
      </c>
      <c r="E6" s="5" t="n">
        <v>1000</v>
      </c>
      <c r="F6" s="5" t="n">
        <v>300</v>
      </c>
      <c r="G6" s="5" t="n">
        <v>0</v>
      </c>
      <c r="H6" s="5">
        <f>SUM(D6:G6)</f>
        <v/>
      </c>
      <c r="I6" s="5">
        <f>SUM($H$5:H6)</f>
        <v/>
      </c>
      <c r="J6" s="4" t="inlineStr"/>
    </row>
    <row r="7">
      <c r="A7" s="3" t="n">
        <v>46322</v>
      </c>
      <c r="B7" s="4" t="inlineStr">
        <is>
          <t>Tue</t>
        </is>
      </c>
      <c r="C7" s="4" t="inlineStr">
        <is>
          <t>Test</t>
        </is>
      </c>
      <c r="D7" s="5" t="n">
        <v>2100</v>
      </c>
      <c r="E7" s="5" t="n">
        <v>1000</v>
      </c>
      <c r="F7" s="5" t="n">
        <v>400</v>
      </c>
      <c r="G7" s="5" t="n">
        <v>0</v>
      </c>
      <c r="H7" s="5">
        <f>SUM(D7:G7)</f>
        <v/>
      </c>
      <c r="I7" s="5">
        <f>SUM($H$5:H7)</f>
        <v/>
      </c>
      <c r="J7" s="4" t="inlineStr"/>
    </row>
    <row r="8">
      <c r="A8" s="3" t="n">
        <v>46323</v>
      </c>
      <c r="B8" s="4" t="inlineStr">
        <is>
          <t>Wed</t>
        </is>
      </c>
      <c r="C8" s="4" t="inlineStr">
        <is>
          <t>Learn</t>
        </is>
      </c>
      <c r="D8" s="5" t="n">
        <v>3200</v>
      </c>
      <c r="E8" s="5" t="n">
        <v>1300</v>
      </c>
      <c r="F8" s="5" t="n">
        <v>700</v>
      </c>
      <c r="G8" s="5" t="n">
        <v>800</v>
      </c>
      <c r="H8" s="5">
        <f>SUM(D8:G8)</f>
        <v/>
      </c>
      <c r="I8" s="5">
        <f>SUM($H$5:H8)</f>
        <v/>
      </c>
      <c r="J8" s="4" t="inlineStr">
        <is>
          <t>Scale winners; retargeting starts</t>
        </is>
      </c>
    </row>
    <row r="9">
      <c r="A9" s="3" t="n">
        <v>46324</v>
      </c>
      <c r="B9" s="4" t="inlineStr">
        <is>
          <t>Thu</t>
        </is>
      </c>
      <c r="C9" s="4" t="inlineStr">
        <is>
          <t>Learn</t>
        </is>
      </c>
      <c r="D9" s="5" t="n">
        <v>3200</v>
      </c>
      <c r="E9" s="5" t="n">
        <v>1300</v>
      </c>
      <c r="F9" s="5" t="n">
        <v>700</v>
      </c>
      <c r="G9" s="5" t="n">
        <v>800</v>
      </c>
      <c r="H9" s="5">
        <f>SUM(D9:G9)</f>
        <v/>
      </c>
      <c r="I9" s="5">
        <f>SUM($H$5:H9)</f>
        <v/>
      </c>
      <c r="J9" s="4" t="inlineStr"/>
    </row>
    <row r="10">
      <c r="A10" s="3" t="n">
        <v>46325</v>
      </c>
      <c r="B10" s="4" t="inlineStr">
        <is>
          <t>Fri</t>
        </is>
      </c>
      <c r="C10" s="4" t="inlineStr">
        <is>
          <t>Learn</t>
        </is>
      </c>
      <c r="D10" s="5" t="n">
        <v>3200</v>
      </c>
      <c r="E10" s="5" t="n">
        <v>1300</v>
      </c>
      <c r="F10" s="5" t="n">
        <v>700</v>
      </c>
      <c r="G10" s="5" t="n">
        <v>800</v>
      </c>
      <c r="H10" s="5">
        <f>SUM(D10:G10)</f>
        <v/>
      </c>
      <c r="I10" s="5">
        <f>SUM($H$5:H10)</f>
        <v/>
      </c>
      <c r="J10" s="4" t="inlineStr">
        <is>
          <t>Creator wave 1 starts (3 nano)</t>
        </is>
      </c>
    </row>
    <row r="11">
      <c r="A11" s="3" t="n">
        <v>46326</v>
      </c>
      <c r="B11" s="4" t="inlineStr">
        <is>
          <t>Sat</t>
        </is>
      </c>
      <c r="C11" s="4" t="inlineStr">
        <is>
          <t>Learn</t>
        </is>
      </c>
      <c r="D11" s="5" t="n">
        <v>3200</v>
      </c>
      <c r="E11" s="5" t="n">
        <v>1300</v>
      </c>
      <c r="F11" s="5" t="n">
        <v>700</v>
      </c>
      <c r="G11" s="5" t="n">
        <v>800</v>
      </c>
      <c r="H11" s="5">
        <f>SUM(D11:G11)</f>
        <v/>
      </c>
      <c r="I11" s="5">
        <f>SUM($H$5:H11)</f>
        <v/>
      </c>
      <c r="J11" s="4" t="inlineStr"/>
    </row>
    <row r="12">
      <c r="A12" s="3" t="n">
        <v>46327</v>
      </c>
      <c r="B12" s="4" t="inlineStr">
        <is>
          <t>Sun</t>
        </is>
      </c>
      <c r="C12" s="4" t="inlineStr">
        <is>
          <t>Learn</t>
        </is>
      </c>
      <c r="D12" s="5" t="n">
        <v>3200</v>
      </c>
      <c r="E12" s="5" t="n">
        <v>1300</v>
      </c>
      <c r="F12" s="5" t="n">
        <v>700</v>
      </c>
      <c r="G12" s="5" t="n">
        <v>800</v>
      </c>
      <c r="H12" s="5">
        <f>SUM(D12:G12)</f>
        <v/>
      </c>
      <c r="I12" s="5">
        <f>SUM($H$5:H12)</f>
        <v/>
      </c>
      <c r="J12" s="4" t="inlineStr"/>
    </row>
    <row r="13">
      <c r="A13" s="3" t="n">
        <v>46328</v>
      </c>
      <c r="B13" s="4" t="inlineStr">
        <is>
          <t>Mon</t>
        </is>
      </c>
      <c r="C13" s="4" t="inlineStr">
        <is>
          <t>Learn</t>
        </is>
      </c>
      <c r="D13" s="5" t="n">
        <v>3000</v>
      </c>
      <c r="E13" s="5" t="n">
        <v>1500</v>
      </c>
      <c r="F13" s="5" t="n">
        <v>500</v>
      </c>
      <c r="G13" s="5" t="n">
        <v>1000</v>
      </c>
      <c r="H13" s="5">
        <f>SUM(D13:G13)</f>
        <v/>
      </c>
      <c r="I13" s="5">
        <f>SUM($H$5:H13)</f>
        <v/>
      </c>
      <c r="J13" s="4" t="inlineStr"/>
    </row>
    <row r="14">
      <c r="A14" s="3" t="n">
        <v>46329</v>
      </c>
      <c r="B14" s="4" t="inlineStr">
        <is>
          <t>Tue</t>
        </is>
      </c>
      <c r="C14" s="4" t="inlineStr">
        <is>
          <t>Build-up</t>
        </is>
      </c>
      <c r="D14" s="5" t="n">
        <v>4500</v>
      </c>
      <c r="E14" s="5" t="n">
        <v>1800</v>
      </c>
      <c r="F14" s="5" t="n">
        <v>1000</v>
      </c>
      <c r="G14" s="5" t="n">
        <v>1700</v>
      </c>
      <c r="H14" s="5">
        <f>SUM(D14:G14)</f>
        <v/>
      </c>
      <c r="I14" s="5">
        <f>SUM($H$5:H14)</f>
        <v/>
      </c>
      <c r="J14" s="4" t="inlineStr">
        <is>
          <t>Diwali creatives; YouTube Shorts push</t>
        </is>
      </c>
    </row>
    <row r="15">
      <c r="A15" s="3" t="n">
        <v>46330</v>
      </c>
      <c r="B15" s="4" t="inlineStr">
        <is>
          <t>Wed</t>
        </is>
      </c>
      <c r="C15" s="4" t="inlineStr">
        <is>
          <t>Build-up</t>
        </is>
      </c>
      <c r="D15" s="5" t="n">
        <v>4500</v>
      </c>
      <c r="E15" s="5" t="n">
        <v>1800</v>
      </c>
      <c r="F15" s="5" t="n">
        <v>1000</v>
      </c>
      <c r="G15" s="5" t="n">
        <v>1700</v>
      </c>
      <c r="H15" s="5">
        <f>SUM(D15:G15)</f>
        <v/>
      </c>
      <c r="I15" s="5">
        <f>SUM($H$5:H15)</f>
        <v/>
      </c>
      <c r="J15" s="4" t="inlineStr"/>
    </row>
    <row r="16">
      <c r="A16" s="3" t="n">
        <v>46331</v>
      </c>
      <c r="B16" s="4" t="inlineStr">
        <is>
          <t>Thu</t>
        </is>
      </c>
      <c r="C16" s="4" t="inlineStr">
        <is>
          <t>Build-up</t>
        </is>
      </c>
      <c r="D16" s="5" t="n">
        <v>4500</v>
      </c>
      <c r="E16" s="5" t="n">
        <v>1900</v>
      </c>
      <c r="F16" s="5" t="n">
        <v>1000</v>
      </c>
      <c r="G16" s="5" t="n">
        <v>1600</v>
      </c>
      <c r="H16" s="5">
        <f>SUM(D16:G16)</f>
        <v/>
      </c>
      <c r="I16" s="5">
        <f>SUM($H$5:H16)</f>
        <v/>
      </c>
      <c r="J16" s="4" t="inlineStr">
        <is>
          <t>Creator wave 2 starts (2 micro + 3 nano)</t>
        </is>
      </c>
    </row>
    <row r="17">
      <c r="A17" s="6" t="n">
        <v>46332</v>
      </c>
      <c r="B17" s="7" t="inlineStr">
        <is>
          <t>Fri</t>
        </is>
      </c>
      <c r="C17" s="7" t="inlineStr">
        <is>
          <t>Diwali peak</t>
        </is>
      </c>
      <c r="D17" s="8" t="n">
        <v>9100</v>
      </c>
      <c r="E17" s="8" t="n">
        <v>2900</v>
      </c>
      <c r="F17" s="8" t="n">
        <v>1200</v>
      </c>
      <c r="G17" s="8" t="n">
        <v>800</v>
      </c>
      <c r="H17" s="8">
        <f>SUM(D17:G17)</f>
        <v/>
      </c>
      <c r="I17" s="8">
        <f>SUM($H$5:H17)</f>
        <v/>
      </c>
      <c r="J17" s="7" t="inlineStr">
        <is>
          <t>Dhanteras</t>
        </is>
      </c>
    </row>
    <row r="18">
      <c r="A18" s="6" t="n">
        <v>46333</v>
      </c>
      <c r="B18" s="7" t="inlineStr">
        <is>
          <t>Sat</t>
        </is>
      </c>
      <c r="C18" s="7" t="inlineStr">
        <is>
          <t>Diwali peak</t>
        </is>
      </c>
      <c r="D18" s="8" t="n">
        <v>10400</v>
      </c>
      <c r="E18" s="8" t="n">
        <v>3300</v>
      </c>
      <c r="F18" s="8" t="n">
        <v>1400</v>
      </c>
      <c r="G18" s="8" t="n">
        <v>900</v>
      </c>
      <c r="H18" s="8">
        <f>SUM(D18:G18)</f>
        <v/>
      </c>
      <c r="I18" s="8">
        <f>SUM($H$5:H18)</f>
        <v/>
      </c>
      <c r="J18" s="7" t="inlineStr">
        <is>
          <t>Choti Diwali</t>
        </is>
      </c>
    </row>
    <row r="19">
      <c r="A19" s="6" t="n">
        <v>46334</v>
      </c>
      <c r="B19" s="7" t="inlineStr">
        <is>
          <t>Sun</t>
        </is>
      </c>
      <c r="C19" s="7" t="inlineStr">
        <is>
          <t>Diwali peak</t>
        </is>
      </c>
      <c r="D19" s="8" t="n">
        <v>11700</v>
      </c>
      <c r="E19" s="8" t="n">
        <v>3800</v>
      </c>
      <c r="F19" s="8" t="n">
        <v>1500</v>
      </c>
      <c r="G19" s="8" t="n">
        <v>1000</v>
      </c>
      <c r="H19" s="8">
        <f>SUM(D19:G19)</f>
        <v/>
      </c>
      <c r="I19" s="8">
        <f>SUM($H$5:H19)</f>
        <v/>
      </c>
      <c r="J19" s="7" t="inlineStr">
        <is>
          <t>Diwali: heaviest day</t>
        </is>
      </c>
    </row>
    <row r="20">
      <c r="A20" s="6" t="n">
        <v>46335</v>
      </c>
      <c r="B20" s="7" t="inlineStr">
        <is>
          <t>Mon</t>
        </is>
      </c>
      <c r="C20" s="7" t="inlineStr">
        <is>
          <t>Diwali peak</t>
        </is>
      </c>
      <c r="D20" s="8" t="n">
        <v>10800</v>
      </c>
      <c r="E20" s="8" t="n">
        <v>3500</v>
      </c>
      <c r="F20" s="8" t="n">
        <v>1400</v>
      </c>
      <c r="G20" s="8" t="n">
        <v>800</v>
      </c>
      <c r="H20" s="8">
        <f>SUM(D20:G20)</f>
        <v/>
      </c>
      <c r="I20" s="8">
        <f>SUM($H$5:H20)</f>
        <v/>
      </c>
      <c r="J20" s="7" t="inlineStr">
        <is>
          <t>Govardhan Puja</t>
        </is>
      </c>
    </row>
    <row r="21">
      <c r="A21" s="3" t="n">
        <v>46336</v>
      </c>
      <c r="B21" s="4" t="inlineStr">
        <is>
          <t>Tue</t>
        </is>
      </c>
      <c r="C21" s="4" t="inlineStr">
        <is>
          <t>Last call</t>
        </is>
      </c>
      <c r="D21" s="5" t="n">
        <v>7000</v>
      </c>
      <c r="E21" s="5" t="n">
        <v>2500</v>
      </c>
      <c r="F21" s="5" t="n">
        <v>800</v>
      </c>
      <c r="G21" s="5" t="n">
        <v>800</v>
      </c>
      <c r="H21" s="5">
        <f>SUM(D21:G21)</f>
        <v/>
      </c>
      <c r="I21" s="5">
        <f>SUM($H$5:H21)</f>
        <v/>
      </c>
      <c r="J21" s="4" t="inlineStr">
        <is>
          <t>Last call: urgency + countdown</t>
        </is>
      </c>
    </row>
    <row r="22">
      <c r="A22" s="3" t="n">
        <v>46337</v>
      </c>
      <c r="B22" s="4" t="inlineStr">
        <is>
          <t>Wed</t>
        </is>
      </c>
      <c r="C22" s="4" t="inlineStr">
        <is>
          <t>Last call</t>
        </is>
      </c>
      <c r="D22" s="5" t="n">
        <v>7000</v>
      </c>
      <c r="E22" s="5" t="n">
        <v>2500</v>
      </c>
      <c r="F22" s="5" t="n">
        <v>700</v>
      </c>
      <c r="G22" s="5" t="n">
        <v>700</v>
      </c>
      <c r="H22" s="5">
        <f>SUM(D22:G22)</f>
        <v/>
      </c>
      <c r="I22" s="5">
        <f>SUM($H$5:H22)</f>
        <v/>
      </c>
      <c r="J22" s="4" t="inlineStr">
        <is>
          <t>Registrations close tonight</t>
        </is>
      </c>
    </row>
    <row r="23">
      <c r="A23" s="9" t="n"/>
      <c r="B23" s="9" t="n"/>
      <c r="C23" s="9" t="inlineStr">
        <is>
          <t>Total ads</t>
        </is>
      </c>
      <c r="D23" s="10">
        <f>SUM(D5:D22)</f>
        <v/>
      </c>
      <c r="E23" s="10">
        <f>SUM(E5:E22)</f>
        <v/>
      </c>
      <c r="F23" s="10">
        <f>SUM(F5:F22)</f>
        <v/>
      </c>
      <c r="G23" s="10">
        <f>SUM(G5:G22)</f>
        <v/>
      </c>
      <c r="H23" s="10">
        <f>SUM(H5:H22)</f>
        <v/>
      </c>
      <c r="I23" s="9" t="n"/>
      <c r="J23" s="9" t="n"/>
    </row>
    <row r="25">
      <c r="A25" s="11" t="inlineStr">
        <is>
          <t>Rules</t>
        </is>
      </c>
    </row>
    <row r="26">
      <c r="A26" t="inlineStr">
        <is>
          <t>Raise an ad set's budget by at most 20% a day, and only while cost per registration stays under Rs 600.</t>
        </is>
      </c>
    </row>
    <row r="27">
      <c r="A27" t="inlineStr">
        <is>
          <t>Pause any ad set that spends Rs 1,500 without a single paid registration.</t>
        </is>
      </c>
    </row>
    <row r="28">
      <c r="A28" t="inlineStr">
        <is>
          <t>Check results every evening; if Diwali peak days run above Rs 667 per registration, hold spend and call Turning 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26" customWidth="1" min="4" max="4"/>
  </cols>
  <sheetData>
    <row r="1">
      <c r="A1" s="1" t="inlineStr">
        <is>
          <t>Total budget split (Rs 2,00,000)</t>
        </is>
      </c>
    </row>
    <row r="3">
      <c r="A3" s="12" t="inlineStr">
        <is>
          <t>Line</t>
        </is>
      </c>
      <c r="B3" s="12" t="inlineStr">
        <is>
          <t>Budget</t>
        </is>
      </c>
      <c r="C3" s="12" t="inlineStr">
        <is>
          <t>Share</t>
        </is>
      </c>
      <c r="D3" s="12" t="inlineStr">
        <is>
          <t>Plan check</t>
        </is>
      </c>
    </row>
    <row r="4">
      <c r="A4" t="inlineStr">
        <is>
          <t>Meta (Facebook + Instagram)</t>
        </is>
      </c>
      <c r="B4" s="13">
        <f>'Daily Plan'!D23</f>
        <v/>
      </c>
      <c r="C4" s="14">
        <f>B4/$B$9</f>
        <v/>
      </c>
    </row>
    <row r="5">
      <c r="A5" t="inlineStr">
        <is>
          <t>Google Search</t>
        </is>
      </c>
      <c r="B5" s="13">
        <f>'Daily Plan'!E23</f>
        <v/>
      </c>
      <c r="C5" s="14">
        <f>B5/$B$9</f>
        <v/>
      </c>
    </row>
    <row r="6">
      <c r="A6" t="inlineStr">
        <is>
          <t>YouTube Shorts + Demand Gen</t>
        </is>
      </c>
      <c r="B6" s="13">
        <f>'Daily Plan'!F23</f>
        <v/>
      </c>
      <c r="C6" s="14">
        <f>B6/$B$9</f>
        <v/>
      </c>
    </row>
    <row r="7">
      <c r="A7" t="inlineStr">
        <is>
          <t>Retargeting (Meta + YouTube)</t>
        </is>
      </c>
      <c r="B7" s="13">
        <f>'Daily Plan'!G23</f>
        <v/>
      </c>
      <c r="C7" s="14">
        <f>B7/$B$9</f>
        <v/>
      </c>
    </row>
    <row r="8">
      <c r="A8" t="inlineStr">
        <is>
          <t>Influencers</t>
        </is>
      </c>
      <c r="B8" s="13" t="n">
        <v>40000</v>
      </c>
      <c r="C8" s="14">
        <f>B8/$B$9</f>
        <v/>
      </c>
    </row>
    <row r="9">
      <c r="A9" s="11" t="inlineStr">
        <is>
          <t>Total</t>
        </is>
      </c>
      <c r="B9" s="15">
        <f>SUM(B4:B8)</f>
        <v/>
      </c>
      <c r="D9">
        <f>IF(B9=200000,"OK: equals Rs 2,00,000","CHECK: not Rs 2,00,000")</f>
        <v/>
      </c>
    </row>
    <row r="12">
      <c r="A12" s="11" t="inlineStr">
        <is>
          <t>What the budget buys (300 paid registrations at Rs 999 = Rs 2,99,700)</t>
        </is>
      </c>
    </row>
    <row r="13">
      <c r="A13" s="12" t="inlineStr">
        <is>
          <t>Scenario</t>
        </is>
      </c>
      <c r="B13" s="12" t="inlineStr">
        <is>
          <t>Cost per registration</t>
        </is>
      </c>
      <c r="C13" s="12" t="inlineStr">
        <is>
          <t>Spend for 300</t>
        </is>
      </c>
      <c r="D13" s="12" t="inlineStr">
        <is>
          <t>Left of Rs 2,00,000</t>
        </is>
      </c>
    </row>
    <row r="14">
      <c r="A14" t="inlineStr">
        <is>
          <t>Optimistic</t>
        </is>
      </c>
      <c r="B14" s="13" t="n">
        <v>350</v>
      </c>
      <c r="C14" s="13">
        <f>B14*300</f>
        <v/>
      </c>
      <c r="D14" s="13">
        <f>200000-C14</f>
        <v/>
      </c>
    </row>
    <row r="15">
      <c r="A15" t="inlineStr">
        <is>
          <t>Base</t>
        </is>
      </c>
      <c r="B15" s="13" t="n">
        <v>450</v>
      </c>
      <c r="C15" s="13">
        <f>B15*300</f>
        <v/>
      </c>
      <c r="D15" s="13">
        <f>200000-C15</f>
        <v/>
      </c>
    </row>
    <row r="16">
      <c r="A16" t="inlineStr">
        <is>
          <t>Conservative</t>
        </is>
      </c>
      <c r="B16" s="13" t="n">
        <v>600</v>
      </c>
      <c r="C16" s="13">
        <f>B16*300</f>
        <v/>
      </c>
      <c r="D16" s="13">
        <f>200000-C16</f>
        <v/>
      </c>
    </row>
    <row r="17">
      <c r="A17" t="inlineStr">
        <is>
          <t>Break-even ceiling</t>
        </is>
      </c>
      <c r="B17" s="13" t="n">
        <v>667</v>
      </c>
      <c r="C17" s="13">
        <f>B17*300</f>
        <v/>
      </c>
      <c r="D17" s="13">
        <f>200000-C17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Influencer plan (Rs 40,000)</t>
        </is>
      </c>
    </row>
    <row r="3">
      <c r="A3" s="12" t="inlineStr">
        <is>
          <t>Item</t>
        </is>
      </c>
      <c r="B3" s="12" t="inlineStr">
        <is>
          <t>Count</t>
        </is>
      </c>
      <c r="C3" s="12" t="inlineStr">
        <is>
          <t>Fee each</t>
        </is>
      </c>
      <c r="D3" s="12" t="inlineStr">
        <is>
          <t>Total</t>
        </is>
      </c>
    </row>
    <row r="4">
      <c r="A4" t="inlineStr">
        <is>
          <t>Micro creators (50k to 2L followers)</t>
        </is>
      </c>
      <c r="B4" t="n">
        <v>2</v>
      </c>
      <c r="C4" s="13" t="n">
        <v>6000</v>
      </c>
      <c r="D4" s="13">
        <f>B4*C4</f>
        <v/>
      </c>
    </row>
    <row r="5">
      <c r="A5" t="inlineStr">
        <is>
          <t>Nano creators (10k to 50k followers)</t>
        </is>
      </c>
      <c r="B5" t="n">
        <v>6</v>
      </c>
      <c r="C5" s="13" t="n">
        <v>2000</v>
      </c>
      <c r="D5" s="13">
        <f>B5*C5</f>
        <v/>
      </c>
    </row>
    <row r="6">
      <c r="A6" t="inlineStr">
        <is>
          <t>Results pool (Rs 150 per verified paid registration via code, capped; about 93 registrations)</t>
        </is>
      </c>
      <c r="B6" t="n">
        <v>1</v>
      </c>
      <c r="C6" s="13" t="n">
        <v>14000</v>
      </c>
      <c r="D6" s="13">
        <f>B6*C6</f>
        <v/>
      </c>
    </row>
    <row r="7">
      <c r="A7" t="inlineStr">
        <is>
          <t>Tracking links, codes, contingency</t>
        </is>
      </c>
      <c r="B7" t="n">
        <v>1</v>
      </c>
      <c r="C7" s="13" t="n">
        <v>2000</v>
      </c>
      <c r="D7" s="13">
        <f>B7*C7</f>
        <v/>
      </c>
    </row>
    <row r="8">
      <c r="A8" s="11" t="inlineStr">
        <is>
          <t>Total</t>
        </is>
      </c>
      <c r="D8" s="13">
        <f>SUM(D4:D7)</f>
        <v/>
      </c>
    </row>
    <row r="11">
      <c r="A11" s="11" t="inlineStr">
        <is>
          <t>Schedule</t>
        </is>
      </c>
    </row>
    <row r="12">
      <c r="A12" t="inlineStr">
        <is>
          <t>Wave 1: 3 nano creators post 30 Oct to 1 Nov.</t>
        </is>
      </c>
    </row>
    <row r="13">
      <c r="A13" t="inlineStr">
        <is>
          <t>Wave 2: 2 micro + 3 nano creators post 5 to 8 Nov (Diwali peak).</t>
        </is>
      </c>
    </row>
    <row r="14">
      <c r="A14" t="inlineStr">
        <is>
          <t>Fixed fee: 50% advance, 50% after the post is live with screenshot and insights.</t>
        </is>
      </c>
    </row>
    <row r="15">
      <c r="A15" t="inlineStr">
        <is>
          <t>Results pool paid after 15 Nov; unspent amount stays with Turning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2026-10-22T11:56:09Z</dcterms:created>
  <dcterms:modified xmlns:dcterms="http://purl.org/dc/terms/" xmlns:xsi="http://www.w3.org/2001/XMLSchema-instance" xsi:type="dcterms:W3CDTF">2026-10-22T11:56:09Z</dcterms:modified>
</cp:coreProperties>
</file>
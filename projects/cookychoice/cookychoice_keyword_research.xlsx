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Keyword Master" sheetId="2" state="visible" r:id="rId2"/>
    <sheet xmlns:r="http://schemas.openxmlformats.org/officeDocument/2006/relationships" name="Semrush Import" sheetId="3" state="visible" r:id="rId3"/>
    <sheet xmlns:r="http://schemas.openxmlformats.org/officeDocument/2006/relationships" name="KP Import" sheetId="4" state="visible" r:id="rId4"/>
    <sheet xmlns:r="http://schemas.openxmlformats.org/officeDocument/2006/relationships" name="Location Wise" sheetId="5" state="visible" r:id="rId5"/>
    <sheet xmlns:r="http://schemas.openxmlformats.org/officeDocument/2006/relationships" name="Page Mapping" sheetId="6" state="visible" r:id="rId6"/>
    <sheet xmlns:r="http://schemas.openxmlformats.org/officeDocument/2006/relationships" name="Questions &amp; Blog" sheetId="7" state="visible" r:id="rId7"/>
    <sheet xmlns:r="http://schemas.openxmlformats.org/officeDocument/2006/relationships" name="Competitor Research" sheetId="8" state="visible" r:id="rId8"/>
    <sheet xmlns:r="http://schemas.openxmlformats.org/officeDocument/2006/relationships" name="Audit Checklist" sheetId="9" state="visible" r:id="rId9"/>
  </sheets>
  <definedNames>
    <definedName name="_xlnm._FilterDatabase" localSheetId="1" hidden="1">'Keyword Master'!$A$1:$R$576</definedName>
    <definedName name="_xlnm._FilterDatabase" localSheetId="4" hidden="1">'Location Wise'!$A$1:$F$31</definedName>
    <definedName name="_xlnm._FilterDatabase" localSheetId="5" hidden="1">'Page Mapping'!$A$1:$G$23</definedName>
    <definedName name="_xlnm._FilterDatabase" localSheetId="6" hidden="1">'Questions &amp; Blog'!$A$1:$G$31</definedName>
    <definedName name="_xlnm._FilterDatabase" localSheetId="7" hidden="1">'Competitor Research'!$A$1:$C$7</definedName>
    <definedName name="_xlnm._FilterDatabase" localSheetId="8" hidden="1">'Audit Checklist'!$A$1:$D$14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Cookychoice - Keyword Research (cookychoice.com)</t>
        </is>
      </c>
    </row>
    <row r="2">
      <c r="A2" t="inlineStr">
        <is>
          <t>Business: Rice trading, Dubai. NOW: B2B (importers, exporters, traders, wholesalers, HORECA). LATER: B2C. Target: UAE + export/re-export markets. Goal: organic rankings + B2B inquiries/orders.</t>
        </is>
      </c>
    </row>
    <row r="3">
      <c r="A3" t="inlineStr"/>
    </row>
    <row r="4">
      <c r="A4" s="2" t="inlineStr">
        <is>
          <t>STATUS OF DATA</t>
        </is>
      </c>
    </row>
    <row r="5">
      <c r="A5" t="inlineStr">
        <is>
          <t>Keyword universe, clusters, intent, location, and page mapping are filled (built from product knowledge, NOT from a live tool).</t>
        </is>
      </c>
    </row>
    <row r="6">
      <c r="A6" t="inlineStr">
        <is>
          <t>Search Volume, KD, CPC, Competition columns are EMPTY on purpose. No numbers have been invented. Fill them from Semrush / Keyword Planner export (see steps below).</t>
        </is>
      </c>
    </row>
    <row r="7">
      <c r="A7" t="inlineStr">
        <is>
          <t>Priority score and Priority tier compute automatically once Volume and KD are filled.</t>
        </is>
      </c>
    </row>
    <row r="8">
      <c r="A8" t="inlineStr"/>
    </row>
    <row r="9">
      <c r="A9" s="2" t="inlineStr">
        <is>
          <t>HOW TO FILL VOLUME / KD</t>
        </is>
      </c>
    </row>
    <row r="10">
      <c r="A10" t="inlineStr">
        <is>
          <t>1. Semrush -&gt; Keyword Magic Tool -&gt; database: United Arab Emirates -&gt; seed (e.g. basmati rice) -&gt; Export CSV.</t>
        </is>
      </c>
    </row>
    <row r="11">
      <c r="A11" t="inlineStr">
        <is>
          <t>2. Semrush -&gt; Keyword Overview -&gt; Bulk Analysis: paste the 'Keyword' column from Keyword Master -&gt; export (gives Volume, KD%, CPC).</t>
        </is>
      </c>
    </row>
    <row r="12">
      <c r="A12" t="inlineStr">
        <is>
          <t>3. Google Keyword Planner -&gt; Get search volume and forecasts -&gt; paste keywords -&gt; location United Arab Emirates (also Dubai) -&gt; download.</t>
        </is>
      </c>
    </row>
    <row r="13">
      <c r="A13" t="inlineStr">
        <is>
          <t>4. Paste exports in tabs 'Semrush Import' and 'KP Import', then Keyword Master columns K-N pull values via VLOOKUP automatically.</t>
        </is>
      </c>
    </row>
    <row r="14">
      <c r="A14" s="2" t="inlineStr"/>
    </row>
    <row r="15">
      <c r="A15" t="inlineStr">
        <is>
          <t>TABS</t>
        </is>
      </c>
    </row>
    <row r="16">
      <c r="A16" t="inlineStr">
        <is>
          <t>Keyword Master - filter column B: Phase 1 = work on now, Phase 2 = B2C later. All keywords, cluster, intent, funnel, location, target page</t>
        </is>
      </c>
    </row>
    <row r="17">
      <c r="A17" t="inlineStr">
        <is>
          <t>Location Wise - emirate/area pages and keywords</t>
        </is>
      </c>
    </row>
    <row r="18">
      <c r="A18" t="inlineStr">
        <is>
          <t>Page Mapping - which page targets which primary/secondary keywords + title/H1 suggestions</t>
        </is>
      </c>
    </row>
    <row r="19">
      <c r="A19" t="inlineStr">
        <is>
          <t>Questions &amp; Blog - informational keywords and content ideas</t>
        </is>
      </c>
    </row>
    <row r="20">
      <c r="A20" t="inlineStr">
        <is>
          <t>Competitor Research - what to pull from Semrush for competitor gap</t>
        </is>
      </c>
    </row>
    <row r="21">
      <c r="A21" t="inlineStr">
        <is>
          <t>Semrush Import / KP Import - paste raw exports here</t>
        </is>
      </c>
    </row>
    <row r="22">
      <c r="A22" t="inlineStr">
        <is>
          <t>Audit Checklist - technical and on-page items to verify on the site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28" customWidth="1" min="3" max="3"/>
    <col width="20" customWidth="1" min="4" max="4"/>
    <col width="16" customWidth="1" min="5" max="5"/>
    <col width="22" customWidth="1" min="6" max="6"/>
    <col width="10" customWidth="1" min="7" max="7"/>
    <col width="22" customWidth="1" min="8" max="8"/>
    <col width="34" customWidth="1" min="9" max="9"/>
    <col width="16" customWidth="1" min="10" max="10"/>
    <col width="14" customWidth="1" min="11" max="11"/>
    <col width="12" customWidth="1" min="12" max="12"/>
    <col width="10" customWidth="1" min="13" max="13"/>
    <col width="16" customWidth="1" min="14" max="14"/>
    <col width="12" customWidth="1" min="15" max="15"/>
    <col width="14" customWidth="1" min="16" max="16"/>
    <col width="12" customWidth="1" min="17" max="17"/>
    <col width="24" customWidth="1" min="18" max="18"/>
  </cols>
  <sheetData>
    <row r="1">
      <c r="A1" s="3" t="inlineStr">
        <is>
          <t>Keyword</t>
        </is>
      </c>
      <c r="B1" s="3" t="inlineStr">
        <is>
          <t>Phase</t>
        </is>
      </c>
      <c r="C1" s="3" t="inlineStr">
        <is>
          <t>Customer segment</t>
        </is>
      </c>
      <c r="D1" s="3" t="inlineStr">
        <is>
          <t>Cluster / Term group</t>
        </is>
      </c>
      <c r="E1" s="3" t="inlineStr">
        <is>
          <t>Product category</t>
        </is>
      </c>
      <c r="F1" s="3" t="inlineStr">
        <is>
          <t>Search intent</t>
        </is>
      </c>
      <c r="G1" s="3" t="inlineStr">
        <is>
          <t>Funnel stage</t>
        </is>
      </c>
      <c r="H1" s="3" t="inlineStr">
        <is>
          <t>Location</t>
        </is>
      </c>
      <c r="I1" s="3" t="inlineStr">
        <is>
          <t>Target page (suggested)</t>
        </is>
      </c>
      <c r="J1" s="3" t="inlineStr">
        <is>
          <t>Page type</t>
        </is>
      </c>
      <c r="K1" s="3" t="inlineStr">
        <is>
          <t>Search Volume (Semrush)</t>
        </is>
      </c>
      <c r="L1" s="3" t="inlineStr">
        <is>
          <t>KD % (Semrush)</t>
        </is>
      </c>
      <c r="M1" s="3" t="inlineStr">
        <is>
          <t>CPC USD</t>
        </is>
      </c>
      <c r="N1" s="3" t="inlineStr">
        <is>
          <t>KP Avg Monthly Searches</t>
        </is>
      </c>
      <c r="O1" s="3" t="inlineStr">
        <is>
          <t>Priority score</t>
        </is>
      </c>
      <c r="P1" s="3" t="inlineStr">
        <is>
          <t>Priority tier</t>
        </is>
      </c>
      <c r="Q1" s="3" t="inlineStr">
        <is>
          <t>Status</t>
        </is>
      </c>
      <c r="R1" s="3" t="inlineStr">
        <is>
          <t>Notes</t>
        </is>
      </c>
    </row>
    <row r="2">
      <c r="A2" t="inlineStr">
        <is>
          <t>basmati rice</t>
        </is>
      </c>
      <c r="B2" t="inlineStr">
        <is>
          <t>Phase 1 - B2B now</t>
        </is>
      </c>
      <c r="C2" t="inlineStr">
        <is>
          <t>Wholesalers / bulk buyers</t>
        </is>
      </c>
      <c r="D2" t="inlineStr">
        <is>
          <t>Core product</t>
        </is>
      </c>
      <c r="E2" t="inlineStr">
        <is>
          <t>Basmati</t>
        </is>
      </c>
      <c r="F2" t="inlineStr">
        <is>
          <t>Informational/Commercial</t>
        </is>
      </c>
      <c r="G2" t="inlineStr">
        <is>
          <t>TOFU</t>
        </is>
      </c>
      <c r="H2" t="inlineStr">
        <is>
          <t>UAE (generic)</t>
        </is>
      </c>
      <c r="I2" t="inlineStr">
        <is>
          <t>Basmati Rice category</t>
        </is>
      </c>
      <c r="J2" t="inlineStr">
        <is>
          <t>Category</t>
        </is>
      </c>
      <c r="K2">
        <f>IFERROR(VLOOKUP($A2,'Semrush Import'!$A:$D,2,FALSE),"")</f>
        <v/>
      </c>
      <c r="L2">
        <f>IFERROR(VLOOKUP($A2,'Semrush Import'!$A:$D,3,FALSE),"")</f>
        <v/>
      </c>
      <c r="M2">
        <f>IFERROR(VLOOKUP($A2,'Semrush Import'!$A:$D,4,FALSE),"")</f>
        <v/>
      </c>
      <c r="N2">
        <f>IFERROR(VLOOKUP($A2,'KP Import'!$A:$B,2,FALSE),"")</f>
        <v/>
      </c>
      <c r="O2">
        <f>IF(K2="","",ROUND(K2/(L2+10),1))</f>
        <v/>
      </c>
      <c r="P2">
        <f>IF(O2="","",IF(O2&gt;=20,"A - Go first",IF(O2&gt;=5,"B - Next","C - Later")))</f>
        <v/>
      </c>
      <c r="Q2" t="inlineStr">
        <is>
          <t>To research</t>
        </is>
      </c>
      <c r="R2" t="inlineStr"/>
    </row>
    <row r="3">
      <c r="A3" t="inlineStr">
        <is>
          <t>buy basmati rice online</t>
        </is>
      </c>
      <c r="B3" t="inlineStr">
        <is>
          <t>Phase 2 - B2C (later)</t>
        </is>
      </c>
      <c r="C3" t="inlineStr">
        <is>
          <t>Consumer / household</t>
        </is>
      </c>
      <c r="D3" t="inlineStr">
        <is>
          <t>Transactional</t>
        </is>
      </c>
      <c r="E3" t="inlineStr">
        <is>
          <t>Basmati</t>
        </is>
      </c>
      <c r="F3" t="inlineStr">
        <is>
          <t>Transactional</t>
        </is>
      </c>
      <c r="G3" t="inlineStr">
        <is>
          <t>BOFU</t>
        </is>
      </c>
      <c r="H3" t="inlineStr">
        <is>
          <t>UAE (generic)</t>
        </is>
      </c>
      <c r="I3" t="inlineStr">
        <is>
          <t>Basmati Rice category</t>
        </is>
      </c>
      <c r="J3" t="inlineStr">
        <is>
          <t>Category</t>
        </is>
      </c>
      <c r="K3">
        <f>IFERROR(VLOOKUP($A3,'Semrush Import'!$A:$D,2,FALSE),"")</f>
        <v/>
      </c>
      <c r="L3">
        <f>IFERROR(VLOOKUP($A3,'Semrush Import'!$A:$D,3,FALSE),"")</f>
        <v/>
      </c>
      <c r="M3">
        <f>IFERROR(VLOOKUP($A3,'Semrush Import'!$A:$D,4,FALSE),"")</f>
        <v/>
      </c>
      <c r="N3">
        <f>IFERROR(VLOOKUP($A3,'KP Import'!$A:$B,2,FALSE),"")</f>
        <v/>
      </c>
      <c r="O3">
        <f>IF(K3="","",ROUND(K3/(L3+10),1))</f>
        <v/>
      </c>
      <c r="P3">
        <f>IF(O3="","",IF(O3&gt;=20,"A - Go first",IF(O3&gt;=5,"B - Next","C - Later")))</f>
        <v/>
      </c>
      <c r="Q3" t="inlineStr">
        <is>
          <t>To research</t>
        </is>
      </c>
      <c r="R3" t="inlineStr"/>
    </row>
    <row r="4">
      <c r="A4" t="inlineStr">
        <is>
          <t>basmati rice price in uae</t>
        </is>
      </c>
      <c r="B4" t="inlineStr">
        <is>
          <t>Phase 1 - B2B now</t>
        </is>
      </c>
      <c r="C4" t="inlineStr">
        <is>
          <t>Wholesalers / bulk buyers</t>
        </is>
      </c>
      <c r="D4" t="inlineStr">
        <is>
          <t>Price</t>
        </is>
      </c>
      <c r="E4" t="inlineStr">
        <is>
          <t>Basmati</t>
        </is>
      </c>
      <c r="F4" t="inlineStr">
        <is>
          <t>Commercial/Transactional</t>
        </is>
      </c>
      <c r="G4" t="inlineStr">
        <is>
          <t>MOFU</t>
        </is>
      </c>
      <c r="H4" t="inlineStr">
        <is>
          <t>UAE</t>
        </is>
      </c>
      <c r="I4" t="inlineStr">
        <is>
          <t>Basmati Rice category</t>
        </is>
      </c>
      <c r="J4" t="inlineStr">
        <is>
          <t>Category</t>
        </is>
      </c>
      <c r="K4">
        <f>IFERROR(VLOOKUP($A4,'Semrush Import'!$A:$D,2,FALSE),"")</f>
        <v/>
      </c>
      <c r="L4">
        <f>IFERROR(VLOOKUP($A4,'Semrush Import'!$A:$D,3,FALSE),"")</f>
        <v/>
      </c>
      <c r="M4">
        <f>IFERROR(VLOOKUP($A4,'Semrush Import'!$A:$D,4,FALSE),"")</f>
        <v/>
      </c>
      <c r="N4">
        <f>IFERROR(VLOOKUP($A4,'KP Import'!$A:$B,2,FALSE),"")</f>
        <v/>
      </c>
      <c r="O4">
        <f>IF(K4="","",ROUND(K4/(L4+10),1))</f>
        <v/>
      </c>
      <c r="P4">
        <f>IF(O4="","",IF(O4&gt;=20,"A - Go first",IF(O4&gt;=5,"B - Next","C - Later")))</f>
        <v/>
      </c>
      <c r="Q4" t="inlineStr">
        <is>
          <t>To research</t>
        </is>
      </c>
      <c r="R4" t="inlineStr"/>
    </row>
    <row r="5">
      <c r="A5" t="inlineStr">
        <is>
          <t>basmati rice price in dubai</t>
        </is>
      </c>
      <c r="B5" t="inlineStr">
        <is>
          <t>Phase 1 - B2B now</t>
        </is>
      </c>
      <c r="C5" t="inlineStr">
        <is>
          <t>Wholesalers / bulk buyers</t>
        </is>
      </c>
      <c r="D5" t="inlineStr">
        <is>
          <t>Price</t>
        </is>
      </c>
      <c r="E5" t="inlineStr">
        <is>
          <t>Basmati</t>
        </is>
      </c>
      <c r="F5" t="inlineStr">
        <is>
          <t>Commercial/Transactional</t>
        </is>
      </c>
      <c r="G5" t="inlineStr">
        <is>
          <t>MOFU</t>
        </is>
      </c>
      <c r="H5" t="inlineStr">
        <is>
          <t>Dubai</t>
        </is>
      </c>
      <c r="I5" t="inlineStr">
        <is>
          <t>Basmati Rice category</t>
        </is>
      </c>
      <c r="J5" t="inlineStr">
        <is>
          <t>Category</t>
        </is>
      </c>
      <c r="K5">
        <f>IFERROR(VLOOKUP($A5,'Semrush Import'!$A:$D,2,FALSE),"")</f>
        <v/>
      </c>
      <c r="L5">
        <f>IFERROR(VLOOKUP($A5,'Semrush Import'!$A:$D,3,FALSE),"")</f>
        <v/>
      </c>
      <c r="M5">
        <f>IFERROR(VLOOKUP($A5,'Semrush Import'!$A:$D,4,FALSE),"")</f>
        <v/>
      </c>
      <c r="N5">
        <f>IFERROR(VLOOKUP($A5,'KP Import'!$A:$B,2,FALSE),"")</f>
        <v/>
      </c>
      <c r="O5">
        <f>IF(K5="","",ROUND(K5/(L5+10),1))</f>
        <v/>
      </c>
      <c r="P5">
        <f>IF(O5="","",IF(O5&gt;=20,"A - Go first",IF(O5&gt;=5,"B - Next","C - Later")))</f>
        <v/>
      </c>
      <c r="Q5" t="inlineStr">
        <is>
          <t>To research</t>
        </is>
      </c>
      <c r="R5" t="inlineStr"/>
    </row>
    <row r="6">
      <c r="A6" t="inlineStr">
        <is>
          <t>basmati rice online dubai</t>
        </is>
      </c>
      <c r="B6" t="inlineStr">
        <is>
          <t>Phase 2 - B2C (later)</t>
        </is>
      </c>
      <c r="C6" t="inlineStr">
        <is>
          <t>Consumer / household</t>
        </is>
      </c>
      <c r="D6" t="inlineStr">
        <is>
          <t>Transactional</t>
        </is>
      </c>
      <c r="E6" t="inlineStr">
        <is>
          <t>Basmati</t>
        </is>
      </c>
      <c r="F6" t="inlineStr">
        <is>
          <t>Transactional</t>
        </is>
      </c>
      <c r="G6" t="inlineStr">
        <is>
          <t>BOFU</t>
        </is>
      </c>
      <c r="H6" t="inlineStr">
        <is>
          <t>Dubai</t>
        </is>
      </c>
      <c r="I6" t="inlineStr">
        <is>
          <t>Basmati Rice category</t>
        </is>
      </c>
      <c r="J6" t="inlineStr">
        <is>
          <t>Category</t>
        </is>
      </c>
      <c r="K6">
        <f>IFERROR(VLOOKUP($A6,'Semrush Import'!$A:$D,2,FALSE),"")</f>
        <v/>
      </c>
      <c r="L6">
        <f>IFERROR(VLOOKUP($A6,'Semrush Import'!$A:$D,3,FALSE),"")</f>
        <v/>
      </c>
      <c r="M6">
        <f>IFERROR(VLOOKUP($A6,'Semrush Import'!$A:$D,4,FALSE),"")</f>
        <v/>
      </c>
      <c r="N6">
        <f>IFERROR(VLOOKUP($A6,'KP Import'!$A:$B,2,FALSE),"")</f>
        <v/>
      </c>
      <c r="O6">
        <f>IF(K6="","",ROUND(K6/(L6+10),1))</f>
        <v/>
      </c>
      <c r="P6">
        <f>IF(O6="","",IF(O6&gt;=20,"A - Go first",IF(O6&gt;=5,"B - Next","C - Later")))</f>
        <v/>
      </c>
      <c r="Q6" t="inlineStr">
        <is>
          <t>To research</t>
        </is>
      </c>
      <c r="R6" t="inlineStr"/>
    </row>
    <row r="7">
      <c r="A7" t="inlineStr">
        <is>
          <t>basmati rice wholesale dubai</t>
        </is>
      </c>
      <c r="B7" t="inlineStr">
        <is>
          <t>Phase 1 - B2B now</t>
        </is>
      </c>
      <c r="C7" t="inlineStr">
        <is>
          <t>Wholesalers / bulk buyers</t>
        </is>
      </c>
      <c r="D7" t="inlineStr">
        <is>
          <t>Wholesale/B2B</t>
        </is>
      </c>
      <c r="E7" t="inlineStr">
        <is>
          <t>Basmati</t>
        </is>
      </c>
      <c r="F7" t="inlineStr">
        <is>
          <t>Transactional (B2B)</t>
        </is>
      </c>
      <c r="G7" t="inlineStr">
        <is>
          <t>BOFU</t>
        </is>
      </c>
      <c r="H7" t="inlineStr">
        <is>
          <t>Dubai</t>
        </is>
      </c>
      <c r="I7" t="inlineStr">
        <is>
          <t>Wholesale landing page</t>
        </is>
      </c>
      <c r="J7" t="inlineStr">
        <is>
          <t>Landing</t>
        </is>
      </c>
      <c r="K7">
        <f>IFERROR(VLOOKUP($A7,'Semrush Import'!$A:$D,2,FALSE),"")</f>
        <v/>
      </c>
      <c r="L7">
        <f>IFERROR(VLOOKUP($A7,'Semrush Import'!$A:$D,3,FALSE),"")</f>
        <v/>
      </c>
      <c r="M7">
        <f>IFERROR(VLOOKUP($A7,'Semrush Import'!$A:$D,4,FALSE),"")</f>
        <v/>
      </c>
      <c r="N7">
        <f>IFERROR(VLOOKUP($A7,'KP Import'!$A:$B,2,FALSE),"")</f>
        <v/>
      </c>
      <c r="O7">
        <f>IF(K7="","",ROUND(K7/(L7+10),1))</f>
        <v/>
      </c>
      <c r="P7">
        <f>IF(O7="","",IF(O7&gt;=20,"A - Go first",IF(O7&gt;=5,"B - Next","C - Later")))</f>
        <v/>
      </c>
      <c r="Q7" t="inlineStr">
        <is>
          <t>To research</t>
        </is>
      </c>
      <c r="R7" t="inlineStr"/>
    </row>
    <row r="8">
      <c r="A8" t="inlineStr">
        <is>
          <t>basmati rice supplier uae</t>
        </is>
      </c>
      <c r="B8" t="inlineStr">
        <is>
          <t>Phase 1 - B2B now</t>
        </is>
      </c>
      <c r="C8" t="inlineStr">
        <is>
          <t>Wholesalers / bulk buyers</t>
        </is>
      </c>
      <c r="D8" t="inlineStr">
        <is>
          <t>Wholesale/B2B</t>
        </is>
      </c>
      <c r="E8" t="inlineStr">
        <is>
          <t>Basmati</t>
        </is>
      </c>
      <c r="F8" t="inlineStr">
        <is>
          <t>Transactional (B2B)</t>
        </is>
      </c>
      <c r="G8" t="inlineStr">
        <is>
          <t>BOFU</t>
        </is>
      </c>
      <c r="H8" t="inlineStr">
        <is>
          <t>UAE</t>
        </is>
      </c>
      <c r="I8" t="inlineStr">
        <is>
          <t>Wholesale landing page</t>
        </is>
      </c>
      <c r="J8" t="inlineStr">
        <is>
          <t>Landing</t>
        </is>
      </c>
      <c r="K8">
        <f>IFERROR(VLOOKUP($A8,'Semrush Import'!$A:$D,2,FALSE),"")</f>
        <v/>
      </c>
      <c r="L8">
        <f>IFERROR(VLOOKUP($A8,'Semrush Import'!$A:$D,3,FALSE),"")</f>
        <v/>
      </c>
      <c r="M8">
        <f>IFERROR(VLOOKUP($A8,'Semrush Import'!$A:$D,4,FALSE),"")</f>
        <v/>
      </c>
      <c r="N8">
        <f>IFERROR(VLOOKUP($A8,'KP Import'!$A:$B,2,FALSE),"")</f>
        <v/>
      </c>
      <c r="O8">
        <f>IF(K8="","",ROUND(K8/(L8+10),1))</f>
        <v/>
      </c>
      <c r="P8">
        <f>IF(O8="","",IF(O8&gt;=20,"A - Go first",IF(O8&gt;=5,"B - Next","C - Later")))</f>
        <v/>
      </c>
      <c r="Q8" t="inlineStr">
        <is>
          <t>To research</t>
        </is>
      </c>
      <c r="R8" t="inlineStr"/>
    </row>
    <row r="9">
      <c r="A9" t="inlineStr">
        <is>
          <t>1121 basmati rice</t>
        </is>
      </c>
      <c r="B9" t="inlineStr">
        <is>
          <t>Phase 1 - B2B now</t>
        </is>
      </c>
      <c r="C9" t="inlineStr">
        <is>
          <t>Wholesalers / bulk buyers</t>
        </is>
      </c>
      <c r="D9" t="inlineStr">
        <is>
          <t>Core product</t>
        </is>
      </c>
      <c r="E9" t="inlineStr">
        <is>
          <t>Basmati</t>
        </is>
      </c>
      <c r="F9" t="inlineStr">
        <is>
          <t>Informational/Commercial</t>
        </is>
      </c>
      <c r="G9" t="inlineStr">
        <is>
          <t>TOFU</t>
        </is>
      </c>
      <c r="H9" t="inlineStr">
        <is>
          <t>UAE (generic)</t>
        </is>
      </c>
      <c r="I9" t="inlineStr">
        <is>
          <t>1121 Basmati product page</t>
        </is>
      </c>
      <c r="J9" t="inlineStr">
        <is>
          <t>Product</t>
        </is>
      </c>
      <c r="K9">
        <f>IFERROR(VLOOKUP($A9,'Semrush Import'!$A:$D,2,FALSE),"")</f>
        <v/>
      </c>
      <c r="L9">
        <f>IFERROR(VLOOKUP($A9,'Semrush Import'!$A:$D,3,FALSE),"")</f>
        <v/>
      </c>
      <c r="M9">
        <f>IFERROR(VLOOKUP($A9,'Semrush Import'!$A:$D,4,FALSE),"")</f>
        <v/>
      </c>
      <c r="N9">
        <f>IFERROR(VLOOKUP($A9,'KP Import'!$A:$B,2,FALSE),"")</f>
        <v/>
      </c>
      <c r="O9">
        <f>IF(K9="","",ROUND(K9/(L9+10),1))</f>
        <v/>
      </c>
      <c r="P9">
        <f>IF(O9="","",IF(O9&gt;=20,"A - Go first",IF(O9&gt;=5,"B - Next","C - Later")))</f>
        <v/>
      </c>
      <c r="Q9" t="inlineStr">
        <is>
          <t>To research</t>
        </is>
      </c>
      <c r="R9" t="inlineStr"/>
    </row>
    <row r="10">
      <c r="A10" t="inlineStr">
        <is>
          <t>buy 1121 basmati rice online</t>
        </is>
      </c>
      <c r="B10" t="inlineStr">
        <is>
          <t>Phase 2 - B2C (later)</t>
        </is>
      </c>
      <c r="C10" t="inlineStr">
        <is>
          <t>Consumer / household</t>
        </is>
      </c>
      <c r="D10" t="inlineStr">
        <is>
          <t>Transactional</t>
        </is>
      </c>
      <c r="E10" t="inlineStr">
        <is>
          <t>Basmati</t>
        </is>
      </c>
      <c r="F10" t="inlineStr">
        <is>
          <t>Transactional</t>
        </is>
      </c>
      <c r="G10" t="inlineStr">
        <is>
          <t>BOFU</t>
        </is>
      </c>
      <c r="H10" t="inlineStr">
        <is>
          <t>UAE (generic)</t>
        </is>
      </c>
      <c r="I10" t="inlineStr">
        <is>
          <t>1121 Basmati product page</t>
        </is>
      </c>
      <c r="J10" t="inlineStr">
        <is>
          <t>Product</t>
        </is>
      </c>
      <c r="K10">
        <f>IFERROR(VLOOKUP($A10,'Semrush Import'!$A:$D,2,FALSE),"")</f>
        <v/>
      </c>
      <c r="L10">
        <f>IFERROR(VLOOKUP($A10,'Semrush Import'!$A:$D,3,FALSE),"")</f>
        <v/>
      </c>
      <c r="M10">
        <f>IFERROR(VLOOKUP($A10,'Semrush Import'!$A:$D,4,FALSE),"")</f>
        <v/>
      </c>
      <c r="N10">
        <f>IFERROR(VLOOKUP($A10,'KP Import'!$A:$B,2,FALSE),"")</f>
        <v/>
      </c>
      <c r="O10">
        <f>IF(K10="","",ROUND(K10/(L10+10),1))</f>
        <v/>
      </c>
      <c r="P10">
        <f>IF(O10="","",IF(O10&gt;=20,"A - Go first",IF(O10&gt;=5,"B - Next","C - Later")))</f>
        <v/>
      </c>
      <c r="Q10" t="inlineStr">
        <is>
          <t>To research</t>
        </is>
      </c>
      <c r="R10" t="inlineStr"/>
    </row>
    <row r="11">
      <c r="A11" t="inlineStr">
        <is>
          <t>1121 basmati rice price in uae</t>
        </is>
      </c>
      <c r="B11" t="inlineStr">
        <is>
          <t>Phase 1 - B2B now</t>
        </is>
      </c>
      <c r="C11" t="inlineStr">
        <is>
          <t>Wholesalers / bulk buyers</t>
        </is>
      </c>
      <c r="D11" t="inlineStr">
        <is>
          <t>Price</t>
        </is>
      </c>
      <c r="E11" t="inlineStr">
        <is>
          <t>Basmati</t>
        </is>
      </c>
      <c r="F11" t="inlineStr">
        <is>
          <t>Commercial/Transactional</t>
        </is>
      </c>
      <c r="G11" t="inlineStr">
        <is>
          <t>MOFU</t>
        </is>
      </c>
      <c r="H11" t="inlineStr">
        <is>
          <t>UAE</t>
        </is>
      </c>
      <c r="I11" t="inlineStr">
        <is>
          <t>1121 Basmati product page</t>
        </is>
      </c>
      <c r="J11" t="inlineStr">
        <is>
          <t>Product</t>
        </is>
      </c>
      <c r="K11">
        <f>IFERROR(VLOOKUP($A11,'Semrush Import'!$A:$D,2,FALSE),"")</f>
        <v/>
      </c>
      <c r="L11">
        <f>IFERROR(VLOOKUP($A11,'Semrush Import'!$A:$D,3,FALSE),"")</f>
        <v/>
      </c>
      <c r="M11">
        <f>IFERROR(VLOOKUP($A11,'Semrush Import'!$A:$D,4,FALSE),"")</f>
        <v/>
      </c>
      <c r="N11">
        <f>IFERROR(VLOOKUP($A11,'KP Import'!$A:$B,2,FALSE),"")</f>
        <v/>
      </c>
      <c r="O11">
        <f>IF(K11="","",ROUND(K11/(L11+10),1))</f>
        <v/>
      </c>
      <c r="P11">
        <f>IF(O11="","",IF(O11&gt;=20,"A - Go first",IF(O11&gt;=5,"B - Next","C - Later")))</f>
        <v/>
      </c>
      <c r="Q11" t="inlineStr">
        <is>
          <t>To research</t>
        </is>
      </c>
      <c r="R11" t="inlineStr"/>
    </row>
    <row r="12">
      <c r="A12" t="inlineStr">
        <is>
          <t>1121 basmati rice price in dubai</t>
        </is>
      </c>
      <c r="B12" t="inlineStr">
        <is>
          <t>Phase 1 - B2B now</t>
        </is>
      </c>
      <c r="C12" t="inlineStr">
        <is>
          <t>Wholesalers / bulk buyers</t>
        </is>
      </c>
      <c r="D12" t="inlineStr">
        <is>
          <t>Price</t>
        </is>
      </c>
      <c r="E12" t="inlineStr">
        <is>
          <t>Basmati</t>
        </is>
      </c>
      <c r="F12" t="inlineStr">
        <is>
          <t>Commercial/Transactional</t>
        </is>
      </c>
      <c r="G12" t="inlineStr">
        <is>
          <t>MOFU</t>
        </is>
      </c>
      <c r="H12" t="inlineStr">
        <is>
          <t>Dubai</t>
        </is>
      </c>
      <c r="I12" t="inlineStr">
        <is>
          <t>1121 Basmati product page</t>
        </is>
      </c>
      <c r="J12" t="inlineStr">
        <is>
          <t>Product</t>
        </is>
      </c>
      <c r="K12">
        <f>IFERROR(VLOOKUP($A12,'Semrush Import'!$A:$D,2,FALSE),"")</f>
        <v/>
      </c>
      <c r="L12">
        <f>IFERROR(VLOOKUP($A12,'Semrush Import'!$A:$D,3,FALSE),"")</f>
        <v/>
      </c>
      <c r="M12">
        <f>IFERROR(VLOOKUP($A12,'Semrush Import'!$A:$D,4,FALSE),"")</f>
        <v/>
      </c>
      <c r="N12">
        <f>IFERROR(VLOOKUP($A12,'KP Import'!$A:$B,2,FALSE),"")</f>
        <v/>
      </c>
      <c r="O12">
        <f>IF(K12="","",ROUND(K12/(L12+10),1))</f>
        <v/>
      </c>
      <c r="P12">
        <f>IF(O12="","",IF(O12&gt;=20,"A - Go first",IF(O12&gt;=5,"B - Next","C - Later")))</f>
        <v/>
      </c>
      <c r="Q12" t="inlineStr">
        <is>
          <t>To research</t>
        </is>
      </c>
      <c r="R12" t="inlineStr"/>
    </row>
    <row r="13">
      <c r="A13" t="inlineStr">
        <is>
          <t>1121 basmati rice online dubai</t>
        </is>
      </c>
      <c r="B13" t="inlineStr">
        <is>
          <t>Phase 2 - B2C (later)</t>
        </is>
      </c>
      <c r="C13" t="inlineStr">
        <is>
          <t>Consumer / household</t>
        </is>
      </c>
      <c r="D13" t="inlineStr">
        <is>
          <t>Transactional</t>
        </is>
      </c>
      <c r="E13" t="inlineStr">
        <is>
          <t>Basmati</t>
        </is>
      </c>
      <c r="F13" t="inlineStr">
        <is>
          <t>Transactional</t>
        </is>
      </c>
      <c r="G13" t="inlineStr">
        <is>
          <t>BOFU</t>
        </is>
      </c>
      <c r="H13" t="inlineStr">
        <is>
          <t>Dubai</t>
        </is>
      </c>
      <c r="I13" t="inlineStr">
        <is>
          <t>1121 Basmati product page</t>
        </is>
      </c>
      <c r="J13" t="inlineStr">
        <is>
          <t>Product</t>
        </is>
      </c>
      <c r="K13">
        <f>IFERROR(VLOOKUP($A13,'Semrush Import'!$A:$D,2,FALSE),"")</f>
        <v/>
      </c>
      <c r="L13">
        <f>IFERROR(VLOOKUP($A13,'Semrush Import'!$A:$D,3,FALSE),"")</f>
        <v/>
      </c>
      <c r="M13">
        <f>IFERROR(VLOOKUP($A13,'Semrush Import'!$A:$D,4,FALSE),"")</f>
        <v/>
      </c>
      <c r="N13">
        <f>IFERROR(VLOOKUP($A13,'KP Import'!$A:$B,2,FALSE),"")</f>
        <v/>
      </c>
      <c r="O13">
        <f>IF(K13="","",ROUND(K13/(L13+10),1))</f>
        <v/>
      </c>
      <c r="P13">
        <f>IF(O13="","",IF(O13&gt;=20,"A - Go first",IF(O13&gt;=5,"B - Next","C - Later")))</f>
        <v/>
      </c>
      <c r="Q13" t="inlineStr">
        <is>
          <t>To research</t>
        </is>
      </c>
      <c r="R13" t="inlineStr"/>
    </row>
    <row r="14">
      <c r="A14" t="inlineStr">
        <is>
          <t>1121 basmati rice wholesale dubai</t>
        </is>
      </c>
      <c r="B14" t="inlineStr">
        <is>
          <t>Phase 1 - B2B now</t>
        </is>
      </c>
      <c r="C14" t="inlineStr">
        <is>
          <t>Wholesalers / bulk buyers</t>
        </is>
      </c>
      <c r="D14" t="inlineStr">
        <is>
          <t>Wholesale/B2B</t>
        </is>
      </c>
      <c r="E14" t="inlineStr">
        <is>
          <t>Basmati</t>
        </is>
      </c>
      <c r="F14" t="inlineStr">
        <is>
          <t>Transactional (B2B)</t>
        </is>
      </c>
      <c r="G14" t="inlineStr">
        <is>
          <t>BOFU</t>
        </is>
      </c>
      <c r="H14" t="inlineStr">
        <is>
          <t>Dubai</t>
        </is>
      </c>
      <c r="I14" t="inlineStr">
        <is>
          <t>Wholesale landing page</t>
        </is>
      </c>
      <c r="J14" t="inlineStr">
        <is>
          <t>Landing</t>
        </is>
      </c>
      <c r="K14">
        <f>IFERROR(VLOOKUP($A14,'Semrush Import'!$A:$D,2,FALSE),"")</f>
        <v/>
      </c>
      <c r="L14">
        <f>IFERROR(VLOOKUP($A14,'Semrush Import'!$A:$D,3,FALSE),"")</f>
        <v/>
      </c>
      <c r="M14">
        <f>IFERROR(VLOOKUP($A14,'Semrush Import'!$A:$D,4,FALSE),"")</f>
        <v/>
      </c>
      <c r="N14">
        <f>IFERROR(VLOOKUP($A14,'KP Import'!$A:$B,2,FALSE),"")</f>
        <v/>
      </c>
      <c r="O14">
        <f>IF(K14="","",ROUND(K14/(L14+10),1))</f>
        <v/>
      </c>
      <c r="P14">
        <f>IF(O14="","",IF(O14&gt;=20,"A - Go first",IF(O14&gt;=5,"B - Next","C - Later")))</f>
        <v/>
      </c>
      <c r="Q14" t="inlineStr">
        <is>
          <t>To research</t>
        </is>
      </c>
      <c r="R14" t="inlineStr"/>
    </row>
    <row r="15">
      <c r="A15" t="inlineStr">
        <is>
          <t>1121 basmati rice supplier uae</t>
        </is>
      </c>
      <c r="B15" t="inlineStr">
        <is>
          <t>Phase 1 - B2B now</t>
        </is>
      </c>
      <c r="C15" t="inlineStr">
        <is>
          <t>Wholesalers / bulk buyers</t>
        </is>
      </c>
      <c r="D15" t="inlineStr">
        <is>
          <t>Wholesale/B2B</t>
        </is>
      </c>
      <c r="E15" t="inlineStr">
        <is>
          <t>Basmati</t>
        </is>
      </c>
      <c r="F15" t="inlineStr">
        <is>
          <t>Transactional (B2B)</t>
        </is>
      </c>
      <c r="G15" t="inlineStr">
        <is>
          <t>BOFU</t>
        </is>
      </c>
      <c r="H15" t="inlineStr">
        <is>
          <t>UAE</t>
        </is>
      </c>
      <c r="I15" t="inlineStr">
        <is>
          <t>Wholesale landing page</t>
        </is>
      </c>
      <c r="J15" t="inlineStr">
        <is>
          <t>Landing</t>
        </is>
      </c>
      <c r="K15">
        <f>IFERROR(VLOOKUP($A15,'Semrush Import'!$A:$D,2,FALSE),"")</f>
        <v/>
      </c>
      <c r="L15">
        <f>IFERROR(VLOOKUP($A15,'Semrush Import'!$A:$D,3,FALSE),"")</f>
        <v/>
      </c>
      <c r="M15">
        <f>IFERROR(VLOOKUP($A15,'Semrush Import'!$A:$D,4,FALSE),"")</f>
        <v/>
      </c>
      <c r="N15">
        <f>IFERROR(VLOOKUP($A15,'KP Import'!$A:$B,2,FALSE),"")</f>
        <v/>
      </c>
      <c r="O15">
        <f>IF(K15="","",ROUND(K15/(L15+10),1))</f>
        <v/>
      </c>
      <c r="P15">
        <f>IF(O15="","",IF(O15&gt;=20,"A - Go first",IF(O15&gt;=5,"B - Next","C - Later")))</f>
        <v/>
      </c>
      <c r="Q15" t="inlineStr">
        <is>
          <t>To research</t>
        </is>
      </c>
      <c r="R15" t="inlineStr"/>
    </row>
    <row r="16">
      <c r="A16" t="inlineStr">
        <is>
          <t>sella basmati rice</t>
        </is>
      </c>
      <c r="B16" t="inlineStr">
        <is>
          <t>Phase 1 - B2B now</t>
        </is>
      </c>
      <c r="C16" t="inlineStr">
        <is>
          <t>Wholesalers / bulk buyers</t>
        </is>
      </c>
      <c r="D16" t="inlineStr">
        <is>
          <t>Core product</t>
        </is>
      </c>
      <c r="E16" t="inlineStr">
        <is>
          <t>Basmati</t>
        </is>
      </c>
      <c r="F16" t="inlineStr">
        <is>
          <t>Informational/Commercial</t>
        </is>
      </c>
      <c r="G16" t="inlineStr">
        <is>
          <t>TOFU</t>
        </is>
      </c>
      <c r="H16" t="inlineStr">
        <is>
          <t>UAE (generic)</t>
        </is>
      </c>
      <c r="I16" t="inlineStr">
        <is>
          <t>Sella Basmati product page</t>
        </is>
      </c>
      <c r="J16" t="inlineStr">
        <is>
          <t>Product</t>
        </is>
      </c>
      <c r="K16">
        <f>IFERROR(VLOOKUP($A16,'Semrush Import'!$A:$D,2,FALSE),"")</f>
        <v/>
      </c>
      <c r="L16">
        <f>IFERROR(VLOOKUP($A16,'Semrush Import'!$A:$D,3,FALSE),"")</f>
        <v/>
      </c>
      <c r="M16">
        <f>IFERROR(VLOOKUP($A16,'Semrush Import'!$A:$D,4,FALSE),"")</f>
        <v/>
      </c>
      <c r="N16">
        <f>IFERROR(VLOOKUP($A16,'KP Import'!$A:$B,2,FALSE),"")</f>
        <v/>
      </c>
      <c r="O16">
        <f>IF(K16="","",ROUND(K16/(L16+10),1))</f>
        <v/>
      </c>
      <c r="P16">
        <f>IF(O16="","",IF(O16&gt;=20,"A - Go first",IF(O16&gt;=5,"B - Next","C - Later")))</f>
        <v/>
      </c>
      <c r="Q16" t="inlineStr">
        <is>
          <t>To research</t>
        </is>
      </c>
      <c r="R16" t="inlineStr"/>
    </row>
    <row r="17">
      <c r="A17" t="inlineStr">
        <is>
          <t>buy sella basmati rice online</t>
        </is>
      </c>
      <c r="B17" t="inlineStr">
        <is>
          <t>Phase 2 - B2C (later)</t>
        </is>
      </c>
      <c r="C17" t="inlineStr">
        <is>
          <t>Consumer / household</t>
        </is>
      </c>
      <c r="D17" t="inlineStr">
        <is>
          <t>Transactional</t>
        </is>
      </c>
      <c r="E17" t="inlineStr">
        <is>
          <t>Basmati</t>
        </is>
      </c>
      <c r="F17" t="inlineStr">
        <is>
          <t>Transactional</t>
        </is>
      </c>
      <c r="G17" t="inlineStr">
        <is>
          <t>BOFU</t>
        </is>
      </c>
      <c r="H17" t="inlineStr">
        <is>
          <t>UAE (generic)</t>
        </is>
      </c>
      <c r="I17" t="inlineStr">
        <is>
          <t>Sella Basmati product page</t>
        </is>
      </c>
      <c r="J17" t="inlineStr">
        <is>
          <t>Product</t>
        </is>
      </c>
      <c r="K17">
        <f>IFERROR(VLOOKUP($A17,'Semrush Import'!$A:$D,2,FALSE),"")</f>
        <v/>
      </c>
      <c r="L17">
        <f>IFERROR(VLOOKUP($A17,'Semrush Import'!$A:$D,3,FALSE),"")</f>
        <v/>
      </c>
      <c r="M17">
        <f>IFERROR(VLOOKUP($A17,'Semrush Import'!$A:$D,4,FALSE),"")</f>
        <v/>
      </c>
      <c r="N17">
        <f>IFERROR(VLOOKUP($A17,'KP Import'!$A:$B,2,FALSE),"")</f>
        <v/>
      </c>
      <c r="O17">
        <f>IF(K17="","",ROUND(K17/(L17+10),1))</f>
        <v/>
      </c>
      <c r="P17">
        <f>IF(O17="","",IF(O17&gt;=20,"A - Go first",IF(O17&gt;=5,"B - Next","C - Later")))</f>
        <v/>
      </c>
      <c r="Q17" t="inlineStr">
        <is>
          <t>To research</t>
        </is>
      </c>
      <c r="R17" t="inlineStr"/>
    </row>
    <row r="18">
      <c r="A18" t="inlineStr">
        <is>
          <t>sella basmati rice price in uae</t>
        </is>
      </c>
      <c r="B18" t="inlineStr">
        <is>
          <t>Phase 1 - B2B now</t>
        </is>
      </c>
      <c r="C18" t="inlineStr">
        <is>
          <t>Wholesalers / bulk buyers</t>
        </is>
      </c>
      <c r="D18" t="inlineStr">
        <is>
          <t>Price</t>
        </is>
      </c>
      <c r="E18" t="inlineStr">
        <is>
          <t>Basmati</t>
        </is>
      </c>
      <c r="F18" t="inlineStr">
        <is>
          <t>Commercial/Transactional</t>
        </is>
      </c>
      <c r="G18" t="inlineStr">
        <is>
          <t>MOFU</t>
        </is>
      </c>
      <c r="H18" t="inlineStr">
        <is>
          <t>UAE</t>
        </is>
      </c>
      <c r="I18" t="inlineStr">
        <is>
          <t>Sella Basmati product page</t>
        </is>
      </c>
      <c r="J18" t="inlineStr">
        <is>
          <t>Product</t>
        </is>
      </c>
      <c r="K18">
        <f>IFERROR(VLOOKUP($A18,'Semrush Import'!$A:$D,2,FALSE),"")</f>
        <v/>
      </c>
      <c r="L18">
        <f>IFERROR(VLOOKUP($A18,'Semrush Import'!$A:$D,3,FALSE),"")</f>
        <v/>
      </c>
      <c r="M18">
        <f>IFERROR(VLOOKUP($A18,'Semrush Import'!$A:$D,4,FALSE),"")</f>
        <v/>
      </c>
      <c r="N18">
        <f>IFERROR(VLOOKUP($A18,'KP Import'!$A:$B,2,FALSE),"")</f>
        <v/>
      </c>
      <c r="O18">
        <f>IF(K18="","",ROUND(K18/(L18+10),1))</f>
        <v/>
      </c>
      <c r="P18">
        <f>IF(O18="","",IF(O18&gt;=20,"A - Go first",IF(O18&gt;=5,"B - Next","C - Later")))</f>
        <v/>
      </c>
      <c r="Q18" t="inlineStr">
        <is>
          <t>To research</t>
        </is>
      </c>
      <c r="R18" t="inlineStr"/>
    </row>
    <row r="19">
      <c r="A19" t="inlineStr">
        <is>
          <t>sella basmati rice price in dubai</t>
        </is>
      </c>
      <c r="B19" t="inlineStr">
        <is>
          <t>Phase 1 - B2B now</t>
        </is>
      </c>
      <c r="C19" t="inlineStr">
        <is>
          <t>Wholesalers / bulk buyers</t>
        </is>
      </c>
      <c r="D19" t="inlineStr">
        <is>
          <t>Price</t>
        </is>
      </c>
      <c r="E19" t="inlineStr">
        <is>
          <t>Basmati</t>
        </is>
      </c>
      <c r="F19" t="inlineStr">
        <is>
          <t>Commercial/Transactional</t>
        </is>
      </c>
      <c r="G19" t="inlineStr">
        <is>
          <t>MOFU</t>
        </is>
      </c>
      <c r="H19" t="inlineStr">
        <is>
          <t>Dubai</t>
        </is>
      </c>
      <c r="I19" t="inlineStr">
        <is>
          <t>Sella Basmati product page</t>
        </is>
      </c>
      <c r="J19" t="inlineStr">
        <is>
          <t>Product</t>
        </is>
      </c>
      <c r="K19">
        <f>IFERROR(VLOOKUP($A19,'Semrush Import'!$A:$D,2,FALSE),"")</f>
        <v/>
      </c>
      <c r="L19">
        <f>IFERROR(VLOOKUP($A19,'Semrush Import'!$A:$D,3,FALSE),"")</f>
        <v/>
      </c>
      <c r="M19">
        <f>IFERROR(VLOOKUP($A19,'Semrush Import'!$A:$D,4,FALSE),"")</f>
        <v/>
      </c>
      <c r="N19">
        <f>IFERROR(VLOOKUP($A19,'KP Import'!$A:$B,2,FALSE),"")</f>
        <v/>
      </c>
      <c r="O19">
        <f>IF(K19="","",ROUND(K19/(L19+10),1))</f>
        <v/>
      </c>
      <c r="P19">
        <f>IF(O19="","",IF(O19&gt;=20,"A - Go first",IF(O19&gt;=5,"B - Next","C - Later")))</f>
        <v/>
      </c>
      <c r="Q19" t="inlineStr">
        <is>
          <t>To research</t>
        </is>
      </c>
      <c r="R19" t="inlineStr"/>
    </row>
    <row r="20">
      <c r="A20" t="inlineStr">
        <is>
          <t>sella basmati rice online dubai</t>
        </is>
      </c>
      <c r="B20" t="inlineStr">
        <is>
          <t>Phase 2 - B2C (later)</t>
        </is>
      </c>
      <c r="C20" t="inlineStr">
        <is>
          <t>Consumer / household</t>
        </is>
      </c>
      <c r="D20" t="inlineStr">
        <is>
          <t>Transactional</t>
        </is>
      </c>
      <c r="E20" t="inlineStr">
        <is>
          <t>Basmati</t>
        </is>
      </c>
      <c r="F20" t="inlineStr">
        <is>
          <t>Transactional</t>
        </is>
      </c>
      <c r="G20" t="inlineStr">
        <is>
          <t>BOFU</t>
        </is>
      </c>
      <c r="H20" t="inlineStr">
        <is>
          <t>Dubai</t>
        </is>
      </c>
      <c r="I20" t="inlineStr">
        <is>
          <t>Sella Basmati product page</t>
        </is>
      </c>
      <c r="J20" t="inlineStr">
        <is>
          <t>Product</t>
        </is>
      </c>
      <c r="K20">
        <f>IFERROR(VLOOKUP($A20,'Semrush Import'!$A:$D,2,FALSE),"")</f>
        <v/>
      </c>
      <c r="L20">
        <f>IFERROR(VLOOKUP($A20,'Semrush Import'!$A:$D,3,FALSE),"")</f>
        <v/>
      </c>
      <c r="M20">
        <f>IFERROR(VLOOKUP($A20,'Semrush Import'!$A:$D,4,FALSE),"")</f>
        <v/>
      </c>
      <c r="N20">
        <f>IFERROR(VLOOKUP($A20,'KP Import'!$A:$B,2,FALSE),"")</f>
        <v/>
      </c>
      <c r="O20">
        <f>IF(K20="","",ROUND(K20/(L20+10),1))</f>
        <v/>
      </c>
      <c r="P20">
        <f>IF(O20="","",IF(O20&gt;=20,"A - Go first",IF(O20&gt;=5,"B - Next","C - Later")))</f>
        <v/>
      </c>
      <c r="Q20" t="inlineStr">
        <is>
          <t>To research</t>
        </is>
      </c>
      <c r="R20" t="inlineStr"/>
    </row>
    <row r="21">
      <c r="A21" t="inlineStr">
        <is>
          <t>sella basmati rice wholesale dubai</t>
        </is>
      </c>
      <c r="B21" t="inlineStr">
        <is>
          <t>Phase 1 - B2B now</t>
        </is>
      </c>
      <c r="C21" t="inlineStr">
        <is>
          <t>Wholesalers / bulk buyers</t>
        </is>
      </c>
      <c r="D21" t="inlineStr">
        <is>
          <t>Wholesale/B2B</t>
        </is>
      </c>
      <c r="E21" t="inlineStr">
        <is>
          <t>Basmati</t>
        </is>
      </c>
      <c r="F21" t="inlineStr">
        <is>
          <t>Transactional (B2B)</t>
        </is>
      </c>
      <c r="G21" t="inlineStr">
        <is>
          <t>BOFU</t>
        </is>
      </c>
      <c r="H21" t="inlineStr">
        <is>
          <t>Dubai</t>
        </is>
      </c>
      <c r="I21" t="inlineStr">
        <is>
          <t>Wholesale landing page</t>
        </is>
      </c>
      <c r="J21" t="inlineStr">
        <is>
          <t>Landing</t>
        </is>
      </c>
      <c r="K21">
        <f>IFERROR(VLOOKUP($A21,'Semrush Import'!$A:$D,2,FALSE),"")</f>
        <v/>
      </c>
      <c r="L21">
        <f>IFERROR(VLOOKUP($A21,'Semrush Import'!$A:$D,3,FALSE),"")</f>
        <v/>
      </c>
      <c r="M21">
        <f>IFERROR(VLOOKUP($A21,'Semrush Import'!$A:$D,4,FALSE),"")</f>
        <v/>
      </c>
      <c r="N21">
        <f>IFERROR(VLOOKUP($A21,'KP Import'!$A:$B,2,FALSE),"")</f>
        <v/>
      </c>
      <c r="O21">
        <f>IF(K21="","",ROUND(K21/(L21+10),1))</f>
        <v/>
      </c>
      <c r="P21">
        <f>IF(O21="","",IF(O21&gt;=20,"A - Go first",IF(O21&gt;=5,"B - Next","C - Later")))</f>
        <v/>
      </c>
      <c r="Q21" t="inlineStr">
        <is>
          <t>To research</t>
        </is>
      </c>
      <c r="R21" t="inlineStr"/>
    </row>
    <row r="22">
      <c r="A22" t="inlineStr">
        <is>
          <t>sella basmati rice supplier uae</t>
        </is>
      </c>
      <c r="B22" t="inlineStr">
        <is>
          <t>Phase 1 - B2B now</t>
        </is>
      </c>
      <c r="C22" t="inlineStr">
        <is>
          <t>Wholesalers / bulk buyers</t>
        </is>
      </c>
      <c r="D22" t="inlineStr">
        <is>
          <t>Wholesale/B2B</t>
        </is>
      </c>
      <c r="E22" t="inlineStr">
        <is>
          <t>Basmati</t>
        </is>
      </c>
      <c r="F22" t="inlineStr">
        <is>
          <t>Transactional (B2B)</t>
        </is>
      </c>
      <c r="G22" t="inlineStr">
        <is>
          <t>BOFU</t>
        </is>
      </c>
      <c r="H22" t="inlineStr">
        <is>
          <t>UAE</t>
        </is>
      </c>
      <c r="I22" t="inlineStr">
        <is>
          <t>Wholesale landing page</t>
        </is>
      </c>
      <c r="J22" t="inlineStr">
        <is>
          <t>Landing</t>
        </is>
      </c>
      <c r="K22">
        <f>IFERROR(VLOOKUP($A22,'Semrush Import'!$A:$D,2,FALSE),"")</f>
        <v/>
      </c>
      <c r="L22">
        <f>IFERROR(VLOOKUP($A22,'Semrush Import'!$A:$D,3,FALSE),"")</f>
        <v/>
      </c>
      <c r="M22">
        <f>IFERROR(VLOOKUP($A22,'Semrush Import'!$A:$D,4,FALSE),"")</f>
        <v/>
      </c>
      <c r="N22">
        <f>IFERROR(VLOOKUP($A22,'KP Import'!$A:$B,2,FALSE),"")</f>
        <v/>
      </c>
      <c r="O22">
        <f>IF(K22="","",ROUND(K22/(L22+10),1))</f>
        <v/>
      </c>
      <c r="P22">
        <f>IF(O22="","",IF(O22&gt;=20,"A - Go first",IF(O22&gt;=5,"B - Next","C - Later")))</f>
        <v/>
      </c>
      <c r="Q22" t="inlineStr">
        <is>
          <t>To research</t>
        </is>
      </c>
      <c r="R22" t="inlineStr"/>
    </row>
    <row r="23">
      <c r="A23" t="inlineStr">
        <is>
          <t>golden sella basmati rice</t>
        </is>
      </c>
      <c r="B23" t="inlineStr">
        <is>
          <t>Phase 1 - B2B now</t>
        </is>
      </c>
      <c r="C23" t="inlineStr">
        <is>
          <t>Wholesalers / bulk buyers</t>
        </is>
      </c>
      <c r="D23" t="inlineStr">
        <is>
          <t>Core product</t>
        </is>
      </c>
      <c r="E23" t="inlineStr">
        <is>
          <t>Basmati</t>
        </is>
      </c>
      <c r="F23" t="inlineStr">
        <is>
          <t>Informational/Commercial</t>
        </is>
      </c>
      <c r="G23" t="inlineStr">
        <is>
          <t>TOFU</t>
        </is>
      </c>
      <c r="H23" t="inlineStr">
        <is>
          <t>UAE (generic)</t>
        </is>
      </c>
      <c r="I23" t="inlineStr">
        <is>
          <t>Sella Basmati product page</t>
        </is>
      </c>
      <c r="J23" t="inlineStr">
        <is>
          <t>Product</t>
        </is>
      </c>
      <c r="K23">
        <f>IFERROR(VLOOKUP($A23,'Semrush Import'!$A:$D,2,FALSE),"")</f>
        <v/>
      </c>
      <c r="L23">
        <f>IFERROR(VLOOKUP($A23,'Semrush Import'!$A:$D,3,FALSE),"")</f>
        <v/>
      </c>
      <c r="M23">
        <f>IFERROR(VLOOKUP($A23,'Semrush Import'!$A:$D,4,FALSE),"")</f>
        <v/>
      </c>
      <c r="N23">
        <f>IFERROR(VLOOKUP($A23,'KP Import'!$A:$B,2,FALSE),"")</f>
        <v/>
      </c>
      <c r="O23">
        <f>IF(K23="","",ROUND(K23/(L23+10),1))</f>
        <v/>
      </c>
      <c r="P23">
        <f>IF(O23="","",IF(O23&gt;=20,"A - Go first",IF(O23&gt;=5,"B - Next","C - Later")))</f>
        <v/>
      </c>
      <c r="Q23" t="inlineStr">
        <is>
          <t>To research</t>
        </is>
      </c>
      <c r="R23" t="inlineStr"/>
    </row>
    <row r="24">
      <c r="A24" t="inlineStr">
        <is>
          <t>buy golden sella basmati rice online</t>
        </is>
      </c>
      <c r="B24" t="inlineStr">
        <is>
          <t>Phase 2 - B2C (later)</t>
        </is>
      </c>
      <c r="C24" t="inlineStr">
        <is>
          <t>Consumer / household</t>
        </is>
      </c>
      <c r="D24" t="inlineStr">
        <is>
          <t>Transactional</t>
        </is>
      </c>
      <c r="E24" t="inlineStr">
        <is>
          <t>Basmati</t>
        </is>
      </c>
      <c r="F24" t="inlineStr">
        <is>
          <t>Transactional</t>
        </is>
      </c>
      <c r="G24" t="inlineStr">
        <is>
          <t>BOFU</t>
        </is>
      </c>
      <c r="H24" t="inlineStr">
        <is>
          <t>UAE (generic)</t>
        </is>
      </c>
      <c r="I24" t="inlineStr">
        <is>
          <t>Sella Basmati product page</t>
        </is>
      </c>
      <c r="J24" t="inlineStr">
        <is>
          <t>Product</t>
        </is>
      </c>
      <c r="K24">
        <f>IFERROR(VLOOKUP($A24,'Semrush Import'!$A:$D,2,FALSE),"")</f>
        <v/>
      </c>
      <c r="L24">
        <f>IFERROR(VLOOKUP($A24,'Semrush Import'!$A:$D,3,FALSE),"")</f>
        <v/>
      </c>
      <c r="M24">
        <f>IFERROR(VLOOKUP($A24,'Semrush Import'!$A:$D,4,FALSE),"")</f>
        <v/>
      </c>
      <c r="N24">
        <f>IFERROR(VLOOKUP($A24,'KP Import'!$A:$B,2,FALSE),"")</f>
        <v/>
      </c>
      <c r="O24">
        <f>IF(K24="","",ROUND(K24/(L24+10),1))</f>
        <v/>
      </c>
      <c r="P24">
        <f>IF(O24="","",IF(O24&gt;=20,"A - Go first",IF(O24&gt;=5,"B - Next","C - Later")))</f>
        <v/>
      </c>
      <c r="Q24" t="inlineStr">
        <is>
          <t>To research</t>
        </is>
      </c>
      <c r="R24" t="inlineStr"/>
    </row>
    <row r="25">
      <c r="A25" t="inlineStr">
        <is>
          <t>golden sella basmati rice price in uae</t>
        </is>
      </c>
      <c r="B25" t="inlineStr">
        <is>
          <t>Phase 1 - B2B now</t>
        </is>
      </c>
      <c r="C25" t="inlineStr">
        <is>
          <t>Wholesalers / bulk buyers</t>
        </is>
      </c>
      <c r="D25" t="inlineStr">
        <is>
          <t>Price</t>
        </is>
      </c>
      <c r="E25" t="inlineStr">
        <is>
          <t>Basmati</t>
        </is>
      </c>
      <c r="F25" t="inlineStr">
        <is>
          <t>Commercial/Transactional</t>
        </is>
      </c>
      <c r="G25" t="inlineStr">
        <is>
          <t>MOFU</t>
        </is>
      </c>
      <c r="H25" t="inlineStr">
        <is>
          <t>UAE</t>
        </is>
      </c>
      <c r="I25" t="inlineStr">
        <is>
          <t>Sella Basmati product page</t>
        </is>
      </c>
      <c r="J25" t="inlineStr">
        <is>
          <t>Product</t>
        </is>
      </c>
      <c r="K25">
        <f>IFERROR(VLOOKUP($A25,'Semrush Import'!$A:$D,2,FALSE),"")</f>
        <v/>
      </c>
      <c r="L25">
        <f>IFERROR(VLOOKUP($A25,'Semrush Import'!$A:$D,3,FALSE),"")</f>
        <v/>
      </c>
      <c r="M25">
        <f>IFERROR(VLOOKUP($A25,'Semrush Import'!$A:$D,4,FALSE),"")</f>
        <v/>
      </c>
      <c r="N25">
        <f>IFERROR(VLOOKUP($A25,'KP Import'!$A:$B,2,FALSE),"")</f>
        <v/>
      </c>
      <c r="O25">
        <f>IF(K25="","",ROUND(K25/(L25+10),1))</f>
        <v/>
      </c>
      <c r="P25">
        <f>IF(O25="","",IF(O25&gt;=20,"A - Go first",IF(O25&gt;=5,"B - Next","C - Later")))</f>
        <v/>
      </c>
      <c r="Q25" t="inlineStr">
        <is>
          <t>To research</t>
        </is>
      </c>
      <c r="R25" t="inlineStr"/>
    </row>
    <row r="26">
      <c r="A26" t="inlineStr">
        <is>
          <t>golden sella basmati rice price in dubai</t>
        </is>
      </c>
      <c r="B26" t="inlineStr">
        <is>
          <t>Phase 1 - B2B now</t>
        </is>
      </c>
      <c r="C26" t="inlineStr">
        <is>
          <t>Wholesalers / bulk buyers</t>
        </is>
      </c>
      <c r="D26" t="inlineStr">
        <is>
          <t>Price</t>
        </is>
      </c>
      <c r="E26" t="inlineStr">
        <is>
          <t>Basmati</t>
        </is>
      </c>
      <c r="F26" t="inlineStr">
        <is>
          <t>Commercial/Transactional</t>
        </is>
      </c>
      <c r="G26" t="inlineStr">
        <is>
          <t>MOFU</t>
        </is>
      </c>
      <c r="H26" t="inlineStr">
        <is>
          <t>Dubai</t>
        </is>
      </c>
      <c r="I26" t="inlineStr">
        <is>
          <t>Sella Basmati product page</t>
        </is>
      </c>
      <c r="J26" t="inlineStr">
        <is>
          <t>Product</t>
        </is>
      </c>
      <c r="K26">
        <f>IFERROR(VLOOKUP($A26,'Semrush Import'!$A:$D,2,FALSE),"")</f>
        <v/>
      </c>
      <c r="L26">
        <f>IFERROR(VLOOKUP($A26,'Semrush Import'!$A:$D,3,FALSE),"")</f>
        <v/>
      </c>
      <c r="M26">
        <f>IFERROR(VLOOKUP($A26,'Semrush Import'!$A:$D,4,FALSE),"")</f>
        <v/>
      </c>
      <c r="N26">
        <f>IFERROR(VLOOKUP($A26,'KP Import'!$A:$B,2,FALSE),"")</f>
        <v/>
      </c>
      <c r="O26">
        <f>IF(K26="","",ROUND(K26/(L26+10),1))</f>
        <v/>
      </c>
      <c r="P26">
        <f>IF(O26="","",IF(O26&gt;=20,"A - Go first",IF(O26&gt;=5,"B - Next","C - Later")))</f>
        <v/>
      </c>
      <c r="Q26" t="inlineStr">
        <is>
          <t>To research</t>
        </is>
      </c>
      <c r="R26" t="inlineStr"/>
    </row>
    <row r="27">
      <c r="A27" t="inlineStr">
        <is>
          <t>golden sella basmati rice online dubai</t>
        </is>
      </c>
      <c r="B27" t="inlineStr">
        <is>
          <t>Phase 2 - B2C (later)</t>
        </is>
      </c>
      <c r="C27" t="inlineStr">
        <is>
          <t>Consumer / household</t>
        </is>
      </c>
      <c r="D27" t="inlineStr">
        <is>
          <t>Transactional</t>
        </is>
      </c>
      <c r="E27" t="inlineStr">
        <is>
          <t>Basmati</t>
        </is>
      </c>
      <c r="F27" t="inlineStr">
        <is>
          <t>Transactional</t>
        </is>
      </c>
      <c r="G27" t="inlineStr">
        <is>
          <t>BOFU</t>
        </is>
      </c>
      <c r="H27" t="inlineStr">
        <is>
          <t>Dubai</t>
        </is>
      </c>
      <c r="I27" t="inlineStr">
        <is>
          <t>Sella Basmati product page</t>
        </is>
      </c>
      <c r="J27" t="inlineStr">
        <is>
          <t>Product</t>
        </is>
      </c>
      <c r="K27">
        <f>IFERROR(VLOOKUP($A27,'Semrush Import'!$A:$D,2,FALSE),"")</f>
        <v/>
      </c>
      <c r="L27">
        <f>IFERROR(VLOOKUP($A27,'Semrush Import'!$A:$D,3,FALSE),"")</f>
        <v/>
      </c>
      <c r="M27">
        <f>IFERROR(VLOOKUP($A27,'Semrush Import'!$A:$D,4,FALSE),"")</f>
        <v/>
      </c>
      <c r="N27">
        <f>IFERROR(VLOOKUP($A27,'KP Import'!$A:$B,2,FALSE),"")</f>
        <v/>
      </c>
      <c r="O27">
        <f>IF(K27="","",ROUND(K27/(L27+10),1))</f>
        <v/>
      </c>
      <c r="P27">
        <f>IF(O27="","",IF(O27&gt;=20,"A - Go first",IF(O27&gt;=5,"B - Next","C - Later")))</f>
        <v/>
      </c>
      <c r="Q27" t="inlineStr">
        <is>
          <t>To research</t>
        </is>
      </c>
      <c r="R27" t="inlineStr"/>
    </row>
    <row r="28">
      <c r="A28" t="inlineStr">
        <is>
          <t>golden sella basmati rice wholesale dubai</t>
        </is>
      </c>
      <c r="B28" t="inlineStr">
        <is>
          <t>Phase 1 - B2B now</t>
        </is>
      </c>
      <c r="C28" t="inlineStr">
        <is>
          <t>Wholesalers / bulk buyers</t>
        </is>
      </c>
      <c r="D28" t="inlineStr">
        <is>
          <t>Wholesale/B2B</t>
        </is>
      </c>
      <c r="E28" t="inlineStr">
        <is>
          <t>Basmati</t>
        </is>
      </c>
      <c r="F28" t="inlineStr">
        <is>
          <t>Transactional (B2B)</t>
        </is>
      </c>
      <c r="G28" t="inlineStr">
        <is>
          <t>BOFU</t>
        </is>
      </c>
      <c r="H28" t="inlineStr">
        <is>
          <t>Dubai</t>
        </is>
      </c>
      <c r="I28" t="inlineStr">
        <is>
          <t>Wholesale landing page</t>
        </is>
      </c>
      <c r="J28" t="inlineStr">
        <is>
          <t>Landing</t>
        </is>
      </c>
      <c r="K28">
        <f>IFERROR(VLOOKUP($A28,'Semrush Import'!$A:$D,2,FALSE),"")</f>
        <v/>
      </c>
      <c r="L28">
        <f>IFERROR(VLOOKUP($A28,'Semrush Import'!$A:$D,3,FALSE),"")</f>
        <v/>
      </c>
      <c r="M28">
        <f>IFERROR(VLOOKUP($A28,'Semrush Import'!$A:$D,4,FALSE),"")</f>
        <v/>
      </c>
      <c r="N28">
        <f>IFERROR(VLOOKUP($A28,'KP Import'!$A:$B,2,FALSE),"")</f>
        <v/>
      </c>
      <c r="O28">
        <f>IF(K28="","",ROUND(K28/(L28+10),1))</f>
        <v/>
      </c>
      <c r="P28">
        <f>IF(O28="","",IF(O28&gt;=20,"A - Go first",IF(O28&gt;=5,"B - Next","C - Later")))</f>
        <v/>
      </c>
      <c r="Q28" t="inlineStr">
        <is>
          <t>To research</t>
        </is>
      </c>
      <c r="R28" t="inlineStr"/>
    </row>
    <row r="29">
      <c r="A29" t="inlineStr">
        <is>
          <t>golden sella basmati rice supplier uae</t>
        </is>
      </c>
      <c r="B29" t="inlineStr">
        <is>
          <t>Phase 1 - B2B now</t>
        </is>
      </c>
      <c r="C29" t="inlineStr">
        <is>
          <t>Wholesalers / bulk buyers</t>
        </is>
      </c>
      <c r="D29" t="inlineStr">
        <is>
          <t>Wholesale/B2B</t>
        </is>
      </c>
      <c r="E29" t="inlineStr">
        <is>
          <t>Basmati</t>
        </is>
      </c>
      <c r="F29" t="inlineStr">
        <is>
          <t>Transactional (B2B)</t>
        </is>
      </c>
      <c r="G29" t="inlineStr">
        <is>
          <t>BOFU</t>
        </is>
      </c>
      <c r="H29" t="inlineStr">
        <is>
          <t>UAE</t>
        </is>
      </c>
      <c r="I29" t="inlineStr">
        <is>
          <t>Wholesale landing page</t>
        </is>
      </c>
      <c r="J29" t="inlineStr">
        <is>
          <t>Landing</t>
        </is>
      </c>
      <c r="K29">
        <f>IFERROR(VLOOKUP($A29,'Semrush Import'!$A:$D,2,FALSE),"")</f>
        <v/>
      </c>
      <c r="L29">
        <f>IFERROR(VLOOKUP($A29,'Semrush Import'!$A:$D,3,FALSE),"")</f>
        <v/>
      </c>
      <c r="M29">
        <f>IFERROR(VLOOKUP($A29,'Semrush Import'!$A:$D,4,FALSE),"")</f>
        <v/>
      </c>
      <c r="N29">
        <f>IFERROR(VLOOKUP($A29,'KP Import'!$A:$B,2,FALSE),"")</f>
        <v/>
      </c>
      <c r="O29">
        <f>IF(K29="","",ROUND(K29/(L29+10),1))</f>
        <v/>
      </c>
      <c r="P29">
        <f>IF(O29="","",IF(O29&gt;=20,"A - Go first",IF(O29&gt;=5,"B - Next","C - Later")))</f>
        <v/>
      </c>
      <c r="Q29" t="inlineStr">
        <is>
          <t>To research</t>
        </is>
      </c>
      <c r="R29" t="inlineStr"/>
    </row>
    <row r="30">
      <c r="A30" t="inlineStr">
        <is>
          <t>steam basmati rice</t>
        </is>
      </c>
      <c r="B30" t="inlineStr">
        <is>
          <t>Phase 1 - B2B now</t>
        </is>
      </c>
      <c r="C30" t="inlineStr">
        <is>
          <t>Wholesalers / bulk buyers</t>
        </is>
      </c>
      <c r="D30" t="inlineStr">
        <is>
          <t>Core product</t>
        </is>
      </c>
      <c r="E30" t="inlineStr">
        <is>
          <t>Basmati</t>
        </is>
      </c>
      <c r="F30" t="inlineStr">
        <is>
          <t>Informational/Commercial</t>
        </is>
      </c>
      <c r="G30" t="inlineStr">
        <is>
          <t>TOFU</t>
        </is>
      </c>
      <c r="H30" t="inlineStr">
        <is>
          <t>UAE (generic)</t>
        </is>
      </c>
      <c r="I30" t="inlineStr">
        <is>
          <t>Steam Basmati product page</t>
        </is>
      </c>
      <c r="J30" t="inlineStr">
        <is>
          <t>Product</t>
        </is>
      </c>
      <c r="K30">
        <f>IFERROR(VLOOKUP($A30,'Semrush Import'!$A:$D,2,FALSE),"")</f>
        <v/>
      </c>
      <c r="L30">
        <f>IFERROR(VLOOKUP($A30,'Semrush Import'!$A:$D,3,FALSE),"")</f>
        <v/>
      </c>
      <c r="M30">
        <f>IFERROR(VLOOKUP($A30,'Semrush Import'!$A:$D,4,FALSE),"")</f>
        <v/>
      </c>
      <c r="N30">
        <f>IFERROR(VLOOKUP($A30,'KP Import'!$A:$B,2,FALSE),"")</f>
        <v/>
      </c>
      <c r="O30">
        <f>IF(K30="","",ROUND(K30/(L30+10),1))</f>
        <v/>
      </c>
      <c r="P30">
        <f>IF(O30="","",IF(O30&gt;=20,"A - Go first",IF(O30&gt;=5,"B - Next","C - Later")))</f>
        <v/>
      </c>
      <c r="Q30" t="inlineStr">
        <is>
          <t>To research</t>
        </is>
      </c>
      <c r="R30" t="inlineStr"/>
    </row>
    <row r="31">
      <c r="A31" t="inlineStr">
        <is>
          <t>buy steam basmati rice online</t>
        </is>
      </c>
      <c r="B31" t="inlineStr">
        <is>
          <t>Phase 2 - B2C (later)</t>
        </is>
      </c>
      <c r="C31" t="inlineStr">
        <is>
          <t>Consumer / household</t>
        </is>
      </c>
      <c r="D31" t="inlineStr">
        <is>
          <t>Transactional</t>
        </is>
      </c>
      <c r="E31" t="inlineStr">
        <is>
          <t>Basmati</t>
        </is>
      </c>
      <c r="F31" t="inlineStr">
        <is>
          <t>Transactional</t>
        </is>
      </c>
      <c r="G31" t="inlineStr">
        <is>
          <t>BOFU</t>
        </is>
      </c>
      <c r="H31" t="inlineStr">
        <is>
          <t>UAE (generic)</t>
        </is>
      </c>
      <c r="I31" t="inlineStr">
        <is>
          <t>Steam Basmati product page</t>
        </is>
      </c>
      <c r="J31" t="inlineStr">
        <is>
          <t>Product</t>
        </is>
      </c>
      <c r="K31">
        <f>IFERROR(VLOOKUP($A31,'Semrush Import'!$A:$D,2,FALSE),"")</f>
        <v/>
      </c>
      <c r="L31">
        <f>IFERROR(VLOOKUP($A31,'Semrush Import'!$A:$D,3,FALSE),"")</f>
        <v/>
      </c>
      <c r="M31">
        <f>IFERROR(VLOOKUP($A31,'Semrush Import'!$A:$D,4,FALSE),"")</f>
        <v/>
      </c>
      <c r="N31">
        <f>IFERROR(VLOOKUP($A31,'KP Import'!$A:$B,2,FALSE),"")</f>
        <v/>
      </c>
      <c r="O31">
        <f>IF(K31="","",ROUND(K31/(L31+10),1))</f>
        <v/>
      </c>
      <c r="P31">
        <f>IF(O31="","",IF(O31&gt;=20,"A - Go first",IF(O31&gt;=5,"B - Next","C - Later")))</f>
        <v/>
      </c>
      <c r="Q31" t="inlineStr">
        <is>
          <t>To research</t>
        </is>
      </c>
      <c r="R31" t="inlineStr"/>
    </row>
    <row r="32">
      <c r="A32" t="inlineStr">
        <is>
          <t>steam basmati rice price in uae</t>
        </is>
      </c>
      <c r="B32" t="inlineStr">
        <is>
          <t>Phase 1 - B2B now</t>
        </is>
      </c>
      <c r="C32" t="inlineStr">
        <is>
          <t>Wholesalers / bulk buyers</t>
        </is>
      </c>
      <c r="D32" t="inlineStr">
        <is>
          <t>Price</t>
        </is>
      </c>
      <c r="E32" t="inlineStr">
        <is>
          <t>Basmati</t>
        </is>
      </c>
      <c r="F32" t="inlineStr">
        <is>
          <t>Commercial/Transactional</t>
        </is>
      </c>
      <c r="G32" t="inlineStr">
        <is>
          <t>MOFU</t>
        </is>
      </c>
      <c r="H32" t="inlineStr">
        <is>
          <t>UAE</t>
        </is>
      </c>
      <c r="I32" t="inlineStr">
        <is>
          <t>Steam Basmati product page</t>
        </is>
      </c>
      <c r="J32" t="inlineStr">
        <is>
          <t>Product</t>
        </is>
      </c>
      <c r="K32">
        <f>IFERROR(VLOOKUP($A32,'Semrush Import'!$A:$D,2,FALSE),"")</f>
        <v/>
      </c>
      <c r="L32">
        <f>IFERROR(VLOOKUP($A32,'Semrush Import'!$A:$D,3,FALSE),"")</f>
        <v/>
      </c>
      <c r="M32">
        <f>IFERROR(VLOOKUP($A32,'Semrush Import'!$A:$D,4,FALSE),"")</f>
        <v/>
      </c>
      <c r="N32">
        <f>IFERROR(VLOOKUP($A32,'KP Import'!$A:$B,2,FALSE),"")</f>
        <v/>
      </c>
      <c r="O32">
        <f>IF(K32="","",ROUND(K32/(L32+10),1))</f>
        <v/>
      </c>
      <c r="P32">
        <f>IF(O32="","",IF(O32&gt;=20,"A - Go first",IF(O32&gt;=5,"B - Next","C - Later")))</f>
        <v/>
      </c>
      <c r="Q32" t="inlineStr">
        <is>
          <t>To research</t>
        </is>
      </c>
      <c r="R32" t="inlineStr"/>
    </row>
    <row r="33">
      <c r="A33" t="inlineStr">
        <is>
          <t>steam basmati rice price in dubai</t>
        </is>
      </c>
      <c r="B33" t="inlineStr">
        <is>
          <t>Phase 1 - B2B now</t>
        </is>
      </c>
      <c r="C33" t="inlineStr">
        <is>
          <t>Wholesalers / bulk buyers</t>
        </is>
      </c>
      <c r="D33" t="inlineStr">
        <is>
          <t>Price</t>
        </is>
      </c>
      <c r="E33" t="inlineStr">
        <is>
          <t>Basmati</t>
        </is>
      </c>
      <c r="F33" t="inlineStr">
        <is>
          <t>Commercial/Transactional</t>
        </is>
      </c>
      <c r="G33" t="inlineStr">
        <is>
          <t>MOFU</t>
        </is>
      </c>
      <c r="H33" t="inlineStr">
        <is>
          <t>Dubai</t>
        </is>
      </c>
      <c r="I33" t="inlineStr">
        <is>
          <t>Steam Basmati product page</t>
        </is>
      </c>
      <c r="J33" t="inlineStr">
        <is>
          <t>Product</t>
        </is>
      </c>
      <c r="K33">
        <f>IFERROR(VLOOKUP($A33,'Semrush Import'!$A:$D,2,FALSE),"")</f>
        <v/>
      </c>
      <c r="L33">
        <f>IFERROR(VLOOKUP($A33,'Semrush Import'!$A:$D,3,FALSE),"")</f>
        <v/>
      </c>
      <c r="M33">
        <f>IFERROR(VLOOKUP($A33,'Semrush Import'!$A:$D,4,FALSE),"")</f>
        <v/>
      </c>
      <c r="N33">
        <f>IFERROR(VLOOKUP($A33,'KP Import'!$A:$B,2,FALSE),"")</f>
        <v/>
      </c>
      <c r="O33">
        <f>IF(K33="","",ROUND(K33/(L33+10),1))</f>
        <v/>
      </c>
      <c r="P33">
        <f>IF(O33="","",IF(O33&gt;=20,"A - Go first",IF(O33&gt;=5,"B - Next","C - Later")))</f>
        <v/>
      </c>
      <c r="Q33" t="inlineStr">
        <is>
          <t>To research</t>
        </is>
      </c>
      <c r="R33" t="inlineStr"/>
    </row>
    <row r="34">
      <c r="A34" t="inlineStr">
        <is>
          <t>steam basmati rice online dubai</t>
        </is>
      </c>
      <c r="B34" t="inlineStr">
        <is>
          <t>Phase 2 - B2C (later)</t>
        </is>
      </c>
      <c r="C34" t="inlineStr">
        <is>
          <t>Consumer / household</t>
        </is>
      </c>
      <c r="D34" t="inlineStr">
        <is>
          <t>Transactional</t>
        </is>
      </c>
      <c r="E34" t="inlineStr">
        <is>
          <t>Basmati</t>
        </is>
      </c>
      <c r="F34" t="inlineStr">
        <is>
          <t>Transactional</t>
        </is>
      </c>
      <c r="G34" t="inlineStr">
        <is>
          <t>BOFU</t>
        </is>
      </c>
      <c r="H34" t="inlineStr">
        <is>
          <t>Dubai</t>
        </is>
      </c>
      <c r="I34" t="inlineStr">
        <is>
          <t>Steam Basmati product page</t>
        </is>
      </c>
      <c r="J34" t="inlineStr">
        <is>
          <t>Product</t>
        </is>
      </c>
      <c r="K34">
        <f>IFERROR(VLOOKUP($A34,'Semrush Import'!$A:$D,2,FALSE),"")</f>
        <v/>
      </c>
      <c r="L34">
        <f>IFERROR(VLOOKUP($A34,'Semrush Import'!$A:$D,3,FALSE),"")</f>
        <v/>
      </c>
      <c r="M34">
        <f>IFERROR(VLOOKUP($A34,'Semrush Import'!$A:$D,4,FALSE),"")</f>
        <v/>
      </c>
      <c r="N34">
        <f>IFERROR(VLOOKUP($A34,'KP Import'!$A:$B,2,FALSE),"")</f>
        <v/>
      </c>
      <c r="O34">
        <f>IF(K34="","",ROUND(K34/(L34+10),1))</f>
        <v/>
      </c>
      <c r="P34">
        <f>IF(O34="","",IF(O34&gt;=20,"A - Go first",IF(O34&gt;=5,"B - Next","C - Later")))</f>
        <v/>
      </c>
      <c r="Q34" t="inlineStr">
        <is>
          <t>To research</t>
        </is>
      </c>
      <c r="R34" t="inlineStr"/>
    </row>
    <row r="35">
      <c r="A35" t="inlineStr">
        <is>
          <t>steam basmati rice wholesale dubai</t>
        </is>
      </c>
      <c r="B35" t="inlineStr">
        <is>
          <t>Phase 1 - B2B now</t>
        </is>
      </c>
      <c r="C35" t="inlineStr">
        <is>
          <t>Wholesalers / bulk buyers</t>
        </is>
      </c>
      <c r="D35" t="inlineStr">
        <is>
          <t>Wholesale/B2B</t>
        </is>
      </c>
      <c r="E35" t="inlineStr">
        <is>
          <t>Basmati</t>
        </is>
      </c>
      <c r="F35" t="inlineStr">
        <is>
          <t>Transactional (B2B)</t>
        </is>
      </c>
      <c r="G35" t="inlineStr">
        <is>
          <t>BOFU</t>
        </is>
      </c>
      <c r="H35" t="inlineStr">
        <is>
          <t>Dubai</t>
        </is>
      </c>
      <c r="I35" t="inlineStr">
        <is>
          <t>Wholesale landing page</t>
        </is>
      </c>
      <c r="J35" t="inlineStr">
        <is>
          <t>Landing</t>
        </is>
      </c>
      <c r="K35">
        <f>IFERROR(VLOOKUP($A35,'Semrush Import'!$A:$D,2,FALSE),"")</f>
        <v/>
      </c>
      <c r="L35">
        <f>IFERROR(VLOOKUP($A35,'Semrush Import'!$A:$D,3,FALSE),"")</f>
        <v/>
      </c>
      <c r="M35">
        <f>IFERROR(VLOOKUP($A35,'Semrush Import'!$A:$D,4,FALSE),"")</f>
        <v/>
      </c>
      <c r="N35">
        <f>IFERROR(VLOOKUP($A35,'KP Import'!$A:$B,2,FALSE),"")</f>
        <v/>
      </c>
      <c r="O35">
        <f>IF(K35="","",ROUND(K35/(L35+10),1))</f>
        <v/>
      </c>
      <c r="P35">
        <f>IF(O35="","",IF(O35&gt;=20,"A - Go first",IF(O35&gt;=5,"B - Next","C - Later")))</f>
        <v/>
      </c>
      <c r="Q35" t="inlineStr">
        <is>
          <t>To research</t>
        </is>
      </c>
      <c r="R35" t="inlineStr"/>
    </row>
    <row r="36">
      <c r="A36" t="inlineStr">
        <is>
          <t>steam basmati rice supplier uae</t>
        </is>
      </c>
      <c r="B36" t="inlineStr">
        <is>
          <t>Phase 1 - B2B now</t>
        </is>
      </c>
      <c r="C36" t="inlineStr">
        <is>
          <t>Wholesalers / bulk buyers</t>
        </is>
      </c>
      <c r="D36" t="inlineStr">
        <is>
          <t>Wholesale/B2B</t>
        </is>
      </c>
      <c r="E36" t="inlineStr">
        <is>
          <t>Basmati</t>
        </is>
      </c>
      <c r="F36" t="inlineStr">
        <is>
          <t>Transactional (B2B)</t>
        </is>
      </c>
      <c r="G36" t="inlineStr">
        <is>
          <t>BOFU</t>
        </is>
      </c>
      <c r="H36" t="inlineStr">
        <is>
          <t>UAE</t>
        </is>
      </c>
      <c r="I36" t="inlineStr">
        <is>
          <t>Wholesale landing page</t>
        </is>
      </c>
      <c r="J36" t="inlineStr">
        <is>
          <t>Landing</t>
        </is>
      </c>
      <c r="K36">
        <f>IFERROR(VLOOKUP($A36,'Semrush Import'!$A:$D,2,FALSE),"")</f>
        <v/>
      </c>
      <c r="L36">
        <f>IFERROR(VLOOKUP($A36,'Semrush Import'!$A:$D,3,FALSE),"")</f>
        <v/>
      </c>
      <c r="M36">
        <f>IFERROR(VLOOKUP($A36,'Semrush Import'!$A:$D,4,FALSE),"")</f>
        <v/>
      </c>
      <c r="N36">
        <f>IFERROR(VLOOKUP($A36,'KP Import'!$A:$B,2,FALSE),"")</f>
        <v/>
      </c>
      <c r="O36">
        <f>IF(K36="","",ROUND(K36/(L36+10),1))</f>
        <v/>
      </c>
      <c r="P36">
        <f>IF(O36="","",IF(O36&gt;=20,"A - Go first",IF(O36&gt;=5,"B - Next","C - Later")))</f>
        <v/>
      </c>
      <c r="Q36" t="inlineStr">
        <is>
          <t>To research</t>
        </is>
      </c>
      <c r="R36" t="inlineStr"/>
    </row>
    <row r="37">
      <c r="A37" t="inlineStr">
        <is>
          <t>white sella basmati rice</t>
        </is>
      </c>
      <c r="B37" t="inlineStr">
        <is>
          <t>Phase 1 - B2B now</t>
        </is>
      </c>
      <c r="C37" t="inlineStr">
        <is>
          <t>Wholesalers / bulk buyers</t>
        </is>
      </c>
      <c r="D37" t="inlineStr">
        <is>
          <t>Core product</t>
        </is>
      </c>
      <c r="E37" t="inlineStr">
        <is>
          <t>Basmati</t>
        </is>
      </c>
      <c r="F37" t="inlineStr">
        <is>
          <t>Informational/Commercial</t>
        </is>
      </c>
      <c r="G37" t="inlineStr">
        <is>
          <t>TOFU</t>
        </is>
      </c>
      <c r="H37" t="inlineStr">
        <is>
          <t>UAE (generic)</t>
        </is>
      </c>
      <c r="I37" t="inlineStr">
        <is>
          <t>Sella Basmati product page</t>
        </is>
      </c>
      <c r="J37" t="inlineStr">
        <is>
          <t>Product</t>
        </is>
      </c>
      <c r="K37">
        <f>IFERROR(VLOOKUP($A37,'Semrush Import'!$A:$D,2,FALSE),"")</f>
        <v/>
      </c>
      <c r="L37">
        <f>IFERROR(VLOOKUP($A37,'Semrush Import'!$A:$D,3,FALSE),"")</f>
        <v/>
      </c>
      <c r="M37">
        <f>IFERROR(VLOOKUP($A37,'Semrush Import'!$A:$D,4,FALSE),"")</f>
        <v/>
      </c>
      <c r="N37">
        <f>IFERROR(VLOOKUP($A37,'KP Import'!$A:$B,2,FALSE),"")</f>
        <v/>
      </c>
      <c r="O37">
        <f>IF(K37="","",ROUND(K37/(L37+10),1))</f>
        <v/>
      </c>
      <c r="P37">
        <f>IF(O37="","",IF(O37&gt;=20,"A - Go first",IF(O37&gt;=5,"B - Next","C - Later")))</f>
        <v/>
      </c>
      <c r="Q37" t="inlineStr">
        <is>
          <t>To research</t>
        </is>
      </c>
      <c r="R37" t="inlineStr"/>
    </row>
    <row r="38">
      <c r="A38" t="inlineStr">
        <is>
          <t>buy white sella basmati rice online</t>
        </is>
      </c>
      <c r="B38" t="inlineStr">
        <is>
          <t>Phase 2 - B2C (later)</t>
        </is>
      </c>
      <c r="C38" t="inlineStr">
        <is>
          <t>Consumer / household</t>
        </is>
      </c>
      <c r="D38" t="inlineStr">
        <is>
          <t>Transactional</t>
        </is>
      </c>
      <c r="E38" t="inlineStr">
        <is>
          <t>Basmati</t>
        </is>
      </c>
      <c r="F38" t="inlineStr">
        <is>
          <t>Transactional</t>
        </is>
      </c>
      <c r="G38" t="inlineStr">
        <is>
          <t>BOFU</t>
        </is>
      </c>
      <c r="H38" t="inlineStr">
        <is>
          <t>UAE (generic)</t>
        </is>
      </c>
      <c r="I38" t="inlineStr">
        <is>
          <t>Sella Basmati product page</t>
        </is>
      </c>
      <c r="J38" t="inlineStr">
        <is>
          <t>Product</t>
        </is>
      </c>
      <c r="K38">
        <f>IFERROR(VLOOKUP($A38,'Semrush Import'!$A:$D,2,FALSE),"")</f>
        <v/>
      </c>
      <c r="L38">
        <f>IFERROR(VLOOKUP($A38,'Semrush Import'!$A:$D,3,FALSE),"")</f>
        <v/>
      </c>
      <c r="M38">
        <f>IFERROR(VLOOKUP($A38,'Semrush Import'!$A:$D,4,FALSE),"")</f>
        <v/>
      </c>
      <c r="N38">
        <f>IFERROR(VLOOKUP($A38,'KP Import'!$A:$B,2,FALSE),"")</f>
        <v/>
      </c>
      <c r="O38">
        <f>IF(K38="","",ROUND(K38/(L38+10),1))</f>
        <v/>
      </c>
      <c r="P38">
        <f>IF(O38="","",IF(O38&gt;=20,"A - Go first",IF(O38&gt;=5,"B - Next","C - Later")))</f>
        <v/>
      </c>
      <c r="Q38" t="inlineStr">
        <is>
          <t>To research</t>
        </is>
      </c>
      <c r="R38" t="inlineStr"/>
    </row>
    <row r="39">
      <c r="A39" t="inlineStr">
        <is>
          <t>white sella basmati rice price in uae</t>
        </is>
      </c>
      <c r="B39" t="inlineStr">
        <is>
          <t>Phase 1 - B2B now</t>
        </is>
      </c>
      <c r="C39" t="inlineStr">
        <is>
          <t>Wholesalers / bulk buyers</t>
        </is>
      </c>
      <c r="D39" t="inlineStr">
        <is>
          <t>Price</t>
        </is>
      </c>
      <c r="E39" t="inlineStr">
        <is>
          <t>Basmati</t>
        </is>
      </c>
      <c r="F39" t="inlineStr">
        <is>
          <t>Commercial/Transactional</t>
        </is>
      </c>
      <c r="G39" t="inlineStr">
        <is>
          <t>MOFU</t>
        </is>
      </c>
      <c r="H39" t="inlineStr">
        <is>
          <t>UAE</t>
        </is>
      </c>
      <c r="I39" t="inlineStr">
        <is>
          <t>Sella Basmati product page</t>
        </is>
      </c>
      <c r="J39" t="inlineStr">
        <is>
          <t>Product</t>
        </is>
      </c>
      <c r="K39">
        <f>IFERROR(VLOOKUP($A39,'Semrush Import'!$A:$D,2,FALSE),"")</f>
        <v/>
      </c>
      <c r="L39">
        <f>IFERROR(VLOOKUP($A39,'Semrush Import'!$A:$D,3,FALSE),"")</f>
        <v/>
      </c>
      <c r="M39">
        <f>IFERROR(VLOOKUP($A39,'Semrush Import'!$A:$D,4,FALSE),"")</f>
        <v/>
      </c>
      <c r="N39">
        <f>IFERROR(VLOOKUP($A39,'KP Import'!$A:$B,2,FALSE),"")</f>
        <v/>
      </c>
      <c r="O39">
        <f>IF(K39="","",ROUND(K39/(L39+10),1))</f>
        <v/>
      </c>
      <c r="P39">
        <f>IF(O39="","",IF(O39&gt;=20,"A - Go first",IF(O39&gt;=5,"B - Next","C - Later")))</f>
        <v/>
      </c>
      <c r="Q39" t="inlineStr">
        <is>
          <t>To research</t>
        </is>
      </c>
      <c r="R39" t="inlineStr"/>
    </row>
    <row r="40">
      <c r="A40" t="inlineStr">
        <is>
          <t>white sella basmati rice price in dubai</t>
        </is>
      </c>
      <c r="B40" t="inlineStr">
        <is>
          <t>Phase 1 - B2B now</t>
        </is>
      </c>
      <c r="C40" t="inlineStr">
        <is>
          <t>Wholesalers / bulk buyers</t>
        </is>
      </c>
      <c r="D40" t="inlineStr">
        <is>
          <t>Price</t>
        </is>
      </c>
      <c r="E40" t="inlineStr">
        <is>
          <t>Basmati</t>
        </is>
      </c>
      <c r="F40" t="inlineStr">
        <is>
          <t>Commercial/Transactional</t>
        </is>
      </c>
      <c r="G40" t="inlineStr">
        <is>
          <t>MOFU</t>
        </is>
      </c>
      <c r="H40" t="inlineStr">
        <is>
          <t>Dubai</t>
        </is>
      </c>
      <c r="I40" t="inlineStr">
        <is>
          <t>Sella Basmati product page</t>
        </is>
      </c>
      <c r="J40" t="inlineStr">
        <is>
          <t>Product</t>
        </is>
      </c>
      <c r="K40">
        <f>IFERROR(VLOOKUP($A40,'Semrush Import'!$A:$D,2,FALSE),"")</f>
        <v/>
      </c>
      <c r="L40">
        <f>IFERROR(VLOOKUP($A40,'Semrush Import'!$A:$D,3,FALSE),"")</f>
        <v/>
      </c>
      <c r="M40">
        <f>IFERROR(VLOOKUP($A40,'Semrush Import'!$A:$D,4,FALSE),"")</f>
        <v/>
      </c>
      <c r="N40">
        <f>IFERROR(VLOOKUP($A40,'KP Import'!$A:$B,2,FALSE),"")</f>
        <v/>
      </c>
      <c r="O40">
        <f>IF(K40="","",ROUND(K40/(L40+10),1))</f>
        <v/>
      </c>
      <c r="P40">
        <f>IF(O40="","",IF(O40&gt;=20,"A - Go first",IF(O40&gt;=5,"B - Next","C - Later")))</f>
        <v/>
      </c>
      <c r="Q40" t="inlineStr">
        <is>
          <t>To research</t>
        </is>
      </c>
      <c r="R40" t="inlineStr"/>
    </row>
    <row r="41">
      <c r="A41" t="inlineStr">
        <is>
          <t>white sella basmati rice online dubai</t>
        </is>
      </c>
      <c r="B41" t="inlineStr">
        <is>
          <t>Phase 2 - B2C (later)</t>
        </is>
      </c>
      <c r="C41" t="inlineStr">
        <is>
          <t>Consumer / household</t>
        </is>
      </c>
      <c r="D41" t="inlineStr">
        <is>
          <t>Transactional</t>
        </is>
      </c>
      <c r="E41" t="inlineStr">
        <is>
          <t>Basmati</t>
        </is>
      </c>
      <c r="F41" t="inlineStr">
        <is>
          <t>Transactional</t>
        </is>
      </c>
      <c r="G41" t="inlineStr">
        <is>
          <t>BOFU</t>
        </is>
      </c>
      <c r="H41" t="inlineStr">
        <is>
          <t>Dubai</t>
        </is>
      </c>
      <c r="I41" t="inlineStr">
        <is>
          <t>Sella Basmati product page</t>
        </is>
      </c>
      <c r="J41" t="inlineStr">
        <is>
          <t>Product</t>
        </is>
      </c>
      <c r="K41">
        <f>IFERROR(VLOOKUP($A41,'Semrush Import'!$A:$D,2,FALSE),"")</f>
        <v/>
      </c>
      <c r="L41">
        <f>IFERROR(VLOOKUP($A41,'Semrush Import'!$A:$D,3,FALSE),"")</f>
        <v/>
      </c>
      <c r="M41">
        <f>IFERROR(VLOOKUP($A41,'Semrush Import'!$A:$D,4,FALSE),"")</f>
        <v/>
      </c>
      <c r="N41">
        <f>IFERROR(VLOOKUP($A41,'KP Import'!$A:$B,2,FALSE),"")</f>
        <v/>
      </c>
      <c r="O41">
        <f>IF(K41="","",ROUND(K41/(L41+10),1))</f>
        <v/>
      </c>
      <c r="P41">
        <f>IF(O41="","",IF(O41&gt;=20,"A - Go first",IF(O41&gt;=5,"B - Next","C - Later")))</f>
        <v/>
      </c>
      <c r="Q41" t="inlineStr">
        <is>
          <t>To research</t>
        </is>
      </c>
      <c r="R41" t="inlineStr"/>
    </row>
    <row r="42">
      <c r="A42" t="inlineStr">
        <is>
          <t>white sella basmati rice wholesale dubai</t>
        </is>
      </c>
      <c r="B42" t="inlineStr">
        <is>
          <t>Phase 1 - B2B now</t>
        </is>
      </c>
      <c r="C42" t="inlineStr">
        <is>
          <t>Wholesalers / bulk buyers</t>
        </is>
      </c>
      <c r="D42" t="inlineStr">
        <is>
          <t>Wholesale/B2B</t>
        </is>
      </c>
      <c r="E42" t="inlineStr">
        <is>
          <t>Basmati</t>
        </is>
      </c>
      <c r="F42" t="inlineStr">
        <is>
          <t>Transactional (B2B)</t>
        </is>
      </c>
      <c r="G42" t="inlineStr">
        <is>
          <t>BOFU</t>
        </is>
      </c>
      <c r="H42" t="inlineStr">
        <is>
          <t>Dubai</t>
        </is>
      </c>
      <c r="I42" t="inlineStr">
        <is>
          <t>Wholesale landing page</t>
        </is>
      </c>
      <c r="J42" t="inlineStr">
        <is>
          <t>Landing</t>
        </is>
      </c>
      <c r="K42">
        <f>IFERROR(VLOOKUP($A42,'Semrush Import'!$A:$D,2,FALSE),"")</f>
        <v/>
      </c>
      <c r="L42">
        <f>IFERROR(VLOOKUP($A42,'Semrush Import'!$A:$D,3,FALSE),"")</f>
        <v/>
      </c>
      <c r="M42">
        <f>IFERROR(VLOOKUP($A42,'Semrush Import'!$A:$D,4,FALSE),"")</f>
        <v/>
      </c>
      <c r="N42">
        <f>IFERROR(VLOOKUP($A42,'KP Import'!$A:$B,2,FALSE),"")</f>
        <v/>
      </c>
      <c r="O42">
        <f>IF(K42="","",ROUND(K42/(L42+10),1))</f>
        <v/>
      </c>
      <c r="P42">
        <f>IF(O42="","",IF(O42&gt;=20,"A - Go first",IF(O42&gt;=5,"B - Next","C - Later")))</f>
        <v/>
      </c>
      <c r="Q42" t="inlineStr">
        <is>
          <t>To research</t>
        </is>
      </c>
      <c r="R42" t="inlineStr"/>
    </row>
    <row r="43">
      <c r="A43" t="inlineStr">
        <is>
          <t>white sella basmati rice supplier uae</t>
        </is>
      </c>
      <c r="B43" t="inlineStr">
        <is>
          <t>Phase 1 - B2B now</t>
        </is>
      </c>
      <c r="C43" t="inlineStr">
        <is>
          <t>Wholesalers / bulk buyers</t>
        </is>
      </c>
      <c r="D43" t="inlineStr">
        <is>
          <t>Wholesale/B2B</t>
        </is>
      </c>
      <c r="E43" t="inlineStr">
        <is>
          <t>Basmati</t>
        </is>
      </c>
      <c r="F43" t="inlineStr">
        <is>
          <t>Transactional (B2B)</t>
        </is>
      </c>
      <c r="G43" t="inlineStr">
        <is>
          <t>BOFU</t>
        </is>
      </c>
      <c r="H43" t="inlineStr">
        <is>
          <t>UAE</t>
        </is>
      </c>
      <c r="I43" t="inlineStr">
        <is>
          <t>Wholesale landing page</t>
        </is>
      </c>
      <c r="J43" t="inlineStr">
        <is>
          <t>Landing</t>
        </is>
      </c>
      <c r="K43">
        <f>IFERROR(VLOOKUP($A43,'Semrush Import'!$A:$D,2,FALSE),"")</f>
        <v/>
      </c>
      <c r="L43">
        <f>IFERROR(VLOOKUP($A43,'Semrush Import'!$A:$D,3,FALSE),"")</f>
        <v/>
      </c>
      <c r="M43">
        <f>IFERROR(VLOOKUP($A43,'Semrush Import'!$A:$D,4,FALSE),"")</f>
        <v/>
      </c>
      <c r="N43">
        <f>IFERROR(VLOOKUP($A43,'KP Import'!$A:$B,2,FALSE),"")</f>
        <v/>
      </c>
      <c r="O43">
        <f>IF(K43="","",ROUND(K43/(L43+10),1))</f>
        <v/>
      </c>
      <c r="P43">
        <f>IF(O43="","",IF(O43&gt;=20,"A - Go first",IF(O43&gt;=5,"B - Next","C - Later")))</f>
        <v/>
      </c>
      <c r="Q43" t="inlineStr">
        <is>
          <t>To research</t>
        </is>
      </c>
      <c r="R43" t="inlineStr"/>
    </row>
    <row r="44">
      <c r="A44" t="inlineStr">
        <is>
          <t>indian basmati rice</t>
        </is>
      </c>
      <c r="B44" t="inlineStr">
        <is>
          <t>Phase 1 - B2B now</t>
        </is>
      </c>
      <c r="C44" t="inlineStr">
        <is>
          <t>Wholesalers / bulk buyers</t>
        </is>
      </c>
      <c r="D44" t="inlineStr">
        <is>
          <t>Core product</t>
        </is>
      </c>
      <c r="E44" t="inlineStr">
        <is>
          <t>Basmati</t>
        </is>
      </c>
      <c r="F44" t="inlineStr">
        <is>
          <t>Informational/Commercial</t>
        </is>
      </c>
      <c r="G44" t="inlineStr">
        <is>
          <t>TOFU</t>
        </is>
      </c>
      <c r="H44" t="inlineStr">
        <is>
          <t>UAE (generic)</t>
        </is>
      </c>
      <c r="I44" t="inlineStr">
        <is>
          <t>Indian Basmati page</t>
        </is>
      </c>
      <c r="J44" t="inlineStr">
        <is>
          <t>Landing/Blog</t>
        </is>
      </c>
      <c r="K44">
        <f>IFERROR(VLOOKUP($A44,'Semrush Import'!$A:$D,2,FALSE),"")</f>
        <v/>
      </c>
      <c r="L44">
        <f>IFERROR(VLOOKUP($A44,'Semrush Import'!$A:$D,3,FALSE),"")</f>
        <v/>
      </c>
      <c r="M44">
        <f>IFERROR(VLOOKUP($A44,'Semrush Import'!$A:$D,4,FALSE),"")</f>
        <v/>
      </c>
      <c r="N44">
        <f>IFERROR(VLOOKUP($A44,'KP Import'!$A:$B,2,FALSE),"")</f>
        <v/>
      </c>
      <c r="O44">
        <f>IF(K44="","",ROUND(K44/(L44+10),1))</f>
        <v/>
      </c>
      <c r="P44">
        <f>IF(O44="","",IF(O44&gt;=20,"A - Go first",IF(O44&gt;=5,"B - Next","C - Later")))</f>
        <v/>
      </c>
      <c r="Q44" t="inlineStr">
        <is>
          <t>To research</t>
        </is>
      </c>
      <c r="R44" t="inlineStr"/>
    </row>
    <row r="45">
      <c r="A45" t="inlineStr">
        <is>
          <t>buy indian basmati rice online</t>
        </is>
      </c>
      <c r="B45" t="inlineStr">
        <is>
          <t>Phase 2 - B2C (later)</t>
        </is>
      </c>
      <c r="C45" t="inlineStr">
        <is>
          <t>Consumer / household</t>
        </is>
      </c>
      <c r="D45" t="inlineStr">
        <is>
          <t>Transactional</t>
        </is>
      </c>
      <c r="E45" t="inlineStr">
        <is>
          <t>Basmati</t>
        </is>
      </c>
      <c r="F45" t="inlineStr">
        <is>
          <t>Transactional</t>
        </is>
      </c>
      <c r="G45" t="inlineStr">
        <is>
          <t>BOFU</t>
        </is>
      </c>
      <c r="H45" t="inlineStr">
        <is>
          <t>UAE (generic)</t>
        </is>
      </c>
      <c r="I45" t="inlineStr">
        <is>
          <t>Indian Basmati page</t>
        </is>
      </c>
      <c r="J45" t="inlineStr">
        <is>
          <t>Landing/Blog</t>
        </is>
      </c>
      <c r="K45">
        <f>IFERROR(VLOOKUP($A45,'Semrush Import'!$A:$D,2,FALSE),"")</f>
        <v/>
      </c>
      <c r="L45">
        <f>IFERROR(VLOOKUP($A45,'Semrush Import'!$A:$D,3,FALSE),"")</f>
        <v/>
      </c>
      <c r="M45">
        <f>IFERROR(VLOOKUP($A45,'Semrush Import'!$A:$D,4,FALSE),"")</f>
        <v/>
      </c>
      <c r="N45">
        <f>IFERROR(VLOOKUP($A45,'KP Import'!$A:$B,2,FALSE),"")</f>
        <v/>
      </c>
      <c r="O45">
        <f>IF(K45="","",ROUND(K45/(L45+10),1))</f>
        <v/>
      </c>
      <c r="P45">
        <f>IF(O45="","",IF(O45&gt;=20,"A - Go first",IF(O45&gt;=5,"B - Next","C - Later")))</f>
        <v/>
      </c>
      <c r="Q45" t="inlineStr">
        <is>
          <t>To research</t>
        </is>
      </c>
      <c r="R45" t="inlineStr"/>
    </row>
    <row r="46">
      <c r="A46" t="inlineStr">
        <is>
          <t>indian basmati rice price in uae</t>
        </is>
      </c>
      <c r="B46" t="inlineStr">
        <is>
          <t>Phase 1 - B2B now</t>
        </is>
      </c>
      <c r="C46" t="inlineStr">
        <is>
          <t>Wholesalers / bulk buyers</t>
        </is>
      </c>
      <c r="D46" t="inlineStr">
        <is>
          <t>Price</t>
        </is>
      </c>
      <c r="E46" t="inlineStr">
        <is>
          <t>Basmati</t>
        </is>
      </c>
      <c r="F46" t="inlineStr">
        <is>
          <t>Commercial/Transactional</t>
        </is>
      </c>
      <c r="G46" t="inlineStr">
        <is>
          <t>MOFU</t>
        </is>
      </c>
      <c r="H46" t="inlineStr">
        <is>
          <t>UAE</t>
        </is>
      </c>
      <c r="I46" t="inlineStr">
        <is>
          <t>Indian Basmati page</t>
        </is>
      </c>
      <c r="J46" t="inlineStr">
        <is>
          <t>Landing/Blog</t>
        </is>
      </c>
      <c r="K46">
        <f>IFERROR(VLOOKUP($A46,'Semrush Import'!$A:$D,2,FALSE),"")</f>
        <v/>
      </c>
      <c r="L46">
        <f>IFERROR(VLOOKUP($A46,'Semrush Import'!$A:$D,3,FALSE),"")</f>
        <v/>
      </c>
      <c r="M46">
        <f>IFERROR(VLOOKUP($A46,'Semrush Import'!$A:$D,4,FALSE),"")</f>
        <v/>
      </c>
      <c r="N46">
        <f>IFERROR(VLOOKUP($A46,'KP Import'!$A:$B,2,FALSE),"")</f>
        <v/>
      </c>
      <c r="O46">
        <f>IF(K46="","",ROUND(K46/(L46+10),1))</f>
        <v/>
      </c>
      <c r="P46">
        <f>IF(O46="","",IF(O46&gt;=20,"A - Go first",IF(O46&gt;=5,"B - Next","C - Later")))</f>
        <v/>
      </c>
      <c r="Q46" t="inlineStr">
        <is>
          <t>To research</t>
        </is>
      </c>
      <c r="R46" t="inlineStr"/>
    </row>
    <row r="47">
      <c r="A47" t="inlineStr">
        <is>
          <t>indian basmati rice price in dubai</t>
        </is>
      </c>
      <c r="B47" t="inlineStr">
        <is>
          <t>Phase 1 - B2B now</t>
        </is>
      </c>
      <c r="C47" t="inlineStr">
        <is>
          <t>Wholesalers / bulk buyers</t>
        </is>
      </c>
      <c r="D47" t="inlineStr">
        <is>
          <t>Price</t>
        </is>
      </c>
      <c r="E47" t="inlineStr">
        <is>
          <t>Basmati</t>
        </is>
      </c>
      <c r="F47" t="inlineStr">
        <is>
          <t>Commercial/Transactional</t>
        </is>
      </c>
      <c r="G47" t="inlineStr">
        <is>
          <t>MOFU</t>
        </is>
      </c>
      <c r="H47" t="inlineStr">
        <is>
          <t>Dubai</t>
        </is>
      </c>
      <c r="I47" t="inlineStr">
        <is>
          <t>Indian Basmati page</t>
        </is>
      </c>
      <c r="J47" t="inlineStr">
        <is>
          <t>Landing/Blog</t>
        </is>
      </c>
      <c r="K47">
        <f>IFERROR(VLOOKUP($A47,'Semrush Import'!$A:$D,2,FALSE),"")</f>
        <v/>
      </c>
      <c r="L47">
        <f>IFERROR(VLOOKUP($A47,'Semrush Import'!$A:$D,3,FALSE),"")</f>
        <v/>
      </c>
      <c r="M47">
        <f>IFERROR(VLOOKUP($A47,'Semrush Import'!$A:$D,4,FALSE),"")</f>
        <v/>
      </c>
      <c r="N47">
        <f>IFERROR(VLOOKUP($A47,'KP Import'!$A:$B,2,FALSE),"")</f>
        <v/>
      </c>
      <c r="O47">
        <f>IF(K47="","",ROUND(K47/(L47+10),1))</f>
        <v/>
      </c>
      <c r="P47">
        <f>IF(O47="","",IF(O47&gt;=20,"A - Go first",IF(O47&gt;=5,"B - Next","C - Later")))</f>
        <v/>
      </c>
      <c r="Q47" t="inlineStr">
        <is>
          <t>To research</t>
        </is>
      </c>
      <c r="R47" t="inlineStr"/>
    </row>
    <row r="48">
      <c r="A48" t="inlineStr">
        <is>
          <t>indian basmati rice online dubai</t>
        </is>
      </c>
      <c r="B48" t="inlineStr">
        <is>
          <t>Phase 2 - B2C (later)</t>
        </is>
      </c>
      <c r="C48" t="inlineStr">
        <is>
          <t>Consumer / household</t>
        </is>
      </c>
      <c r="D48" t="inlineStr">
        <is>
          <t>Transactional</t>
        </is>
      </c>
      <c r="E48" t="inlineStr">
        <is>
          <t>Basmati</t>
        </is>
      </c>
      <c r="F48" t="inlineStr">
        <is>
          <t>Transactional</t>
        </is>
      </c>
      <c r="G48" t="inlineStr">
        <is>
          <t>BOFU</t>
        </is>
      </c>
      <c r="H48" t="inlineStr">
        <is>
          <t>Dubai</t>
        </is>
      </c>
      <c r="I48" t="inlineStr">
        <is>
          <t>Indian Basmati page</t>
        </is>
      </c>
      <c r="J48" t="inlineStr">
        <is>
          <t>Landing/Blog</t>
        </is>
      </c>
      <c r="K48">
        <f>IFERROR(VLOOKUP($A48,'Semrush Import'!$A:$D,2,FALSE),"")</f>
        <v/>
      </c>
      <c r="L48">
        <f>IFERROR(VLOOKUP($A48,'Semrush Import'!$A:$D,3,FALSE),"")</f>
        <v/>
      </c>
      <c r="M48">
        <f>IFERROR(VLOOKUP($A48,'Semrush Import'!$A:$D,4,FALSE),"")</f>
        <v/>
      </c>
      <c r="N48">
        <f>IFERROR(VLOOKUP($A48,'KP Import'!$A:$B,2,FALSE),"")</f>
        <v/>
      </c>
      <c r="O48">
        <f>IF(K48="","",ROUND(K48/(L48+10),1))</f>
        <v/>
      </c>
      <c r="P48">
        <f>IF(O48="","",IF(O48&gt;=20,"A - Go first",IF(O48&gt;=5,"B - Next","C - Later")))</f>
        <v/>
      </c>
      <c r="Q48" t="inlineStr">
        <is>
          <t>To research</t>
        </is>
      </c>
      <c r="R48" t="inlineStr"/>
    </row>
    <row r="49">
      <c r="A49" t="inlineStr">
        <is>
          <t>indian basmati rice wholesale dubai</t>
        </is>
      </c>
      <c r="B49" t="inlineStr">
        <is>
          <t>Phase 1 - B2B now</t>
        </is>
      </c>
      <c r="C49" t="inlineStr">
        <is>
          <t>Wholesalers / bulk buyers</t>
        </is>
      </c>
      <c r="D49" t="inlineStr">
        <is>
          <t>Wholesale/B2B</t>
        </is>
      </c>
      <c r="E49" t="inlineStr">
        <is>
          <t>Basmati</t>
        </is>
      </c>
      <c r="F49" t="inlineStr">
        <is>
          <t>Transactional (B2B)</t>
        </is>
      </c>
      <c r="G49" t="inlineStr">
        <is>
          <t>BOFU</t>
        </is>
      </c>
      <c r="H49" t="inlineStr">
        <is>
          <t>Dubai</t>
        </is>
      </c>
      <c r="I49" t="inlineStr">
        <is>
          <t>Wholesale landing page</t>
        </is>
      </c>
      <c r="J49" t="inlineStr">
        <is>
          <t>Landing</t>
        </is>
      </c>
      <c r="K49">
        <f>IFERROR(VLOOKUP($A49,'Semrush Import'!$A:$D,2,FALSE),"")</f>
        <v/>
      </c>
      <c r="L49">
        <f>IFERROR(VLOOKUP($A49,'Semrush Import'!$A:$D,3,FALSE),"")</f>
        <v/>
      </c>
      <c r="M49">
        <f>IFERROR(VLOOKUP($A49,'Semrush Import'!$A:$D,4,FALSE),"")</f>
        <v/>
      </c>
      <c r="N49">
        <f>IFERROR(VLOOKUP($A49,'KP Import'!$A:$B,2,FALSE),"")</f>
        <v/>
      </c>
      <c r="O49">
        <f>IF(K49="","",ROUND(K49/(L49+10),1))</f>
        <v/>
      </c>
      <c r="P49">
        <f>IF(O49="","",IF(O49&gt;=20,"A - Go first",IF(O49&gt;=5,"B - Next","C - Later")))</f>
        <v/>
      </c>
      <c r="Q49" t="inlineStr">
        <is>
          <t>To research</t>
        </is>
      </c>
      <c r="R49" t="inlineStr"/>
    </row>
    <row r="50">
      <c r="A50" t="inlineStr">
        <is>
          <t>indian basmati rice supplier uae</t>
        </is>
      </c>
      <c r="B50" t="inlineStr">
        <is>
          <t>Phase 1 - B2B now</t>
        </is>
      </c>
      <c r="C50" t="inlineStr">
        <is>
          <t>Wholesalers / bulk buyers</t>
        </is>
      </c>
      <c r="D50" t="inlineStr">
        <is>
          <t>Wholesale/B2B</t>
        </is>
      </c>
      <c r="E50" t="inlineStr">
        <is>
          <t>Basmati</t>
        </is>
      </c>
      <c r="F50" t="inlineStr">
        <is>
          <t>Transactional (B2B)</t>
        </is>
      </c>
      <c r="G50" t="inlineStr">
        <is>
          <t>BOFU</t>
        </is>
      </c>
      <c r="H50" t="inlineStr">
        <is>
          <t>UAE</t>
        </is>
      </c>
      <c r="I50" t="inlineStr">
        <is>
          <t>Wholesale landing page</t>
        </is>
      </c>
      <c r="J50" t="inlineStr">
        <is>
          <t>Landing</t>
        </is>
      </c>
      <c r="K50">
        <f>IFERROR(VLOOKUP($A50,'Semrush Import'!$A:$D,2,FALSE),"")</f>
        <v/>
      </c>
      <c r="L50">
        <f>IFERROR(VLOOKUP($A50,'Semrush Import'!$A:$D,3,FALSE),"")</f>
        <v/>
      </c>
      <c r="M50">
        <f>IFERROR(VLOOKUP($A50,'Semrush Import'!$A:$D,4,FALSE),"")</f>
        <v/>
      </c>
      <c r="N50">
        <f>IFERROR(VLOOKUP($A50,'KP Import'!$A:$B,2,FALSE),"")</f>
        <v/>
      </c>
      <c r="O50">
        <f>IF(K50="","",ROUND(K50/(L50+10),1))</f>
        <v/>
      </c>
      <c r="P50">
        <f>IF(O50="","",IF(O50&gt;=20,"A - Go first",IF(O50&gt;=5,"B - Next","C - Later")))</f>
        <v/>
      </c>
      <c r="Q50" t="inlineStr">
        <is>
          <t>To research</t>
        </is>
      </c>
      <c r="R50" t="inlineStr"/>
    </row>
    <row r="51">
      <c r="A51" t="inlineStr">
        <is>
          <t>pakistani basmati rice</t>
        </is>
      </c>
      <c r="B51" t="inlineStr">
        <is>
          <t>Phase 1 - B2B now</t>
        </is>
      </c>
      <c r="C51" t="inlineStr">
        <is>
          <t>Wholesalers / bulk buyers</t>
        </is>
      </c>
      <c r="D51" t="inlineStr">
        <is>
          <t>Core product</t>
        </is>
      </c>
      <c r="E51" t="inlineStr">
        <is>
          <t>Basmati</t>
        </is>
      </c>
      <c r="F51" t="inlineStr">
        <is>
          <t>Informational/Commercial</t>
        </is>
      </c>
      <c r="G51" t="inlineStr">
        <is>
          <t>TOFU</t>
        </is>
      </c>
      <c r="H51" t="inlineStr">
        <is>
          <t>UAE (generic)</t>
        </is>
      </c>
      <c r="I51" t="inlineStr">
        <is>
          <t>Pakistani Basmati page</t>
        </is>
      </c>
      <c r="J51" t="inlineStr">
        <is>
          <t>Landing/Blog</t>
        </is>
      </c>
      <c r="K51">
        <f>IFERROR(VLOOKUP($A51,'Semrush Import'!$A:$D,2,FALSE),"")</f>
        <v/>
      </c>
      <c r="L51">
        <f>IFERROR(VLOOKUP($A51,'Semrush Import'!$A:$D,3,FALSE),"")</f>
        <v/>
      </c>
      <c r="M51">
        <f>IFERROR(VLOOKUP($A51,'Semrush Import'!$A:$D,4,FALSE),"")</f>
        <v/>
      </c>
      <c r="N51">
        <f>IFERROR(VLOOKUP($A51,'KP Import'!$A:$B,2,FALSE),"")</f>
        <v/>
      </c>
      <c r="O51">
        <f>IF(K51="","",ROUND(K51/(L51+10),1))</f>
        <v/>
      </c>
      <c r="P51">
        <f>IF(O51="","",IF(O51&gt;=20,"A - Go first",IF(O51&gt;=5,"B - Next","C - Later")))</f>
        <v/>
      </c>
      <c r="Q51" t="inlineStr">
        <is>
          <t>To research</t>
        </is>
      </c>
      <c r="R51" t="inlineStr"/>
    </row>
    <row r="52">
      <c r="A52" t="inlineStr">
        <is>
          <t>buy pakistani basmati rice online</t>
        </is>
      </c>
      <c r="B52" t="inlineStr">
        <is>
          <t>Phase 2 - B2C (later)</t>
        </is>
      </c>
      <c r="C52" t="inlineStr">
        <is>
          <t>Consumer / household</t>
        </is>
      </c>
      <c r="D52" t="inlineStr">
        <is>
          <t>Transactional</t>
        </is>
      </c>
      <c r="E52" t="inlineStr">
        <is>
          <t>Basmati</t>
        </is>
      </c>
      <c r="F52" t="inlineStr">
        <is>
          <t>Transactional</t>
        </is>
      </c>
      <c r="G52" t="inlineStr">
        <is>
          <t>BOFU</t>
        </is>
      </c>
      <c r="H52" t="inlineStr">
        <is>
          <t>UAE (generic)</t>
        </is>
      </c>
      <c r="I52" t="inlineStr">
        <is>
          <t>Pakistani Basmati page</t>
        </is>
      </c>
      <c r="J52" t="inlineStr">
        <is>
          <t>Landing/Blog</t>
        </is>
      </c>
      <c r="K52">
        <f>IFERROR(VLOOKUP($A52,'Semrush Import'!$A:$D,2,FALSE),"")</f>
        <v/>
      </c>
      <c r="L52">
        <f>IFERROR(VLOOKUP($A52,'Semrush Import'!$A:$D,3,FALSE),"")</f>
        <v/>
      </c>
      <c r="M52">
        <f>IFERROR(VLOOKUP($A52,'Semrush Import'!$A:$D,4,FALSE),"")</f>
        <v/>
      </c>
      <c r="N52">
        <f>IFERROR(VLOOKUP($A52,'KP Import'!$A:$B,2,FALSE),"")</f>
        <v/>
      </c>
      <c r="O52">
        <f>IF(K52="","",ROUND(K52/(L52+10),1))</f>
        <v/>
      </c>
      <c r="P52">
        <f>IF(O52="","",IF(O52&gt;=20,"A - Go first",IF(O52&gt;=5,"B - Next","C - Later")))</f>
        <v/>
      </c>
      <c r="Q52" t="inlineStr">
        <is>
          <t>To research</t>
        </is>
      </c>
      <c r="R52" t="inlineStr"/>
    </row>
    <row r="53">
      <c r="A53" t="inlineStr">
        <is>
          <t>pakistani basmati rice price in uae</t>
        </is>
      </c>
      <c r="B53" t="inlineStr">
        <is>
          <t>Phase 1 - B2B now</t>
        </is>
      </c>
      <c r="C53" t="inlineStr">
        <is>
          <t>Wholesalers / bulk buyers</t>
        </is>
      </c>
      <c r="D53" t="inlineStr">
        <is>
          <t>Price</t>
        </is>
      </c>
      <c r="E53" t="inlineStr">
        <is>
          <t>Basmati</t>
        </is>
      </c>
      <c r="F53" t="inlineStr">
        <is>
          <t>Commercial/Transactional</t>
        </is>
      </c>
      <c r="G53" t="inlineStr">
        <is>
          <t>MOFU</t>
        </is>
      </c>
      <c r="H53" t="inlineStr">
        <is>
          <t>UAE</t>
        </is>
      </c>
      <c r="I53" t="inlineStr">
        <is>
          <t>Pakistani Basmati page</t>
        </is>
      </c>
      <c r="J53" t="inlineStr">
        <is>
          <t>Landing/Blog</t>
        </is>
      </c>
      <c r="K53">
        <f>IFERROR(VLOOKUP($A53,'Semrush Import'!$A:$D,2,FALSE),"")</f>
        <v/>
      </c>
      <c r="L53">
        <f>IFERROR(VLOOKUP($A53,'Semrush Import'!$A:$D,3,FALSE),"")</f>
        <v/>
      </c>
      <c r="M53">
        <f>IFERROR(VLOOKUP($A53,'Semrush Import'!$A:$D,4,FALSE),"")</f>
        <v/>
      </c>
      <c r="N53">
        <f>IFERROR(VLOOKUP($A53,'KP Import'!$A:$B,2,FALSE),"")</f>
        <v/>
      </c>
      <c r="O53">
        <f>IF(K53="","",ROUND(K53/(L53+10),1))</f>
        <v/>
      </c>
      <c r="P53">
        <f>IF(O53="","",IF(O53&gt;=20,"A - Go first",IF(O53&gt;=5,"B - Next","C - Later")))</f>
        <v/>
      </c>
      <c r="Q53" t="inlineStr">
        <is>
          <t>To research</t>
        </is>
      </c>
      <c r="R53" t="inlineStr"/>
    </row>
    <row r="54">
      <c r="A54" t="inlineStr">
        <is>
          <t>pakistani basmati rice price in dubai</t>
        </is>
      </c>
      <c r="B54" t="inlineStr">
        <is>
          <t>Phase 1 - B2B now</t>
        </is>
      </c>
      <c r="C54" t="inlineStr">
        <is>
          <t>Wholesalers / bulk buyers</t>
        </is>
      </c>
      <c r="D54" t="inlineStr">
        <is>
          <t>Price</t>
        </is>
      </c>
      <c r="E54" t="inlineStr">
        <is>
          <t>Basmati</t>
        </is>
      </c>
      <c r="F54" t="inlineStr">
        <is>
          <t>Commercial/Transactional</t>
        </is>
      </c>
      <c r="G54" t="inlineStr">
        <is>
          <t>MOFU</t>
        </is>
      </c>
      <c r="H54" t="inlineStr">
        <is>
          <t>Dubai</t>
        </is>
      </c>
      <c r="I54" t="inlineStr">
        <is>
          <t>Pakistani Basmati page</t>
        </is>
      </c>
      <c r="J54" t="inlineStr">
        <is>
          <t>Landing/Blog</t>
        </is>
      </c>
      <c r="K54">
        <f>IFERROR(VLOOKUP($A54,'Semrush Import'!$A:$D,2,FALSE),"")</f>
        <v/>
      </c>
      <c r="L54">
        <f>IFERROR(VLOOKUP($A54,'Semrush Import'!$A:$D,3,FALSE),"")</f>
        <v/>
      </c>
      <c r="M54">
        <f>IFERROR(VLOOKUP($A54,'Semrush Import'!$A:$D,4,FALSE),"")</f>
        <v/>
      </c>
      <c r="N54">
        <f>IFERROR(VLOOKUP($A54,'KP Import'!$A:$B,2,FALSE),"")</f>
        <v/>
      </c>
      <c r="O54">
        <f>IF(K54="","",ROUND(K54/(L54+10),1))</f>
        <v/>
      </c>
      <c r="P54">
        <f>IF(O54="","",IF(O54&gt;=20,"A - Go first",IF(O54&gt;=5,"B - Next","C - Later")))</f>
        <v/>
      </c>
      <c r="Q54" t="inlineStr">
        <is>
          <t>To research</t>
        </is>
      </c>
      <c r="R54" t="inlineStr"/>
    </row>
    <row r="55">
      <c r="A55" t="inlineStr">
        <is>
          <t>pakistani basmati rice online dubai</t>
        </is>
      </c>
      <c r="B55" t="inlineStr">
        <is>
          <t>Phase 2 - B2C (later)</t>
        </is>
      </c>
      <c r="C55" t="inlineStr">
        <is>
          <t>Consumer / household</t>
        </is>
      </c>
      <c r="D55" t="inlineStr">
        <is>
          <t>Transactional</t>
        </is>
      </c>
      <c r="E55" t="inlineStr">
        <is>
          <t>Basmati</t>
        </is>
      </c>
      <c r="F55" t="inlineStr">
        <is>
          <t>Transactional</t>
        </is>
      </c>
      <c r="G55" t="inlineStr">
        <is>
          <t>BOFU</t>
        </is>
      </c>
      <c r="H55" t="inlineStr">
        <is>
          <t>Dubai</t>
        </is>
      </c>
      <c r="I55" t="inlineStr">
        <is>
          <t>Pakistani Basmati page</t>
        </is>
      </c>
      <c r="J55" t="inlineStr">
        <is>
          <t>Landing/Blog</t>
        </is>
      </c>
      <c r="K55">
        <f>IFERROR(VLOOKUP($A55,'Semrush Import'!$A:$D,2,FALSE),"")</f>
        <v/>
      </c>
      <c r="L55">
        <f>IFERROR(VLOOKUP($A55,'Semrush Import'!$A:$D,3,FALSE),"")</f>
        <v/>
      </c>
      <c r="M55">
        <f>IFERROR(VLOOKUP($A55,'Semrush Import'!$A:$D,4,FALSE),"")</f>
        <v/>
      </c>
      <c r="N55">
        <f>IFERROR(VLOOKUP($A55,'KP Import'!$A:$B,2,FALSE),"")</f>
        <v/>
      </c>
      <c r="O55">
        <f>IF(K55="","",ROUND(K55/(L55+10),1))</f>
        <v/>
      </c>
      <c r="P55">
        <f>IF(O55="","",IF(O55&gt;=20,"A - Go first",IF(O55&gt;=5,"B - Next","C - Later")))</f>
        <v/>
      </c>
      <c r="Q55" t="inlineStr">
        <is>
          <t>To research</t>
        </is>
      </c>
      <c r="R55" t="inlineStr"/>
    </row>
    <row r="56">
      <c r="A56" t="inlineStr">
        <is>
          <t>pakistani basmati rice wholesale dubai</t>
        </is>
      </c>
      <c r="B56" t="inlineStr">
        <is>
          <t>Phase 1 - B2B now</t>
        </is>
      </c>
      <c r="C56" t="inlineStr">
        <is>
          <t>Wholesalers / bulk buyers</t>
        </is>
      </c>
      <c r="D56" t="inlineStr">
        <is>
          <t>Wholesale/B2B</t>
        </is>
      </c>
      <c r="E56" t="inlineStr">
        <is>
          <t>Basmati</t>
        </is>
      </c>
      <c r="F56" t="inlineStr">
        <is>
          <t>Transactional (B2B)</t>
        </is>
      </c>
      <c r="G56" t="inlineStr">
        <is>
          <t>BOFU</t>
        </is>
      </c>
      <c r="H56" t="inlineStr">
        <is>
          <t>Dubai</t>
        </is>
      </c>
      <c r="I56" t="inlineStr">
        <is>
          <t>Wholesale landing page</t>
        </is>
      </c>
      <c r="J56" t="inlineStr">
        <is>
          <t>Landing</t>
        </is>
      </c>
      <c r="K56">
        <f>IFERROR(VLOOKUP($A56,'Semrush Import'!$A:$D,2,FALSE),"")</f>
        <v/>
      </c>
      <c r="L56">
        <f>IFERROR(VLOOKUP($A56,'Semrush Import'!$A:$D,3,FALSE),"")</f>
        <v/>
      </c>
      <c r="M56">
        <f>IFERROR(VLOOKUP($A56,'Semrush Import'!$A:$D,4,FALSE),"")</f>
        <v/>
      </c>
      <c r="N56">
        <f>IFERROR(VLOOKUP($A56,'KP Import'!$A:$B,2,FALSE),"")</f>
        <v/>
      </c>
      <c r="O56">
        <f>IF(K56="","",ROUND(K56/(L56+10),1))</f>
        <v/>
      </c>
      <c r="P56">
        <f>IF(O56="","",IF(O56&gt;=20,"A - Go first",IF(O56&gt;=5,"B - Next","C - Later")))</f>
        <v/>
      </c>
      <c r="Q56" t="inlineStr">
        <is>
          <t>To research</t>
        </is>
      </c>
      <c r="R56" t="inlineStr"/>
    </row>
    <row r="57">
      <c r="A57" t="inlineStr">
        <is>
          <t>pakistani basmati rice supplier uae</t>
        </is>
      </c>
      <c r="B57" t="inlineStr">
        <is>
          <t>Phase 1 - B2B now</t>
        </is>
      </c>
      <c r="C57" t="inlineStr">
        <is>
          <t>Wholesalers / bulk buyers</t>
        </is>
      </c>
      <c r="D57" t="inlineStr">
        <is>
          <t>Wholesale/B2B</t>
        </is>
      </c>
      <c r="E57" t="inlineStr">
        <is>
          <t>Basmati</t>
        </is>
      </c>
      <c r="F57" t="inlineStr">
        <is>
          <t>Transactional (B2B)</t>
        </is>
      </c>
      <c r="G57" t="inlineStr">
        <is>
          <t>BOFU</t>
        </is>
      </c>
      <c r="H57" t="inlineStr">
        <is>
          <t>UAE</t>
        </is>
      </c>
      <c r="I57" t="inlineStr">
        <is>
          <t>Wholesale landing page</t>
        </is>
      </c>
      <c r="J57" t="inlineStr">
        <is>
          <t>Landing</t>
        </is>
      </c>
      <c r="K57">
        <f>IFERROR(VLOOKUP($A57,'Semrush Import'!$A:$D,2,FALSE),"")</f>
        <v/>
      </c>
      <c r="L57">
        <f>IFERROR(VLOOKUP($A57,'Semrush Import'!$A:$D,3,FALSE),"")</f>
        <v/>
      </c>
      <c r="M57">
        <f>IFERROR(VLOOKUP($A57,'Semrush Import'!$A:$D,4,FALSE),"")</f>
        <v/>
      </c>
      <c r="N57">
        <f>IFERROR(VLOOKUP($A57,'KP Import'!$A:$B,2,FALSE),"")</f>
        <v/>
      </c>
      <c r="O57">
        <f>IF(K57="","",ROUND(K57/(L57+10),1))</f>
        <v/>
      </c>
      <c r="P57">
        <f>IF(O57="","",IF(O57&gt;=20,"A - Go first",IF(O57&gt;=5,"B - Next","C - Later")))</f>
        <v/>
      </c>
      <c r="Q57" t="inlineStr">
        <is>
          <t>To research</t>
        </is>
      </c>
      <c r="R57" t="inlineStr"/>
    </row>
    <row r="58">
      <c r="A58" t="inlineStr">
        <is>
          <t>aged basmati rice</t>
        </is>
      </c>
      <c r="B58" t="inlineStr">
        <is>
          <t>Phase 1 - B2B now</t>
        </is>
      </c>
      <c r="C58" t="inlineStr">
        <is>
          <t>Wholesalers / bulk buyers</t>
        </is>
      </c>
      <c r="D58" t="inlineStr">
        <is>
          <t>Core product</t>
        </is>
      </c>
      <c r="E58" t="inlineStr">
        <is>
          <t>Basmati</t>
        </is>
      </c>
      <c r="F58" t="inlineStr">
        <is>
          <t>Informational/Commercial</t>
        </is>
      </c>
      <c r="G58" t="inlineStr">
        <is>
          <t>TOFU</t>
        </is>
      </c>
      <c r="H58" t="inlineStr">
        <is>
          <t>UAE (generic)</t>
        </is>
      </c>
      <c r="I58" t="inlineStr">
        <is>
          <t>Basmati Rice category</t>
        </is>
      </c>
      <c r="J58" t="inlineStr">
        <is>
          <t>Category</t>
        </is>
      </c>
      <c r="K58">
        <f>IFERROR(VLOOKUP($A58,'Semrush Import'!$A:$D,2,FALSE),"")</f>
        <v/>
      </c>
      <c r="L58">
        <f>IFERROR(VLOOKUP($A58,'Semrush Import'!$A:$D,3,FALSE),"")</f>
        <v/>
      </c>
      <c r="M58">
        <f>IFERROR(VLOOKUP($A58,'Semrush Import'!$A:$D,4,FALSE),"")</f>
        <v/>
      </c>
      <c r="N58">
        <f>IFERROR(VLOOKUP($A58,'KP Import'!$A:$B,2,FALSE),"")</f>
        <v/>
      </c>
      <c r="O58">
        <f>IF(K58="","",ROUND(K58/(L58+10),1))</f>
        <v/>
      </c>
      <c r="P58">
        <f>IF(O58="","",IF(O58&gt;=20,"A - Go first",IF(O58&gt;=5,"B - Next","C - Later")))</f>
        <v/>
      </c>
      <c r="Q58" t="inlineStr">
        <is>
          <t>To research</t>
        </is>
      </c>
      <c r="R58" t="inlineStr"/>
    </row>
    <row r="59">
      <c r="A59" t="inlineStr">
        <is>
          <t>buy aged basmati rice online</t>
        </is>
      </c>
      <c r="B59" t="inlineStr">
        <is>
          <t>Phase 2 - B2C (later)</t>
        </is>
      </c>
      <c r="C59" t="inlineStr">
        <is>
          <t>Consumer / household</t>
        </is>
      </c>
      <c r="D59" t="inlineStr">
        <is>
          <t>Transactional</t>
        </is>
      </c>
      <c r="E59" t="inlineStr">
        <is>
          <t>Basmati</t>
        </is>
      </c>
      <c r="F59" t="inlineStr">
        <is>
          <t>Transactional</t>
        </is>
      </c>
      <c r="G59" t="inlineStr">
        <is>
          <t>BOFU</t>
        </is>
      </c>
      <c r="H59" t="inlineStr">
        <is>
          <t>UAE (generic)</t>
        </is>
      </c>
      <c r="I59" t="inlineStr">
        <is>
          <t>Basmati Rice category</t>
        </is>
      </c>
      <c r="J59" t="inlineStr">
        <is>
          <t>Category</t>
        </is>
      </c>
      <c r="K59">
        <f>IFERROR(VLOOKUP($A59,'Semrush Import'!$A:$D,2,FALSE),"")</f>
        <v/>
      </c>
      <c r="L59">
        <f>IFERROR(VLOOKUP($A59,'Semrush Import'!$A:$D,3,FALSE),"")</f>
        <v/>
      </c>
      <c r="M59">
        <f>IFERROR(VLOOKUP($A59,'Semrush Import'!$A:$D,4,FALSE),"")</f>
        <v/>
      </c>
      <c r="N59">
        <f>IFERROR(VLOOKUP($A59,'KP Import'!$A:$B,2,FALSE),"")</f>
        <v/>
      </c>
      <c r="O59">
        <f>IF(K59="","",ROUND(K59/(L59+10),1))</f>
        <v/>
      </c>
      <c r="P59">
        <f>IF(O59="","",IF(O59&gt;=20,"A - Go first",IF(O59&gt;=5,"B - Next","C - Later")))</f>
        <v/>
      </c>
      <c r="Q59" t="inlineStr">
        <is>
          <t>To research</t>
        </is>
      </c>
      <c r="R59" t="inlineStr"/>
    </row>
    <row r="60">
      <c r="A60" t="inlineStr">
        <is>
          <t>aged basmati rice price in uae</t>
        </is>
      </c>
      <c r="B60" t="inlineStr">
        <is>
          <t>Phase 1 - B2B now</t>
        </is>
      </c>
      <c r="C60" t="inlineStr">
        <is>
          <t>Wholesalers / bulk buyers</t>
        </is>
      </c>
      <c r="D60" t="inlineStr">
        <is>
          <t>Price</t>
        </is>
      </c>
      <c r="E60" t="inlineStr">
        <is>
          <t>Basmati</t>
        </is>
      </c>
      <c r="F60" t="inlineStr">
        <is>
          <t>Commercial/Transactional</t>
        </is>
      </c>
      <c r="G60" t="inlineStr">
        <is>
          <t>MOFU</t>
        </is>
      </c>
      <c r="H60" t="inlineStr">
        <is>
          <t>UAE</t>
        </is>
      </c>
      <c r="I60" t="inlineStr">
        <is>
          <t>Basmati Rice category</t>
        </is>
      </c>
      <c r="J60" t="inlineStr">
        <is>
          <t>Category</t>
        </is>
      </c>
      <c r="K60">
        <f>IFERROR(VLOOKUP($A60,'Semrush Import'!$A:$D,2,FALSE),"")</f>
        <v/>
      </c>
      <c r="L60">
        <f>IFERROR(VLOOKUP($A60,'Semrush Import'!$A:$D,3,FALSE),"")</f>
        <v/>
      </c>
      <c r="M60">
        <f>IFERROR(VLOOKUP($A60,'Semrush Import'!$A:$D,4,FALSE),"")</f>
        <v/>
      </c>
      <c r="N60">
        <f>IFERROR(VLOOKUP($A60,'KP Import'!$A:$B,2,FALSE),"")</f>
        <v/>
      </c>
      <c r="O60">
        <f>IF(K60="","",ROUND(K60/(L60+10),1))</f>
        <v/>
      </c>
      <c r="P60">
        <f>IF(O60="","",IF(O60&gt;=20,"A - Go first",IF(O60&gt;=5,"B - Next","C - Later")))</f>
        <v/>
      </c>
      <c r="Q60" t="inlineStr">
        <is>
          <t>To research</t>
        </is>
      </c>
      <c r="R60" t="inlineStr"/>
    </row>
    <row r="61">
      <c r="A61" t="inlineStr">
        <is>
          <t>aged basmati rice price in dubai</t>
        </is>
      </c>
      <c r="B61" t="inlineStr">
        <is>
          <t>Phase 1 - B2B now</t>
        </is>
      </c>
      <c r="C61" t="inlineStr">
        <is>
          <t>Wholesalers / bulk buyers</t>
        </is>
      </c>
      <c r="D61" t="inlineStr">
        <is>
          <t>Price</t>
        </is>
      </c>
      <c r="E61" t="inlineStr">
        <is>
          <t>Basmati</t>
        </is>
      </c>
      <c r="F61" t="inlineStr">
        <is>
          <t>Commercial/Transactional</t>
        </is>
      </c>
      <c r="G61" t="inlineStr">
        <is>
          <t>MOFU</t>
        </is>
      </c>
      <c r="H61" t="inlineStr">
        <is>
          <t>Dubai</t>
        </is>
      </c>
      <c r="I61" t="inlineStr">
        <is>
          <t>Basmati Rice category</t>
        </is>
      </c>
      <c r="J61" t="inlineStr">
        <is>
          <t>Category</t>
        </is>
      </c>
      <c r="K61">
        <f>IFERROR(VLOOKUP($A61,'Semrush Import'!$A:$D,2,FALSE),"")</f>
        <v/>
      </c>
      <c r="L61">
        <f>IFERROR(VLOOKUP($A61,'Semrush Import'!$A:$D,3,FALSE),"")</f>
        <v/>
      </c>
      <c r="M61">
        <f>IFERROR(VLOOKUP($A61,'Semrush Import'!$A:$D,4,FALSE),"")</f>
        <v/>
      </c>
      <c r="N61">
        <f>IFERROR(VLOOKUP($A61,'KP Import'!$A:$B,2,FALSE),"")</f>
        <v/>
      </c>
      <c r="O61">
        <f>IF(K61="","",ROUND(K61/(L61+10),1))</f>
        <v/>
      </c>
      <c r="P61">
        <f>IF(O61="","",IF(O61&gt;=20,"A - Go first",IF(O61&gt;=5,"B - Next","C - Later")))</f>
        <v/>
      </c>
      <c r="Q61" t="inlineStr">
        <is>
          <t>To research</t>
        </is>
      </c>
      <c r="R61" t="inlineStr"/>
    </row>
    <row r="62">
      <c r="A62" t="inlineStr">
        <is>
          <t>aged basmati rice online dubai</t>
        </is>
      </c>
      <c r="B62" t="inlineStr">
        <is>
          <t>Phase 2 - B2C (later)</t>
        </is>
      </c>
      <c r="C62" t="inlineStr">
        <is>
          <t>Consumer / household</t>
        </is>
      </c>
      <c r="D62" t="inlineStr">
        <is>
          <t>Transactional</t>
        </is>
      </c>
      <c r="E62" t="inlineStr">
        <is>
          <t>Basmati</t>
        </is>
      </c>
      <c r="F62" t="inlineStr">
        <is>
          <t>Transactional</t>
        </is>
      </c>
      <c r="G62" t="inlineStr">
        <is>
          <t>BOFU</t>
        </is>
      </c>
      <c r="H62" t="inlineStr">
        <is>
          <t>Dubai</t>
        </is>
      </c>
      <c r="I62" t="inlineStr">
        <is>
          <t>Basmati Rice category</t>
        </is>
      </c>
      <c r="J62" t="inlineStr">
        <is>
          <t>Category</t>
        </is>
      </c>
      <c r="K62">
        <f>IFERROR(VLOOKUP($A62,'Semrush Import'!$A:$D,2,FALSE),"")</f>
        <v/>
      </c>
      <c r="L62">
        <f>IFERROR(VLOOKUP($A62,'Semrush Import'!$A:$D,3,FALSE),"")</f>
        <v/>
      </c>
      <c r="M62">
        <f>IFERROR(VLOOKUP($A62,'Semrush Import'!$A:$D,4,FALSE),"")</f>
        <v/>
      </c>
      <c r="N62">
        <f>IFERROR(VLOOKUP($A62,'KP Import'!$A:$B,2,FALSE),"")</f>
        <v/>
      </c>
      <c r="O62">
        <f>IF(K62="","",ROUND(K62/(L62+10),1))</f>
        <v/>
      </c>
      <c r="P62">
        <f>IF(O62="","",IF(O62&gt;=20,"A - Go first",IF(O62&gt;=5,"B - Next","C - Later")))</f>
        <v/>
      </c>
      <c r="Q62" t="inlineStr">
        <is>
          <t>To research</t>
        </is>
      </c>
      <c r="R62" t="inlineStr"/>
    </row>
    <row r="63">
      <c r="A63" t="inlineStr">
        <is>
          <t>aged basmati rice wholesale dubai</t>
        </is>
      </c>
      <c r="B63" t="inlineStr">
        <is>
          <t>Phase 1 - B2B now</t>
        </is>
      </c>
      <c r="C63" t="inlineStr">
        <is>
          <t>Wholesalers / bulk buyers</t>
        </is>
      </c>
      <c r="D63" t="inlineStr">
        <is>
          <t>Wholesale/B2B</t>
        </is>
      </c>
      <c r="E63" t="inlineStr">
        <is>
          <t>Basmati</t>
        </is>
      </c>
      <c r="F63" t="inlineStr">
        <is>
          <t>Transactional (B2B)</t>
        </is>
      </c>
      <c r="G63" t="inlineStr">
        <is>
          <t>BOFU</t>
        </is>
      </c>
      <c r="H63" t="inlineStr">
        <is>
          <t>Dubai</t>
        </is>
      </c>
      <c r="I63" t="inlineStr">
        <is>
          <t>Wholesale landing page</t>
        </is>
      </c>
      <c r="J63" t="inlineStr">
        <is>
          <t>Landing</t>
        </is>
      </c>
      <c r="K63">
        <f>IFERROR(VLOOKUP($A63,'Semrush Import'!$A:$D,2,FALSE),"")</f>
        <v/>
      </c>
      <c r="L63">
        <f>IFERROR(VLOOKUP($A63,'Semrush Import'!$A:$D,3,FALSE),"")</f>
        <v/>
      </c>
      <c r="M63">
        <f>IFERROR(VLOOKUP($A63,'Semrush Import'!$A:$D,4,FALSE),"")</f>
        <v/>
      </c>
      <c r="N63">
        <f>IFERROR(VLOOKUP($A63,'KP Import'!$A:$B,2,FALSE),"")</f>
        <v/>
      </c>
      <c r="O63">
        <f>IF(K63="","",ROUND(K63/(L63+10),1))</f>
        <v/>
      </c>
      <c r="P63">
        <f>IF(O63="","",IF(O63&gt;=20,"A - Go first",IF(O63&gt;=5,"B - Next","C - Later")))</f>
        <v/>
      </c>
      <c r="Q63" t="inlineStr">
        <is>
          <t>To research</t>
        </is>
      </c>
      <c r="R63" t="inlineStr"/>
    </row>
    <row r="64">
      <c r="A64" t="inlineStr">
        <is>
          <t>aged basmati rice supplier uae</t>
        </is>
      </c>
      <c r="B64" t="inlineStr">
        <is>
          <t>Phase 1 - B2B now</t>
        </is>
      </c>
      <c r="C64" t="inlineStr">
        <is>
          <t>Wholesalers / bulk buyers</t>
        </is>
      </c>
      <c r="D64" t="inlineStr">
        <is>
          <t>Wholesale/B2B</t>
        </is>
      </c>
      <c r="E64" t="inlineStr">
        <is>
          <t>Basmati</t>
        </is>
      </c>
      <c r="F64" t="inlineStr">
        <is>
          <t>Transactional (B2B)</t>
        </is>
      </c>
      <c r="G64" t="inlineStr">
        <is>
          <t>BOFU</t>
        </is>
      </c>
      <c r="H64" t="inlineStr">
        <is>
          <t>UAE</t>
        </is>
      </c>
      <c r="I64" t="inlineStr">
        <is>
          <t>Wholesale landing page</t>
        </is>
      </c>
      <c r="J64" t="inlineStr">
        <is>
          <t>Landing</t>
        </is>
      </c>
      <c r="K64">
        <f>IFERROR(VLOOKUP($A64,'Semrush Import'!$A:$D,2,FALSE),"")</f>
        <v/>
      </c>
      <c r="L64">
        <f>IFERROR(VLOOKUP($A64,'Semrush Import'!$A:$D,3,FALSE),"")</f>
        <v/>
      </c>
      <c r="M64">
        <f>IFERROR(VLOOKUP($A64,'Semrush Import'!$A:$D,4,FALSE),"")</f>
        <v/>
      </c>
      <c r="N64">
        <f>IFERROR(VLOOKUP($A64,'KP Import'!$A:$B,2,FALSE),"")</f>
        <v/>
      </c>
      <c r="O64">
        <f>IF(K64="","",ROUND(K64/(L64+10),1))</f>
        <v/>
      </c>
      <c r="P64">
        <f>IF(O64="","",IF(O64&gt;=20,"A - Go first",IF(O64&gt;=5,"B - Next","C - Later")))</f>
        <v/>
      </c>
      <c r="Q64" t="inlineStr">
        <is>
          <t>To research</t>
        </is>
      </c>
      <c r="R64" t="inlineStr"/>
    </row>
    <row r="65">
      <c r="A65" t="inlineStr">
        <is>
          <t>extra long grain basmati rice</t>
        </is>
      </c>
      <c r="B65" t="inlineStr">
        <is>
          <t>Phase 1 - B2B now</t>
        </is>
      </c>
      <c r="C65" t="inlineStr">
        <is>
          <t>Wholesalers / bulk buyers</t>
        </is>
      </c>
      <c r="D65" t="inlineStr">
        <is>
          <t>Core product</t>
        </is>
      </c>
      <c r="E65" t="inlineStr">
        <is>
          <t>Basmati</t>
        </is>
      </c>
      <c r="F65" t="inlineStr">
        <is>
          <t>Informational/Commercial</t>
        </is>
      </c>
      <c r="G65" t="inlineStr">
        <is>
          <t>TOFU</t>
        </is>
      </c>
      <c r="H65" t="inlineStr">
        <is>
          <t>UAE (generic)</t>
        </is>
      </c>
      <c r="I65" t="inlineStr">
        <is>
          <t>Basmati Rice category</t>
        </is>
      </c>
      <c r="J65" t="inlineStr">
        <is>
          <t>Category</t>
        </is>
      </c>
      <c r="K65">
        <f>IFERROR(VLOOKUP($A65,'Semrush Import'!$A:$D,2,FALSE),"")</f>
        <v/>
      </c>
      <c r="L65">
        <f>IFERROR(VLOOKUP($A65,'Semrush Import'!$A:$D,3,FALSE),"")</f>
        <v/>
      </c>
      <c r="M65">
        <f>IFERROR(VLOOKUP($A65,'Semrush Import'!$A:$D,4,FALSE),"")</f>
        <v/>
      </c>
      <c r="N65">
        <f>IFERROR(VLOOKUP($A65,'KP Import'!$A:$B,2,FALSE),"")</f>
        <v/>
      </c>
      <c r="O65">
        <f>IF(K65="","",ROUND(K65/(L65+10),1))</f>
        <v/>
      </c>
      <c r="P65">
        <f>IF(O65="","",IF(O65&gt;=20,"A - Go first",IF(O65&gt;=5,"B - Next","C - Later")))</f>
        <v/>
      </c>
      <c r="Q65" t="inlineStr">
        <is>
          <t>To research</t>
        </is>
      </c>
      <c r="R65" t="inlineStr"/>
    </row>
    <row r="66">
      <c r="A66" t="inlineStr">
        <is>
          <t>buy extra long grain basmati rice online</t>
        </is>
      </c>
      <c r="B66" t="inlineStr">
        <is>
          <t>Phase 2 - B2C (later)</t>
        </is>
      </c>
      <c r="C66" t="inlineStr">
        <is>
          <t>Consumer / household</t>
        </is>
      </c>
      <c r="D66" t="inlineStr">
        <is>
          <t>Transactional</t>
        </is>
      </c>
      <c r="E66" t="inlineStr">
        <is>
          <t>Basmati</t>
        </is>
      </c>
      <c r="F66" t="inlineStr">
        <is>
          <t>Transactional</t>
        </is>
      </c>
      <c r="G66" t="inlineStr">
        <is>
          <t>BOFU</t>
        </is>
      </c>
      <c r="H66" t="inlineStr">
        <is>
          <t>UAE (generic)</t>
        </is>
      </c>
      <c r="I66" t="inlineStr">
        <is>
          <t>Basmati Rice category</t>
        </is>
      </c>
      <c r="J66" t="inlineStr">
        <is>
          <t>Category</t>
        </is>
      </c>
      <c r="K66">
        <f>IFERROR(VLOOKUP($A66,'Semrush Import'!$A:$D,2,FALSE),"")</f>
        <v/>
      </c>
      <c r="L66">
        <f>IFERROR(VLOOKUP($A66,'Semrush Import'!$A:$D,3,FALSE),"")</f>
        <v/>
      </c>
      <c r="M66">
        <f>IFERROR(VLOOKUP($A66,'Semrush Import'!$A:$D,4,FALSE),"")</f>
        <v/>
      </c>
      <c r="N66">
        <f>IFERROR(VLOOKUP($A66,'KP Import'!$A:$B,2,FALSE),"")</f>
        <v/>
      </c>
      <c r="O66">
        <f>IF(K66="","",ROUND(K66/(L66+10),1))</f>
        <v/>
      </c>
      <c r="P66">
        <f>IF(O66="","",IF(O66&gt;=20,"A - Go first",IF(O66&gt;=5,"B - Next","C - Later")))</f>
        <v/>
      </c>
      <c r="Q66" t="inlineStr">
        <is>
          <t>To research</t>
        </is>
      </c>
      <c r="R66" t="inlineStr"/>
    </row>
    <row r="67">
      <c r="A67" t="inlineStr">
        <is>
          <t>extra long grain basmati rice price in uae</t>
        </is>
      </c>
      <c r="B67" t="inlineStr">
        <is>
          <t>Phase 1 - B2B now</t>
        </is>
      </c>
      <c r="C67" t="inlineStr">
        <is>
          <t>Wholesalers / bulk buyers</t>
        </is>
      </c>
      <c r="D67" t="inlineStr">
        <is>
          <t>Price</t>
        </is>
      </c>
      <c r="E67" t="inlineStr">
        <is>
          <t>Basmati</t>
        </is>
      </c>
      <c r="F67" t="inlineStr">
        <is>
          <t>Commercial/Transactional</t>
        </is>
      </c>
      <c r="G67" t="inlineStr">
        <is>
          <t>MOFU</t>
        </is>
      </c>
      <c r="H67" t="inlineStr">
        <is>
          <t>UAE</t>
        </is>
      </c>
      <c r="I67" t="inlineStr">
        <is>
          <t>Basmati Rice category</t>
        </is>
      </c>
      <c r="J67" t="inlineStr">
        <is>
          <t>Category</t>
        </is>
      </c>
      <c r="K67">
        <f>IFERROR(VLOOKUP($A67,'Semrush Import'!$A:$D,2,FALSE),"")</f>
        <v/>
      </c>
      <c r="L67">
        <f>IFERROR(VLOOKUP($A67,'Semrush Import'!$A:$D,3,FALSE),"")</f>
        <v/>
      </c>
      <c r="M67">
        <f>IFERROR(VLOOKUP($A67,'Semrush Import'!$A:$D,4,FALSE),"")</f>
        <v/>
      </c>
      <c r="N67">
        <f>IFERROR(VLOOKUP($A67,'KP Import'!$A:$B,2,FALSE),"")</f>
        <v/>
      </c>
      <c r="O67">
        <f>IF(K67="","",ROUND(K67/(L67+10),1))</f>
        <v/>
      </c>
      <c r="P67">
        <f>IF(O67="","",IF(O67&gt;=20,"A - Go first",IF(O67&gt;=5,"B - Next","C - Later")))</f>
        <v/>
      </c>
      <c r="Q67" t="inlineStr">
        <is>
          <t>To research</t>
        </is>
      </c>
      <c r="R67" t="inlineStr"/>
    </row>
    <row r="68">
      <c r="A68" t="inlineStr">
        <is>
          <t>extra long grain basmati rice price in dubai</t>
        </is>
      </c>
      <c r="B68" t="inlineStr">
        <is>
          <t>Phase 1 - B2B now</t>
        </is>
      </c>
      <c r="C68" t="inlineStr">
        <is>
          <t>Wholesalers / bulk buyers</t>
        </is>
      </c>
      <c r="D68" t="inlineStr">
        <is>
          <t>Price</t>
        </is>
      </c>
      <c r="E68" t="inlineStr">
        <is>
          <t>Basmati</t>
        </is>
      </c>
      <c r="F68" t="inlineStr">
        <is>
          <t>Commercial/Transactional</t>
        </is>
      </c>
      <c r="G68" t="inlineStr">
        <is>
          <t>MOFU</t>
        </is>
      </c>
      <c r="H68" t="inlineStr">
        <is>
          <t>Dubai</t>
        </is>
      </c>
      <c r="I68" t="inlineStr">
        <is>
          <t>Basmati Rice category</t>
        </is>
      </c>
      <c r="J68" t="inlineStr">
        <is>
          <t>Category</t>
        </is>
      </c>
      <c r="K68">
        <f>IFERROR(VLOOKUP($A68,'Semrush Import'!$A:$D,2,FALSE),"")</f>
        <v/>
      </c>
      <c r="L68">
        <f>IFERROR(VLOOKUP($A68,'Semrush Import'!$A:$D,3,FALSE),"")</f>
        <v/>
      </c>
      <c r="M68">
        <f>IFERROR(VLOOKUP($A68,'Semrush Import'!$A:$D,4,FALSE),"")</f>
        <v/>
      </c>
      <c r="N68">
        <f>IFERROR(VLOOKUP($A68,'KP Import'!$A:$B,2,FALSE),"")</f>
        <v/>
      </c>
      <c r="O68">
        <f>IF(K68="","",ROUND(K68/(L68+10),1))</f>
        <v/>
      </c>
      <c r="P68">
        <f>IF(O68="","",IF(O68&gt;=20,"A - Go first",IF(O68&gt;=5,"B - Next","C - Later")))</f>
        <v/>
      </c>
      <c r="Q68" t="inlineStr">
        <is>
          <t>To research</t>
        </is>
      </c>
      <c r="R68" t="inlineStr"/>
    </row>
    <row r="69">
      <c r="A69" t="inlineStr">
        <is>
          <t>extra long grain basmati rice online dubai</t>
        </is>
      </c>
      <c r="B69" t="inlineStr">
        <is>
          <t>Phase 2 - B2C (later)</t>
        </is>
      </c>
      <c r="C69" t="inlineStr">
        <is>
          <t>Consumer / household</t>
        </is>
      </c>
      <c r="D69" t="inlineStr">
        <is>
          <t>Transactional</t>
        </is>
      </c>
      <c r="E69" t="inlineStr">
        <is>
          <t>Basmati</t>
        </is>
      </c>
      <c r="F69" t="inlineStr">
        <is>
          <t>Transactional</t>
        </is>
      </c>
      <c r="G69" t="inlineStr">
        <is>
          <t>BOFU</t>
        </is>
      </c>
      <c r="H69" t="inlineStr">
        <is>
          <t>Dubai</t>
        </is>
      </c>
      <c r="I69" t="inlineStr">
        <is>
          <t>Basmati Rice category</t>
        </is>
      </c>
      <c r="J69" t="inlineStr">
        <is>
          <t>Category</t>
        </is>
      </c>
      <c r="K69">
        <f>IFERROR(VLOOKUP($A69,'Semrush Import'!$A:$D,2,FALSE),"")</f>
        <v/>
      </c>
      <c r="L69">
        <f>IFERROR(VLOOKUP($A69,'Semrush Import'!$A:$D,3,FALSE),"")</f>
        <v/>
      </c>
      <c r="M69">
        <f>IFERROR(VLOOKUP($A69,'Semrush Import'!$A:$D,4,FALSE),"")</f>
        <v/>
      </c>
      <c r="N69">
        <f>IFERROR(VLOOKUP($A69,'KP Import'!$A:$B,2,FALSE),"")</f>
        <v/>
      </c>
      <c r="O69">
        <f>IF(K69="","",ROUND(K69/(L69+10),1))</f>
        <v/>
      </c>
      <c r="P69">
        <f>IF(O69="","",IF(O69&gt;=20,"A - Go first",IF(O69&gt;=5,"B - Next","C - Later")))</f>
        <v/>
      </c>
      <c r="Q69" t="inlineStr">
        <is>
          <t>To research</t>
        </is>
      </c>
      <c r="R69" t="inlineStr"/>
    </row>
    <row r="70">
      <c r="A70" t="inlineStr">
        <is>
          <t>extra long grain basmati rice wholesale dubai</t>
        </is>
      </c>
      <c r="B70" t="inlineStr">
        <is>
          <t>Phase 1 - B2B now</t>
        </is>
      </c>
      <c r="C70" t="inlineStr">
        <is>
          <t>Wholesalers / bulk buyers</t>
        </is>
      </c>
      <c r="D70" t="inlineStr">
        <is>
          <t>Wholesale/B2B</t>
        </is>
      </c>
      <c r="E70" t="inlineStr">
        <is>
          <t>Basmati</t>
        </is>
      </c>
      <c r="F70" t="inlineStr">
        <is>
          <t>Transactional (B2B)</t>
        </is>
      </c>
      <c r="G70" t="inlineStr">
        <is>
          <t>BOFU</t>
        </is>
      </c>
      <c r="H70" t="inlineStr">
        <is>
          <t>Dubai</t>
        </is>
      </c>
      <c r="I70" t="inlineStr">
        <is>
          <t>Wholesale landing page</t>
        </is>
      </c>
      <c r="J70" t="inlineStr">
        <is>
          <t>Landing</t>
        </is>
      </c>
      <c r="K70">
        <f>IFERROR(VLOOKUP($A70,'Semrush Import'!$A:$D,2,FALSE),"")</f>
        <v/>
      </c>
      <c r="L70">
        <f>IFERROR(VLOOKUP($A70,'Semrush Import'!$A:$D,3,FALSE),"")</f>
        <v/>
      </c>
      <c r="M70">
        <f>IFERROR(VLOOKUP($A70,'Semrush Import'!$A:$D,4,FALSE),"")</f>
        <v/>
      </c>
      <c r="N70">
        <f>IFERROR(VLOOKUP($A70,'KP Import'!$A:$B,2,FALSE),"")</f>
        <v/>
      </c>
      <c r="O70">
        <f>IF(K70="","",ROUND(K70/(L70+10),1))</f>
        <v/>
      </c>
      <c r="P70">
        <f>IF(O70="","",IF(O70&gt;=20,"A - Go first",IF(O70&gt;=5,"B - Next","C - Later")))</f>
        <v/>
      </c>
      <c r="Q70" t="inlineStr">
        <is>
          <t>To research</t>
        </is>
      </c>
      <c r="R70" t="inlineStr"/>
    </row>
    <row r="71">
      <c r="A71" t="inlineStr">
        <is>
          <t>extra long grain basmati rice supplier uae</t>
        </is>
      </c>
      <c r="B71" t="inlineStr">
        <is>
          <t>Phase 1 - B2B now</t>
        </is>
      </c>
      <c r="C71" t="inlineStr">
        <is>
          <t>Wholesalers / bulk buyers</t>
        </is>
      </c>
      <c r="D71" t="inlineStr">
        <is>
          <t>Wholesale/B2B</t>
        </is>
      </c>
      <c r="E71" t="inlineStr">
        <is>
          <t>Basmati</t>
        </is>
      </c>
      <c r="F71" t="inlineStr">
        <is>
          <t>Transactional (B2B)</t>
        </is>
      </c>
      <c r="G71" t="inlineStr">
        <is>
          <t>BOFU</t>
        </is>
      </c>
      <c r="H71" t="inlineStr">
        <is>
          <t>UAE</t>
        </is>
      </c>
      <c r="I71" t="inlineStr">
        <is>
          <t>Wholesale landing page</t>
        </is>
      </c>
      <c r="J71" t="inlineStr">
        <is>
          <t>Landing</t>
        </is>
      </c>
      <c r="K71">
        <f>IFERROR(VLOOKUP($A71,'Semrush Import'!$A:$D,2,FALSE),"")</f>
        <v/>
      </c>
      <c r="L71">
        <f>IFERROR(VLOOKUP($A71,'Semrush Import'!$A:$D,3,FALSE),"")</f>
        <v/>
      </c>
      <c r="M71">
        <f>IFERROR(VLOOKUP($A71,'Semrush Import'!$A:$D,4,FALSE),"")</f>
        <v/>
      </c>
      <c r="N71">
        <f>IFERROR(VLOOKUP($A71,'KP Import'!$A:$B,2,FALSE),"")</f>
        <v/>
      </c>
      <c r="O71">
        <f>IF(K71="","",ROUND(K71/(L71+10),1))</f>
        <v/>
      </c>
      <c r="P71">
        <f>IF(O71="","",IF(O71&gt;=20,"A - Go first",IF(O71&gt;=5,"B - Next","C - Later")))</f>
        <v/>
      </c>
      <c r="Q71" t="inlineStr">
        <is>
          <t>To research</t>
        </is>
      </c>
      <c r="R71" t="inlineStr"/>
    </row>
    <row r="72">
      <c r="A72" t="inlineStr">
        <is>
          <t>brown basmati rice</t>
        </is>
      </c>
      <c r="B72" t="inlineStr">
        <is>
          <t>Phase 1 - B2B now</t>
        </is>
      </c>
      <c r="C72" t="inlineStr">
        <is>
          <t>Wholesalers / bulk buyers</t>
        </is>
      </c>
      <c r="D72" t="inlineStr">
        <is>
          <t>Core product</t>
        </is>
      </c>
      <c r="E72" t="inlineStr">
        <is>
          <t>Basmati</t>
        </is>
      </c>
      <c r="F72" t="inlineStr">
        <is>
          <t>Informational/Commercial</t>
        </is>
      </c>
      <c r="G72" t="inlineStr">
        <is>
          <t>TOFU</t>
        </is>
      </c>
      <c r="H72" t="inlineStr">
        <is>
          <t>UAE (generic)</t>
        </is>
      </c>
      <c r="I72" t="inlineStr">
        <is>
          <t>Brown Rice category</t>
        </is>
      </c>
      <c r="J72" t="inlineStr">
        <is>
          <t>Category</t>
        </is>
      </c>
      <c r="K72">
        <f>IFERROR(VLOOKUP($A72,'Semrush Import'!$A:$D,2,FALSE),"")</f>
        <v/>
      </c>
      <c r="L72">
        <f>IFERROR(VLOOKUP($A72,'Semrush Import'!$A:$D,3,FALSE),"")</f>
        <v/>
      </c>
      <c r="M72">
        <f>IFERROR(VLOOKUP($A72,'Semrush Import'!$A:$D,4,FALSE),"")</f>
        <v/>
      </c>
      <c r="N72">
        <f>IFERROR(VLOOKUP($A72,'KP Import'!$A:$B,2,FALSE),"")</f>
        <v/>
      </c>
      <c r="O72">
        <f>IF(K72="","",ROUND(K72/(L72+10),1))</f>
        <v/>
      </c>
      <c r="P72">
        <f>IF(O72="","",IF(O72&gt;=20,"A - Go first",IF(O72&gt;=5,"B - Next","C - Later")))</f>
        <v/>
      </c>
      <c r="Q72" t="inlineStr">
        <is>
          <t>To research</t>
        </is>
      </c>
      <c r="R72" t="inlineStr"/>
    </row>
    <row r="73">
      <c r="A73" t="inlineStr">
        <is>
          <t>buy brown basmati rice online</t>
        </is>
      </c>
      <c r="B73" t="inlineStr">
        <is>
          <t>Phase 2 - B2C (later)</t>
        </is>
      </c>
      <c r="C73" t="inlineStr">
        <is>
          <t>Consumer / household</t>
        </is>
      </c>
      <c r="D73" t="inlineStr">
        <is>
          <t>Transactional</t>
        </is>
      </c>
      <c r="E73" t="inlineStr">
        <is>
          <t>Basmati</t>
        </is>
      </c>
      <c r="F73" t="inlineStr">
        <is>
          <t>Transactional</t>
        </is>
      </c>
      <c r="G73" t="inlineStr">
        <is>
          <t>BOFU</t>
        </is>
      </c>
      <c r="H73" t="inlineStr">
        <is>
          <t>UAE (generic)</t>
        </is>
      </c>
      <c r="I73" t="inlineStr">
        <is>
          <t>Brown Rice category</t>
        </is>
      </c>
      <c r="J73" t="inlineStr">
        <is>
          <t>Category</t>
        </is>
      </c>
      <c r="K73">
        <f>IFERROR(VLOOKUP($A73,'Semrush Import'!$A:$D,2,FALSE),"")</f>
        <v/>
      </c>
      <c r="L73">
        <f>IFERROR(VLOOKUP($A73,'Semrush Import'!$A:$D,3,FALSE),"")</f>
        <v/>
      </c>
      <c r="M73">
        <f>IFERROR(VLOOKUP($A73,'Semrush Import'!$A:$D,4,FALSE),"")</f>
        <v/>
      </c>
      <c r="N73">
        <f>IFERROR(VLOOKUP($A73,'KP Import'!$A:$B,2,FALSE),"")</f>
        <v/>
      </c>
      <c r="O73">
        <f>IF(K73="","",ROUND(K73/(L73+10),1))</f>
        <v/>
      </c>
      <c r="P73">
        <f>IF(O73="","",IF(O73&gt;=20,"A - Go first",IF(O73&gt;=5,"B - Next","C - Later")))</f>
        <v/>
      </c>
      <c r="Q73" t="inlineStr">
        <is>
          <t>To research</t>
        </is>
      </c>
      <c r="R73" t="inlineStr"/>
    </row>
    <row r="74">
      <c r="A74" t="inlineStr">
        <is>
          <t>brown basmati rice price in uae</t>
        </is>
      </c>
      <c r="B74" t="inlineStr">
        <is>
          <t>Phase 1 - B2B now</t>
        </is>
      </c>
      <c r="C74" t="inlineStr">
        <is>
          <t>Wholesalers / bulk buyers</t>
        </is>
      </c>
      <c r="D74" t="inlineStr">
        <is>
          <t>Price</t>
        </is>
      </c>
      <c r="E74" t="inlineStr">
        <is>
          <t>Basmati</t>
        </is>
      </c>
      <c r="F74" t="inlineStr">
        <is>
          <t>Commercial/Transactional</t>
        </is>
      </c>
      <c r="G74" t="inlineStr">
        <is>
          <t>MOFU</t>
        </is>
      </c>
      <c r="H74" t="inlineStr">
        <is>
          <t>UAE</t>
        </is>
      </c>
      <c r="I74" t="inlineStr">
        <is>
          <t>Brown Rice category</t>
        </is>
      </c>
      <c r="J74" t="inlineStr">
        <is>
          <t>Category</t>
        </is>
      </c>
      <c r="K74">
        <f>IFERROR(VLOOKUP($A74,'Semrush Import'!$A:$D,2,FALSE),"")</f>
        <v/>
      </c>
      <c r="L74">
        <f>IFERROR(VLOOKUP($A74,'Semrush Import'!$A:$D,3,FALSE),"")</f>
        <v/>
      </c>
      <c r="M74">
        <f>IFERROR(VLOOKUP($A74,'Semrush Import'!$A:$D,4,FALSE),"")</f>
        <v/>
      </c>
      <c r="N74">
        <f>IFERROR(VLOOKUP($A74,'KP Import'!$A:$B,2,FALSE),"")</f>
        <v/>
      </c>
      <c r="O74">
        <f>IF(K74="","",ROUND(K74/(L74+10),1))</f>
        <v/>
      </c>
      <c r="P74">
        <f>IF(O74="","",IF(O74&gt;=20,"A - Go first",IF(O74&gt;=5,"B - Next","C - Later")))</f>
        <v/>
      </c>
      <c r="Q74" t="inlineStr">
        <is>
          <t>To research</t>
        </is>
      </c>
      <c r="R74" t="inlineStr"/>
    </row>
    <row r="75">
      <c r="A75" t="inlineStr">
        <is>
          <t>brown basmati rice price in dubai</t>
        </is>
      </c>
      <c r="B75" t="inlineStr">
        <is>
          <t>Phase 1 - B2B now</t>
        </is>
      </c>
      <c r="C75" t="inlineStr">
        <is>
          <t>Wholesalers / bulk buyers</t>
        </is>
      </c>
      <c r="D75" t="inlineStr">
        <is>
          <t>Price</t>
        </is>
      </c>
      <c r="E75" t="inlineStr">
        <is>
          <t>Basmati</t>
        </is>
      </c>
      <c r="F75" t="inlineStr">
        <is>
          <t>Commercial/Transactional</t>
        </is>
      </c>
      <c r="G75" t="inlineStr">
        <is>
          <t>MOFU</t>
        </is>
      </c>
      <c r="H75" t="inlineStr">
        <is>
          <t>Dubai</t>
        </is>
      </c>
      <c r="I75" t="inlineStr">
        <is>
          <t>Brown Rice category</t>
        </is>
      </c>
      <c r="J75" t="inlineStr">
        <is>
          <t>Category</t>
        </is>
      </c>
      <c r="K75">
        <f>IFERROR(VLOOKUP($A75,'Semrush Import'!$A:$D,2,FALSE),"")</f>
        <v/>
      </c>
      <c r="L75">
        <f>IFERROR(VLOOKUP($A75,'Semrush Import'!$A:$D,3,FALSE),"")</f>
        <v/>
      </c>
      <c r="M75">
        <f>IFERROR(VLOOKUP($A75,'Semrush Import'!$A:$D,4,FALSE),"")</f>
        <v/>
      </c>
      <c r="N75">
        <f>IFERROR(VLOOKUP($A75,'KP Import'!$A:$B,2,FALSE),"")</f>
        <v/>
      </c>
      <c r="O75">
        <f>IF(K75="","",ROUND(K75/(L75+10),1))</f>
        <v/>
      </c>
      <c r="P75">
        <f>IF(O75="","",IF(O75&gt;=20,"A - Go first",IF(O75&gt;=5,"B - Next","C - Later")))</f>
        <v/>
      </c>
      <c r="Q75" t="inlineStr">
        <is>
          <t>To research</t>
        </is>
      </c>
      <c r="R75" t="inlineStr"/>
    </row>
    <row r="76">
      <c r="A76" t="inlineStr">
        <is>
          <t>brown basmati rice online dubai</t>
        </is>
      </c>
      <c r="B76" t="inlineStr">
        <is>
          <t>Phase 2 - B2C (later)</t>
        </is>
      </c>
      <c r="C76" t="inlineStr">
        <is>
          <t>Consumer / household</t>
        </is>
      </c>
      <c r="D76" t="inlineStr">
        <is>
          <t>Transactional</t>
        </is>
      </c>
      <c r="E76" t="inlineStr">
        <is>
          <t>Basmati</t>
        </is>
      </c>
      <c r="F76" t="inlineStr">
        <is>
          <t>Transactional</t>
        </is>
      </c>
      <c r="G76" t="inlineStr">
        <is>
          <t>BOFU</t>
        </is>
      </c>
      <c r="H76" t="inlineStr">
        <is>
          <t>Dubai</t>
        </is>
      </c>
      <c r="I76" t="inlineStr">
        <is>
          <t>Brown Rice category</t>
        </is>
      </c>
      <c r="J76" t="inlineStr">
        <is>
          <t>Category</t>
        </is>
      </c>
      <c r="K76">
        <f>IFERROR(VLOOKUP($A76,'Semrush Import'!$A:$D,2,FALSE),"")</f>
        <v/>
      </c>
      <c r="L76">
        <f>IFERROR(VLOOKUP($A76,'Semrush Import'!$A:$D,3,FALSE),"")</f>
        <v/>
      </c>
      <c r="M76">
        <f>IFERROR(VLOOKUP($A76,'Semrush Import'!$A:$D,4,FALSE),"")</f>
        <v/>
      </c>
      <c r="N76">
        <f>IFERROR(VLOOKUP($A76,'KP Import'!$A:$B,2,FALSE),"")</f>
        <v/>
      </c>
      <c r="O76">
        <f>IF(K76="","",ROUND(K76/(L76+10),1))</f>
        <v/>
      </c>
      <c r="P76">
        <f>IF(O76="","",IF(O76&gt;=20,"A - Go first",IF(O76&gt;=5,"B - Next","C - Later")))</f>
        <v/>
      </c>
      <c r="Q76" t="inlineStr">
        <is>
          <t>To research</t>
        </is>
      </c>
      <c r="R76" t="inlineStr"/>
    </row>
    <row r="77">
      <c r="A77" t="inlineStr">
        <is>
          <t>brown basmati rice wholesale dubai</t>
        </is>
      </c>
      <c r="B77" t="inlineStr">
        <is>
          <t>Phase 1 - B2B now</t>
        </is>
      </c>
      <c r="C77" t="inlineStr">
        <is>
          <t>Wholesalers / bulk buyers</t>
        </is>
      </c>
      <c r="D77" t="inlineStr">
        <is>
          <t>Wholesale/B2B</t>
        </is>
      </c>
      <c r="E77" t="inlineStr">
        <is>
          <t>Basmati</t>
        </is>
      </c>
      <c r="F77" t="inlineStr">
        <is>
          <t>Transactional (B2B)</t>
        </is>
      </c>
      <c r="G77" t="inlineStr">
        <is>
          <t>BOFU</t>
        </is>
      </c>
      <c r="H77" t="inlineStr">
        <is>
          <t>Dubai</t>
        </is>
      </c>
      <c r="I77" t="inlineStr">
        <is>
          <t>Wholesale landing page</t>
        </is>
      </c>
      <c r="J77" t="inlineStr">
        <is>
          <t>Landing</t>
        </is>
      </c>
      <c r="K77">
        <f>IFERROR(VLOOKUP($A77,'Semrush Import'!$A:$D,2,FALSE),"")</f>
        <v/>
      </c>
      <c r="L77">
        <f>IFERROR(VLOOKUP($A77,'Semrush Import'!$A:$D,3,FALSE),"")</f>
        <v/>
      </c>
      <c r="M77">
        <f>IFERROR(VLOOKUP($A77,'Semrush Import'!$A:$D,4,FALSE),"")</f>
        <v/>
      </c>
      <c r="N77">
        <f>IFERROR(VLOOKUP($A77,'KP Import'!$A:$B,2,FALSE),"")</f>
        <v/>
      </c>
      <c r="O77">
        <f>IF(K77="","",ROUND(K77/(L77+10),1))</f>
        <v/>
      </c>
      <c r="P77">
        <f>IF(O77="","",IF(O77&gt;=20,"A - Go first",IF(O77&gt;=5,"B - Next","C - Later")))</f>
        <v/>
      </c>
      <c r="Q77" t="inlineStr">
        <is>
          <t>To research</t>
        </is>
      </c>
      <c r="R77" t="inlineStr"/>
    </row>
    <row r="78">
      <c r="A78" t="inlineStr">
        <is>
          <t>brown basmati rice supplier uae</t>
        </is>
      </c>
      <c r="B78" t="inlineStr">
        <is>
          <t>Phase 1 - B2B now</t>
        </is>
      </c>
      <c r="C78" t="inlineStr">
        <is>
          <t>Wholesalers / bulk buyers</t>
        </is>
      </c>
      <c r="D78" t="inlineStr">
        <is>
          <t>Wholesale/B2B</t>
        </is>
      </c>
      <c r="E78" t="inlineStr">
        <is>
          <t>Basmati</t>
        </is>
      </c>
      <c r="F78" t="inlineStr">
        <is>
          <t>Transactional (B2B)</t>
        </is>
      </c>
      <c r="G78" t="inlineStr">
        <is>
          <t>BOFU</t>
        </is>
      </c>
      <c r="H78" t="inlineStr">
        <is>
          <t>UAE</t>
        </is>
      </c>
      <c r="I78" t="inlineStr">
        <is>
          <t>Wholesale landing page</t>
        </is>
      </c>
      <c r="J78" t="inlineStr">
        <is>
          <t>Landing</t>
        </is>
      </c>
      <c r="K78">
        <f>IFERROR(VLOOKUP($A78,'Semrush Import'!$A:$D,2,FALSE),"")</f>
        <v/>
      </c>
      <c r="L78">
        <f>IFERROR(VLOOKUP($A78,'Semrush Import'!$A:$D,3,FALSE),"")</f>
        <v/>
      </c>
      <c r="M78">
        <f>IFERROR(VLOOKUP($A78,'Semrush Import'!$A:$D,4,FALSE),"")</f>
        <v/>
      </c>
      <c r="N78">
        <f>IFERROR(VLOOKUP($A78,'KP Import'!$A:$B,2,FALSE),"")</f>
        <v/>
      </c>
      <c r="O78">
        <f>IF(K78="","",ROUND(K78/(L78+10),1))</f>
        <v/>
      </c>
      <c r="P78">
        <f>IF(O78="","",IF(O78&gt;=20,"A - Go first",IF(O78&gt;=5,"B - Next","C - Later")))</f>
        <v/>
      </c>
      <c r="Q78" t="inlineStr">
        <is>
          <t>To research</t>
        </is>
      </c>
      <c r="R78" t="inlineStr"/>
    </row>
    <row r="79">
      <c r="A79" t="inlineStr">
        <is>
          <t>jasmine rice</t>
        </is>
      </c>
      <c r="B79" t="inlineStr">
        <is>
          <t>Phase 1 - B2B now</t>
        </is>
      </c>
      <c r="C79" t="inlineStr">
        <is>
          <t>Wholesalers / bulk buyers</t>
        </is>
      </c>
      <c r="D79" t="inlineStr">
        <is>
          <t>Core product</t>
        </is>
      </c>
      <c r="E79" t="inlineStr">
        <is>
          <t>Specialty</t>
        </is>
      </c>
      <c r="F79" t="inlineStr">
        <is>
          <t>Informational/Commercial</t>
        </is>
      </c>
      <c r="G79" t="inlineStr">
        <is>
          <t>TOFU</t>
        </is>
      </c>
      <c r="H79" t="inlineStr">
        <is>
          <t>UAE (generic)</t>
        </is>
      </c>
      <c r="I79" t="inlineStr">
        <is>
          <t>Jasmine Rice product page</t>
        </is>
      </c>
      <c r="J79" t="inlineStr">
        <is>
          <t>Product</t>
        </is>
      </c>
      <c r="K79">
        <f>IFERROR(VLOOKUP($A79,'Semrush Import'!$A:$D,2,FALSE),"")</f>
        <v/>
      </c>
      <c r="L79">
        <f>IFERROR(VLOOKUP($A79,'Semrush Import'!$A:$D,3,FALSE),"")</f>
        <v/>
      </c>
      <c r="M79">
        <f>IFERROR(VLOOKUP($A79,'Semrush Import'!$A:$D,4,FALSE),"")</f>
        <v/>
      </c>
      <c r="N79">
        <f>IFERROR(VLOOKUP($A79,'KP Import'!$A:$B,2,FALSE),"")</f>
        <v/>
      </c>
      <c r="O79">
        <f>IF(K79="","",ROUND(K79/(L79+10),1))</f>
        <v/>
      </c>
      <c r="P79">
        <f>IF(O79="","",IF(O79&gt;=20,"A - Go first",IF(O79&gt;=5,"B - Next","C - Later")))</f>
        <v/>
      </c>
      <c r="Q79" t="inlineStr">
        <is>
          <t>To research</t>
        </is>
      </c>
      <c r="R79" t="inlineStr"/>
    </row>
    <row r="80">
      <c r="A80" t="inlineStr">
        <is>
          <t>buy jasmine rice online</t>
        </is>
      </c>
      <c r="B80" t="inlineStr">
        <is>
          <t>Phase 2 - B2C (later)</t>
        </is>
      </c>
      <c r="C80" t="inlineStr">
        <is>
          <t>Consumer / household</t>
        </is>
      </c>
      <c r="D80" t="inlineStr">
        <is>
          <t>Transactional</t>
        </is>
      </c>
      <c r="E80" t="inlineStr">
        <is>
          <t>Specialty</t>
        </is>
      </c>
      <c r="F80" t="inlineStr">
        <is>
          <t>Transactional</t>
        </is>
      </c>
      <c r="G80" t="inlineStr">
        <is>
          <t>BOFU</t>
        </is>
      </c>
      <c r="H80" t="inlineStr">
        <is>
          <t>UAE (generic)</t>
        </is>
      </c>
      <c r="I80" t="inlineStr">
        <is>
          <t>Jasmine Rice product page</t>
        </is>
      </c>
      <c r="J80" t="inlineStr">
        <is>
          <t>Product</t>
        </is>
      </c>
      <c r="K80">
        <f>IFERROR(VLOOKUP($A80,'Semrush Import'!$A:$D,2,FALSE),"")</f>
        <v/>
      </c>
      <c r="L80">
        <f>IFERROR(VLOOKUP($A80,'Semrush Import'!$A:$D,3,FALSE),"")</f>
        <v/>
      </c>
      <c r="M80">
        <f>IFERROR(VLOOKUP($A80,'Semrush Import'!$A:$D,4,FALSE),"")</f>
        <v/>
      </c>
      <c r="N80">
        <f>IFERROR(VLOOKUP($A80,'KP Import'!$A:$B,2,FALSE),"")</f>
        <v/>
      </c>
      <c r="O80">
        <f>IF(K80="","",ROUND(K80/(L80+10),1))</f>
        <v/>
      </c>
      <c r="P80">
        <f>IF(O80="","",IF(O80&gt;=20,"A - Go first",IF(O80&gt;=5,"B - Next","C - Later")))</f>
        <v/>
      </c>
      <c r="Q80" t="inlineStr">
        <is>
          <t>To research</t>
        </is>
      </c>
      <c r="R80" t="inlineStr"/>
    </row>
    <row r="81">
      <c r="A81" t="inlineStr">
        <is>
          <t>jasmine rice price in uae</t>
        </is>
      </c>
      <c r="B81" t="inlineStr">
        <is>
          <t>Phase 1 - B2B now</t>
        </is>
      </c>
      <c r="C81" t="inlineStr">
        <is>
          <t>Wholesalers / bulk buyers</t>
        </is>
      </c>
      <c r="D81" t="inlineStr">
        <is>
          <t>Price</t>
        </is>
      </c>
      <c r="E81" t="inlineStr">
        <is>
          <t>Specialty</t>
        </is>
      </c>
      <c r="F81" t="inlineStr">
        <is>
          <t>Commercial/Transactional</t>
        </is>
      </c>
      <c r="G81" t="inlineStr">
        <is>
          <t>MOFU</t>
        </is>
      </c>
      <c r="H81" t="inlineStr">
        <is>
          <t>UAE</t>
        </is>
      </c>
      <c r="I81" t="inlineStr">
        <is>
          <t>Jasmine Rice product page</t>
        </is>
      </c>
      <c r="J81" t="inlineStr">
        <is>
          <t>Product</t>
        </is>
      </c>
      <c r="K81">
        <f>IFERROR(VLOOKUP($A81,'Semrush Import'!$A:$D,2,FALSE),"")</f>
        <v/>
      </c>
      <c r="L81">
        <f>IFERROR(VLOOKUP($A81,'Semrush Import'!$A:$D,3,FALSE),"")</f>
        <v/>
      </c>
      <c r="M81">
        <f>IFERROR(VLOOKUP($A81,'Semrush Import'!$A:$D,4,FALSE),"")</f>
        <v/>
      </c>
      <c r="N81">
        <f>IFERROR(VLOOKUP($A81,'KP Import'!$A:$B,2,FALSE),"")</f>
        <v/>
      </c>
      <c r="O81">
        <f>IF(K81="","",ROUND(K81/(L81+10),1))</f>
        <v/>
      </c>
      <c r="P81">
        <f>IF(O81="","",IF(O81&gt;=20,"A - Go first",IF(O81&gt;=5,"B - Next","C - Later")))</f>
        <v/>
      </c>
      <c r="Q81" t="inlineStr">
        <is>
          <t>To research</t>
        </is>
      </c>
      <c r="R81" t="inlineStr"/>
    </row>
    <row r="82">
      <c r="A82" t="inlineStr">
        <is>
          <t>jasmine rice price in dubai</t>
        </is>
      </c>
      <c r="B82" t="inlineStr">
        <is>
          <t>Phase 1 - B2B now</t>
        </is>
      </c>
      <c r="C82" t="inlineStr">
        <is>
          <t>Wholesalers / bulk buyers</t>
        </is>
      </c>
      <c r="D82" t="inlineStr">
        <is>
          <t>Price</t>
        </is>
      </c>
      <c r="E82" t="inlineStr">
        <is>
          <t>Specialty</t>
        </is>
      </c>
      <c r="F82" t="inlineStr">
        <is>
          <t>Commercial/Transactional</t>
        </is>
      </c>
      <c r="G82" t="inlineStr">
        <is>
          <t>MOFU</t>
        </is>
      </c>
      <c r="H82" t="inlineStr">
        <is>
          <t>Dubai</t>
        </is>
      </c>
      <c r="I82" t="inlineStr">
        <is>
          <t>Jasmine Rice product page</t>
        </is>
      </c>
      <c r="J82" t="inlineStr">
        <is>
          <t>Product</t>
        </is>
      </c>
      <c r="K82">
        <f>IFERROR(VLOOKUP($A82,'Semrush Import'!$A:$D,2,FALSE),"")</f>
        <v/>
      </c>
      <c r="L82">
        <f>IFERROR(VLOOKUP($A82,'Semrush Import'!$A:$D,3,FALSE),"")</f>
        <v/>
      </c>
      <c r="M82">
        <f>IFERROR(VLOOKUP($A82,'Semrush Import'!$A:$D,4,FALSE),"")</f>
        <v/>
      </c>
      <c r="N82">
        <f>IFERROR(VLOOKUP($A82,'KP Import'!$A:$B,2,FALSE),"")</f>
        <v/>
      </c>
      <c r="O82">
        <f>IF(K82="","",ROUND(K82/(L82+10),1))</f>
        <v/>
      </c>
      <c r="P82">
        <f>IF(O82="","",IF(O82&gt;=20,"A - Go first",IF(O82&gt;=5,"B - Next","C - Later")))</f>
        <v/>
      </c>
      <c r="Q82" t="inlineStr">
        <is>
          <t>To research</t>
        </is>
      </c>
      <c r="R82" t="inlineStr"/>
    </row>
    <row r="83">
      <c r="A83" t="inlineStr">
        <is>
          <t>jasmine rice online dubai</t>
        </is>
      </c>
      <c r="B83" t="inlineStr">
        <is>
          <t>Phase 2 - B2C (later)</t>
        </is>
      </c>
      <c r="C83" t="inlineStr">
        <is>
          <t>Consumer / household</t>
        </is>
      </c>
      <c r="D83" t="inlineStr">
        <is>
          <t>Transactional</t>
        </is>
      </c>
      <c r="E83" t="inlineStr">
        <is>
          <t>Specialty</t>
        </is>
      </c>
      <c r="F83" t="inlineStr">
        <is>
          <t>Transactional</t>
        </is>
      </c>
      <c r="G83" t="inlineStr">
        <is>
          <t>BOFU</t>
        </is>
      </c>
      <c r="H83" t="inlineStr">
        <is>
          <t>Dubai</t>
        </is>
      </c>
      <c r="I83" t="inlineStr">
        <is>
          <t>Jasmine Rice product page</t>
        </is>
      </c>
      <c r="J83" t="inlineStr">
        <is>
          <t>Product</t>
        </is>
      </c>
      <c r="K83">
        <f>IFERROR(VLOOKUP($A83,'Semrush Import'!$A:$D,2,FALSE),"")</f>
        <v/>
      </c>
      <c r="L83">
        <f>IFERROR(VLOOKUP($A83,'Semrush Import'!$A:$D,3,FALSE),"")</f>
        <v/>
      </c>
      <c r="M83">
        <f>IFERROR(VLOOKUP($A83,'Semrush Import'!$A:$D,4,FALSE),"")</f>
        <v/>
      </c>
      <c r="N83">
        <f>IFERROR(VLOOKUP($A83,'KP Import'!$A:$B,2,FALSE),"")</f>
        <v/>
      </c>
      <c r="O83">
        <f>IF(K83="","",ROUND(K83/(L83+10),1))</f>
        <v/>
      </c>
      <c r="P83">
        <f>IF(O83="","",IF(O83&gt;=20,"A - Go first",IF(O83&gt;=5,"B - Next","C - Later")))</f>
        <v/>
      </c>
      <c r="Q83" t="inlineStr">
        <is>
          <t>To research</t>
        </is>
      </c>
      <c r="R83" t="inlineStr"/>
    </row>
    <row r="84">
      <c r="A84" t="inlineStr">
        <is>
          <t>jasmine rice wholesale dubai</t>
        </is>
      </c>
      <c r="B84" t="inlineStr">
        <is>
          <t>Phase 1 - B2B now</t>
        </is>
      </c>
      <c r="C84" t="inlineStr">
        <is>
          <t>Wholesalers / bulk buyers</t>
        </is>
      </c>
      <c r="D84" t="inlineStr">
        <is>
          <t>Wholesale/B2B</t>
        </is>
      </c>
      <c r="E84" t="inlineStr">
        <is>
          <t>Specialty</t>
        </is>
      </c>
      <c r="F84" t="inlineStr">
        <is>
          <t>Transactional (B2B)</t>
        </is>
      </c>
      <c r="G84" t="inlineStr">
        <is>
          <t>BOFU</t>
        </is>
      </c>
      <c r="H84" t="inlineStr">
        <is>
          <t>Dubai</t>
        </is>
      </c>
      <c r="I84" t="inlineStr">
        <is>
          <t>Wholesale landing page</t>
        </is>
      </c>
      <c r="J84" t="inlineStr">
        <is>
          <t>Landing</t>
        </is>
      </c>
      <c r="K84">
        <f>IFERROR(VLOOKUP($A84,'Semrush Import'!$A:$D,2,FALSE),"")</f>
        <v/>
      </c>
      <c r="L84">
        <f>IFERROR(VLOOKUP($A84,'Semrush Import'!$A:$D,3,FALSE),"")</f>
        <v/>
      </c>
      <c r="M84">
        <f>IFERROR(VLOOKUP($A84,'Semrush Import'!$A:$D,4,FALSE),"")</f>
        <v/>
      </c>
      <c r="N84">
        <f>IFERROR(VLOOKUP($A84,'KP Import'!$A:$B,2,FALSE),"")</f>
        <v/>
      </c>
      <c r="O84">
        <f>IF(K84="","",ROUND(K84/(L84+10),1))</f>
        <v/>
      </c>
      <c r="P84">
        <f>IF(O84="","",IF(O84&gt;=20,"A - Go first",IF(O84&gt;=5,"B - Next","C - Later")))</f>
        <v/>
      </c>
      <c r="Q84" t="inlineStr">
        <is>
          <t>To research</t>
        </is>
      </c>
      <c r="R84" t="inlineStr"/>
    </row>
    <row r="85">
      <c r="A85" t="inlineStr">
        <is>
          <t>jasmine rice supplier uae</t>
        </is>
      </c>
      <c r="B85" t="inlineStr">
        <is>
          <t>Phase 1 - B2B now</t>
        </is>
      </c>
      <c r="C85" t="inlineStr">
        <is>
          <t>Wholesalers / bulk buyers</t>
        </is>
      </c>
      <c r="D85" t="inlineStr">
        <is>
          <t>Wholesale/B2B</t>
        </is>
      </c>
      <c r="E85" t="inlineStr">
        <is>
          <t>Specialty</t>
        </is>
      </c>
      <c r="F85" t="inlineStr">
        <is>
          <t>Transactional (B2B)</t>
        </is>
      </c>
      <c r="G85" t="inlineStr">
        <is>
          <t>BOFU</t>
        </is>
      </c>
      <c r="H85" t="inlineStr">
        <is>
          <t>UAE</t>
        </is>
      </c>
      <c r="I85" t="inlineStr">
        <is>
          <t>Wholesale landing page</t>
        </is>
      </c>
      <c r="J85" t="inlineStr">
        <is>
          <t>Landing</t>
        </is>
      </c>
      <c r="K85">
        <f>IFERROR(VLOOKUP($A85,'Semrush Import'!$A:$D,2,FALSE),"")</f>
        <v/>
      </c>
      <c r="L85">
        <f>IFERROR(VLOOKUP($A85,'Semrush Import'!$A:$D,3,FALSE),"")</f>
        <v/>
      </c>
      <c r="M85">
        <f>IFERROR(VLOOKUP($A85,'Semrush Import'!$A:$D,4,FALSE),"")</f>
        <v/>
      </c>
      <c r="N85">
        <f>IFERROR(VLOOKUP($A85,'KP Import'!$A:$B,2,FALSE),"")</f>
        <v/>
      </c>
      <c r="O85">
        <f>IF(K85="","",ROUND(K85/(L85+10),1))</f>
        <v/>
      </c>
      <c r="P85">
        <f>IF(O85="","",IF(O85&gt;=20,"A - Go first",IF(O85&gt;=5,"B - Next","C - Later")))</f>
        <v/>
      </c>
      <c r="Q85" t="inlineStr">
        <is>
          <t>To research</t>
        </is>
      </c>
      <c r="R85" t="inlineStr"/>
    </row>
    <row r="86">
      <c r="A86" t="inlineStr">
        <is>
          <t>thai jasmine rice</t>
        </is>
      </c>
      <c r="B86" t="inlineStr">
        <is>
          <t>Phase 1 - B2B now</t>
        </is>
      </c>
      <c r="C86" t="inlineStr">
        <is>
          <t>Wholesalers / bulk buyers</t>
        </is>
      </c>
      <c r="D86" t="inlineStr">
        <is>
          <t>Core product</t>
        </is>
      </c>
      <c r="E86" t="inlineStr">
        <is>
          <t>Specialty</t>
        </is>
      </c>
      <c r="F86" t="inlineStr">
        <is>
          <t>Informational/Commercial</t>
        </is>
      </c>
      <c r="G86" t="inlineStr">
        <is>
          <t>TOFU</t>
        </is>
      </c>
      <c r="H86" t="inlineStr">
        <is>
          <t>UAE (generic)</t>
        </is>
      </c>
      <c r="I86" t="inlineStr">
        <is>
          <t>Jasmine Rice product page</t>
        </is>
      </c>
      <c r="J86" t="inlineStr">
        <is>
          <t>Product</t>
        </is>
      </c>
      <c r="K86">
        <f>IFERROR(VLOOKUP($A86,'Semrush Import'!$A:$D,2,FALSE),"")</f>
        <v/>
      </c>
      <c r="L86">
        <f>IFERROR(VLOOKUP($A86,'Semrush Import'!$A:$D,3,FALSE),"")</f>
        <v/>
      </c>
      <c r="M86">
        <f>IFERROR(VLOOKUP($A86,'Semrush Import'!$A:$D,4,FALSE),"")</f>
        <v/>
      </c>
      <c r="N86">
        <f>IFERROR(VLOOKUP($A86,'KP Import'!$A:$B,2,FALSE),"")</f>
        <v/>
      </c>
      <c r="O86">
        <f>IF(K86="","",ROUND(K86/(L86+10),1))</f>
        <v/>
      </c>
      <c r="P86">
        <f>IF(O86="","",IF(O86&gt;=20,"A - Go first",IF(O86&gt;=5,"B - Next","C - Later")))</f>
        <v/>
      </c>
      <c r="Q86" t="inlineStr">
        <is>
          <t>To research</t>
        </is>
      </c>
      <c r="R86" t="inlineStr"/>
    </row>
    <row r="87">
      <c r="A87" t="inlineStr">
        <is>
          <t>buy thai jasmine rice online</t>
        </is>
      </c>
      <c r="B87" t="inlineStr">
        <is>
          <t>Phase 2 - B2C (later)</t>
        </is>
      </c>
      <c r="C87" t="inlineStr">
        <is>
          <t>Consumer / household</t>
        </is>
      </c>
      <c r="D87" t="inlineStr">
        <is>
          <t>Transactional</t>
        </is>
      </c>
      <c r="E87" t="inlineStr">
        <is>
          <t>Specialty</t>
        </is>
      </c>
      <c r="F87" t="inlineStr">
        <is>
          <t>Transactional</t>
        </is>
      </c>
      <c r="G87" t="inlineStr">
        <is>
          <t>BOFU</t>
        </is>
      </c>
      <c r="H87" t="inlineStr">
        <is>
          <t>UAE (generic)</t>
        </is>
      </c>
      <c r="I87" t="inlineStr">
        <is>
          <t>Jasmine Rice product page</t>
        </is>
      </c>
      <c r="J87" t="inlineStr">
        <is>
          <t>Product</t>
        </is>
      </c>
      <c r="K87">
        <f>IFERROR(VLOOKUP($A87,'Semrush Import'!$A:$D,2,FALSE),"")</f>
        <v/>
      </c>
      <c r="L87">
        <f>IFERROR(VLOOKUP($A87,'Semrush Import'!$A:$D,3,FALSE),"")</f>
        <v/>
      </c>
      <c r="M87">
        <f>IFERROR(VLOOKUP($A87,'Semrush Import'!$A:$D,4,FALSE),"")</f>
        <v/>
      </c>
      <c r="N87">
        <f>IFERROR(VLOOKUP($A87,'KP Import'!$A:$B,2,FALSE),"")</f>
        <v/>
      </c>
      <c r="O87">
        <f>IF(K87="","",ROUND(K87/(L87+10),1))</f>
        <v/>
      </c>
      <c r="P87">
        <f>IF(O87="","",IF(O87&gt;=20,"A - Go first",IF(O87&gt;=5,"B - Next","C - Later")))</f>
        <v/>
      </c>
      <c r="Q87" t="inlineStr">
        <is>
          <t>To research</t>
        </is>
      </c>
      <c r="R87" t="inlineStr"/>
    </row>
    <row r="88">
      <c r="A88" t="inlineStr">
        <is>
          <t>thai jasmine rice price in uae</t>
        </is>
      </c>
      <c r="B88" t="inlineStr">
        <is>
          <t>Phase 1 - B2B now</t>
        </is>
      </c>
      <c r="C88" t="inlineStr">
        <is>
          <t>Wholesalers / bulk buyers</t>
        </is>
      </c>
      <c r="D88" t="inlineStr">
        <is>
          <t>Price</t>
        </is>
      </c>
      <c r="E88" t="inlineStr">
        <is>
          <t>Specialty</t>
        </is>
      </c>
      <c r="F88" t="inlineStr">
        <is>
          <t>Commercial/Transactional</t>
        </is>
      </c>
      <c r="G88" t="inlineStr">
        <is>
          <t>MOFU</t>
        </is>
      </c>
      <c r="H88" t="inlineStr">
        <is>
          <t>UAE</t>
        </is>
      </c>
      <c r="I88" t="inlineStr">
        <is>
          <t>Jasmine Rice product page</t>
        </is>
      </c>
      <c r="J88" t="inlineStr">
        <is>
          <t>Product</t>
        </is>
      </c>
      <c r="K88">
        <f>IFERROR(VLOOKUP($A88,'Semrush Import'!$A:$D,2,FALSE),"")</f>
        <v/>
      </c>
      <c r="L88">
        <f>IFERROR(VLOOKUP($A88,'Semrush Import'!$A:$D,3,FALSE),"")</f>
        <v/>
      </c>
      <c r="M88">
        <f>IFERROR(VLOOKUP($A88,'Semrush Import'!$A:$D,4,FALSE),"")</f>
        <v/>
      </c>
      <c r="N88">
        <f>IFERROR(VLOOKUP($A88,'KP Import'!$A:$B,2,FALSE),"")</f>
        <v/>
      </c>
      <c r="O88">
        <f>IF(K88="","",ROUND(K88/(L88+10),1))</f>
        <v/>
      </c>
      <c r="P88">
        <f>IF(O88="","",IF(O88&gt;=20,"A - Go first",IF(O88&gt;=5,"B - Next","C - Later")))</f>
        <v/>
      </c>
      <c r="Q88" t="inlineStr">
        <is>
          <t>To research</t>
        </is>
      </c>
      <c r="R88" t="inlineStr"/>
    </row>
    <row r="89">
      <c r="A89" t="inlineStr">
        <is>
          <t>thai jasmine rice price in dubai</t>
        </is>
      </c>
      <c r="B89" t="inlineStr">
        <is>
          <t>Phase 1 - B2B now</t>
        </is>
      </c>
      <c r="C89" t="inlineStr">
        <is>
          <t>Wholesalers / bulk buyers</t>
        </is>
      </c>
      <c r="D89" t="inlineStr">
        <is>
          <t>Price</t>
        </is>
      </c>
      <c r="E89" t="inlineStr">
        <is>
          <t>Specialty</t>
        </is>
      </c>
      <c r="F89" t="inlineStr">
        <is>
          <t>Commercial/Transactional</t>
        </is>
      </c>
      <c r="G89" t="inlineStr">
        <is>
          <t>MOFU</t>
        </is>
      </c>
      <c r="H89" t="inlineStr">
        <is>
          <t>Dubai</t>
        </is>
      </c>
      <c r="I89" t="inlineStr">
        <is>
          <t>Jasmine Rice product page</t>
        </is>
      </c>
      <c r="J89" t="inlineStr">
        <is>
          <t>Product</t>
        </is>
      </c>
      <c r="K89">
        <f>IFERROR(VLOOKUP($A89,'Semrush Import'!$A:$D,2,FALSE),"")</f>
        <v/>
      </c>
      <c r="L89">
        <f>IFERROR(VLOOKUP($A89,'Semrush Import'!$A:$D,3,FALSE),"")</f>
        <v/>
      </c>
      <c r="M89">
        <f>IFERROR(VLOOKUP($A89,'Semrush Import'!$A:$D,4,FALSE),"")</f>
        <v/>
      </c>
      <c r="N89">
        <f>IFERROR(VLOOKUP($A89,'KP Import'!$A:$B,2,FALSE),"")</f>
        <v/>
      </c>
      <c r="O89">
        <f>IF(K89="","",ROUND(K89/(L89+10),1))</f>
        <v/>
      </c>
      <c r="P89">
        <f>IF(O89="","",IF(O89&gt;=20,"A - Go first",IF(O89&gt;=5,"B - Next","C - Later")))</f>
        <v/>
      </c>
      <c r="Q89" t="inlineStr">
        <is>
          <t>To research</t>
        </is>
      </c>
      <c r="R89" t="inlineStr"/>
    </row>
    <row r="90">
      <c r="A90" t="inlineStr">
        <is>
          <t>thai jasmine rice online dubai</t>
        </is>
      </c>
      <c r="B90" t="inlineStr">
        <is>
          <t>Phase 2 - B2C (later)</t>
        </is>
      </c>
      <c r="C90" t="inlineStr">
        <is>
          <t>Consumer / household</t>
        </is>
      </c>
      <c r="D90" t="inlineStr">
        <is>
          <t>Transactional</t>
        </is>
      </c>
      <c r="E90" t="inlineStr">
        <is>
          <t>Specialty</t>
        </is>
      </c>
      <c r="F90" t="inlineStr">
        <is>
          <t>Transactional</t>
        </is>
      </c>
      <c r="G90" t="inlineStr">
        <is>
          <t>BOFU</t>
        </is>
      </c>
      <c r="H90" t="inlineStr">
        <is>
          <t>Dubai</t>
        </is>
      </c>
      <c r="I90" t="inlineStr">
        <is>
          <t>Jasmine Rice product page</t>
        </is>
      </c>
      <c r="J90" t="inlineStr">
        <is>
          <t>Product</t>
        </is>
      </c>
      <c r="K90">
        <f>IFERROR(VLOOKUP($A90,'Semrush Import'!$A:$D,2,FALSE),"")</f>
        <v/>
      </c>
      <c r="L90">
        <f>IFERROR(VLOOKUP($A90,'Semrush Import'!$A:$D,3,FALSE),"")</f>
        <v/>
      </c>
      <c r="M90">
        <f>IFERROR(VLOOKUP($A90,'Semrush Import'!$A:$D,4,FALSE),"")</f>
        <v/>
      </c>
      <c r="N90">
        <f>IFERROR(VLOOKUP($A90,'KP Import'!$A:$B,2,FALSE),"")</f>
        <v/>
      </c>
      <c r="O90">
        <f>IF(K90="","",ROUND(K90/(L90+10),1))</f>
        <v/>
      </c>
      <c r="P90">
        <f>IF(O90="","",IF(O90&gt;=20,"A - Go first",IF(O90&gt;=5,"B - Next","C - Later")))</f>
        <v/>
      </c>
      <c r="Q90" t="inlineStr">
        <is>
          <t>To research</t>
        </is>
      </c>
      <c r="R90" t="inlineStr"/>
    </row>
    <row r="91">
      <c r="A91" t="inlineStr">
        <is>
          <t>thai jasmine rice wholesale dubai</t>
        </is>
      </c>
      <c r="B91" t="inlineStr">
        <is>
          <t>Phase 1 - B2B now</t>
        </is>
      </c>
      <c r="C91" t="inlineStr">
        <is>
          <t>Wholesalers / bulk buyers</t>
        </is>
      </c>
      <c r="D91" t="inlineStr">
        <is>
          <t>Wholesale/B2B</t>
        </is>
      </c>
      <c r="E91" t="inlineStr">
        <is>
          <t>Specialty</t>
        </is>
      </c>
      <c r="F91" t="inlineStr">
        <is>
          <t>Transactional (B2B)</t>
        </is>
      </c>
      <c r="G91" t="inlineStr">
        <is>
          <t>BOFU</t>
        </is>
      </c>
      <c r="H91" t="inlineStr">
        <is>
          <t>Dubai</t>
        </is>
      </c>
      <c r="I91" t="inlineStr">
        <is>
          <t>Wholesale landing page</t>
        </is>
      </c>
      <c r="J91" t="inlineStr">
        <is>
          <t>Landing</t>
        </is>
      </c>
      <c r="K91">
        <f>IFERROR(VLOOKUP($A91,'Semrush Import'!$A:$D,2,FALSE),"")</f>
        <v/>
      </c>
      <c r="L91">
        <f>IFERROR(VLOOKUP($A91,'Semrush Import'!$A:$D,3,FALSE),"")</f>
        <v/>
      </c>
      <c r="M91">
        <f>IFERROR(VLOOKUP($A91,'Semrush Import'!$A:$D,4,FALSE),"")</f>
        <v/>
      </c>
      <c r="N91">
        <f>IFERROR(VLOOKUP($A91,'KP Import'!$A:$B,2,FALSE),"")</f>
        <v/>
      </c>
      <c r="O91">
        <f>IF(K91="","",ROUND(K91/(L91+10),1))</f>
        <v/>
      </c>
      <c r="P91">
        <f>IF(O91="","",IF(O91&gt;=20,"A - Go first",IF(O91&gt;=5,"B - Next","C - Later")))</f>
        <v/>
      </c>
      <c r="Q91" t="inlineStr">
        <is>
          <t>To research</t>
        </is>
      </c>
      <c r="R91" t="inlineStr"/>
    </row>
    <row r="92">
      <c r="A92" t="inlineStr">
        <is>
          <t>thai jasmine rice supplier uae</t>
        </is>
      </c>
      <c r="B92" t="inlineStr">
        <is>
          <t>Phase 1 - B2B now</t>
        </is>
      </c>
      <c r="C92" t="inlineStr">
        <is>
          <t>Wholesalers / bulk buyers</t>
        </is>
      </c>
      <c r="D92" t="inlineStr">
        <is>
          <t>Wholesale/B2B</t>
        </is>
      </c>
      <c r="E92" t="inlineStr">
        <is>
          <t>Specialty</t>
        </is>
      </c>
      <c r="F92" t="inlineStr">
        <is>
          <t>Transactional (B2B)</t>
        </is>
      </c>
      <c r="G92" t="inlineStr">
        <is>
          <t>BOFU</t>
        </is>
      </c>
      <c r="H92" t="inlineStr">
        <is>
          <t>UAE</t>
        </is>
      </c>
      <c r="I92" t="inlineStr">
        <is>
          <t>Wholesale landing page</t>
        </is>
      </c>
      <c r="J92" t="inlineStr">
        <is>
          <t>Landing</t>
        </is>
      </c>
      <c r="K92">
        <f>IFERROR(VLOOKUP($A92,'Semrush Import'!$A:$D,2,FALSE),"")</f>
        <v/>
      </c>
      <c r="L92">
        <f>IFERROR(VLOOKUP($A92,'Semrush Import'!$A:$D,3,FALSE),"")</f>
        <v/>
      </c>
      <c r="M92">
        <f>IFERROR(VLOOKUP($A92,'Semrush Import'!$A:$D,4,FALSE),"")</f>
        <v/>
      </c>
      <c r="N92">
        <f>IFERROR(VLOOKUP($A92,'KP Import'!$A:$B,2,FALSE),"")</f>
        <v/>
      </c>
      <c r="O92">
        <f>IF(K92="","",ROUND(K92/(L92+10),1))</f>
        <v/>
      </c>
      <c r="P92">
        <f>IF(O92="","",IF(O92&gt;=20,"A - Go first",IF(O92&gt;=5,"B - Next","C - Later")))</f>
        <v/>
      </c>
      <c r="Q92" t="inlineStr">
        <is>
          <t>To research</t>
        </is>
      </c>
      <c r="R92" t="inlineStr"/>
    </row>
    <row r="93">
      <c r="A93" t="inlineStr">
        <is>
          <t>sona masoori rice</t>
        </is>
      </c>
      <c r="B93" t="inlineStr">
        <is>
          <t>Phase 1 - B2B now</t>
        </is>
      </c>
      <c r="C93" t="inlineStr">
        <is>
          <t>Wholesalers / bulk buyers</t>
        </is>
      </c>
      <c r="D93" t="inlineStr">
        <is>
          <t>Core product</t>
        </is>
      </c>
      <c r="E93" t="inlineStr">
        <is>
          <t>South Indian</t>
        </is>
      </c>
      <c r="F93" t="inlineStr">
        <is>
          <t>Informational/Commercial</t>
        </is>
      </c>
      <c r="G93" t="inlineStr">
        <is>
          <t>TOFU</t>
        </is>
      </c>
      <c r="H93" t="inlineStr">
        <is>
          <t>UAE (generic)</t>
        </is>
      </c>
      <c r="I93" t="inlineStr">
        <is>
          <t>Sona Masoori product page</t>
        </is>
      </c>
      <c r="J93" t="inlineStr">
        <is>
          <t>Product</t>
        </is>
      </c>
      <c r="K93">
        <f>IFERROR(VLOOKUP($A93,'Semrush Import'!$A:$D,2,FALSE),"")</f>
        <v/>
      </c>
      <c r="L93">
        <f>IFERROR(VLOOKUP($A93,'Semrush Import'!$A:$D,3,FALSE),"")</f>
        <v/>
      </c>
      <c r="M93">
        <f>IFERROR(VLOOKUP($A93,'Semrush Import'!$A:$D,4,FALSE),"")</f>
        <v/>
      </c>
      <c r="N93">
        <f>IFERROR(VLOOKUP($A93,'KP Import'!$A:$B,2,FALSE),"")</f>
        <v/>
      </c>
      <c r="O93">
        <f>IF(K93="","",ROUND(K93/(L93+10),1))</f>
        <v/>
      </c>
      <c r="P93">
        <f>IF(O93="","",IF(O93&gt;=20,"A - Go first",IF(O93&gt;=5,"B - Next","C - Later")))</f>
        <v/>
      </c>
      <c r="Q93" t="inlineStr">
        <is>
          <t>To research</t>
        </is>
      </c>
      <c r="R93" t="inlineStr"/>
    </row>
    <row r="94">
      <c r="A94" t="inlineStr">
        <is>
          <t>buy sona masoori rice online</t>
        </is>
      </c>
      <c r="B94" t="inlineStr">
        <is>
          <t>Phase 2 - B2C (later)</t>
        </is>
      </c>
      <c r="C94" t="inlineStr">
        <is>
          <t>Consumer / household</t>
        </is>
      </c>
      <c r="D94" t="inlineStr">
        <is>
          <t>Transactional</t>
        </is>
      </c>
      <c r="E94" t="inlineStr">
        <is>
          <t>South Indian</t>
        </is>
      </c>
      <c r="F94" t="inlineStr">
        <is>
          <t>Transactional</t>
        </is>
      </c>
      <c r="G94" t="inlineStr">
        <is>
          <t>BOFU</t>
        </is>
      </c>
      <c r="H94" t="inlineStr">
        <is>
          <t>UAE (generic)</t>
        </is>
      </c>
      <c r="I94" t="inlineStr">
        <is>
          <t>Sona Masoori product page</t>
        </is>
      </c>
      <c r="J94" t="inlineStr">
        <is>
          <t>Product</t>
        </is>
      </c>
      <c r="K94">
        <f>IFERROR(VLOOKUP($A94,'Semrush Import'!$A:$D,2,FALSE),"")</f>
        <v/>
      </c>
      <c r="L94">
        <f>IFERROR(VLOOKUP($A94,'Semrush Import'!$A:$D,3,FALSE),"")</f>
        <v/>
      </c>
      <c r="M94">
        <f>IFERROR(VLOOKUP($A94,'Semrush Import'!$A:$D,4,FALSE),"")</f>
        <v/>
      </c>
      <c r="N94">
        <f>IFERROR(VLOOKUP($A94,'KP Import'!$A:$B,2,FALSE),"")</f>
        <v/>
      </c>
      <c r="O94">
        <f>IF(K94="","",ROUND(K94/(L94+10),1))</f>
        <v/>
      </c>
      <c r="P94">
        <f>IF(O94="","",IF(O94&gt;=20,"A - Go first",IF(O94&gt;=5,"B - Next","C - Later")))</f>
        <v/>
      </c>
      <c r="Q94" t="inlineStr">
        <is>
          <t>To research</t>
        </is>
      </c>
      <c r="R94" t="inlineStr"/>
    </row>
    <row r="95">
      <c r="A95" t="inlineStr">
        <is>
          <t>sona masoori rice price in uae</t>
        </is>
      </c>
      <c r="B95" t="inlineStr">
        <is>
          <t>Phase 1 - B2B now</t>
        </is>
      </c>
      <c r="C95" t="inlineStr">
        <is>
          <t>Wholesalers / bulk buyers</t>
        </is>
      </c>
      <c r="D95" t="inlineStr">
        <is>
          <t>Price</t>
        </is>
      </c>
      <c r="E95" t="inlineStr">
        <is>
          <t>South Indian</t>
        </is>
      </c>
      <c r="F95" t="inlineStr">
        <is>
          <t>Commercial/Transactional</t>
        </is>
      </c>
      <c r="G95" t="inlineStr">
        <is>
          <t>MOFU</t>
        </is>
      </c>
      <c r="H95" t="inlineStr">
        <is>
          <t>UAE</t>
        </is>
      </c>
      <c r="I95" t="inlineStr">
        <is>
          <t>Sona Masoori product page</t>
        </is>
      </c>
      <c r="J95" t="inlineStr">
        <is>
          <t>Product</t>
        </is>
      </c>
      <c r="K95">
        <f>IFERROR(VLOOKUP($A95,'Semrush Import'!$A:$D,2,FALSE),"")</f>
        <v/>
      </c>
      <c r="L95">
        <f>IFERROR(VLOOKUP($A95,'Semrush Import'!$A:$D,3,FALSE),"")</f>
        <v/>
      </c>
      <c r="M95">
        <f>IFERROR(VLOOKUP($A95,'Semrush Import'!$A:$D,4,FALSE),"")</f>
        <v/>
      </c>
      <c r="N95">
        <f>IFERROR(VLOOKUP($A95,'KP Import'!$A:$B,2,FALSE),"")</f>
        <v/>
      </c>
      <c r="O95">
        <f>IF(K95="","",ROUND(K95/(L95+10),1))</f>
        <v/>
      </c>
      <c r="P95">
        <f>IF(O95="","",IF(O95&gt;=20,"A - Go first",IF(O95&gt;=5,"B - Next","C - Later")))</f>
        <v/>
      </c>
      <c r="Q95" t="inlineStr">
        <is>
          <t>To research</t>
        </is>
      </c>
      <c r="R95" t="inlineStr"/>
    </row>
    <row r="96">
      <c r="A96" t="inlineStr">
        <is>
          <t>sona masoori rice price in dubai</t>
        </is>
      </c>
      <c r="B96" t="inlineStr">
        <is>
          <t>Phase 1 - B2B now</t>
        </is>
      </c>
      <c r="C96" t="inlineStr">
        <is>
          <t>Wholesalers / bulk buyers</t>
        </is>
      </c>
      <c r="D96" t="inlineStr">
        <is>
          <t>Price</t>
        </is>
      </c>
      <c r="E96" t="inlineStr">
        <is>
          <t>South Indian</t>
        </is>
      </c>
      <c r="F96" t="inlineStr">
        <is>
          <t>Commercial/Transactional</t>
        </is>
      </c>
      <c r="G96" t="inlineStr">
        <is>
          <t>MOFU</t>
        </is>
      </c>
      <c r="H96" t="inlineStr">
        <is>
          <t>Dubai</t>
        </is>
      </c>
      <c r="I96" t="inlineStr">
        <is>
          <t>Sona Masoori product page</t>
        </is>
      </c>
      <c r="J96" t="inlineStr">
        <is>
          <t>Product</t>
        </is>
      </c>
      <c r="K96">
        <f>IFERROR(VLOOKUP($A96,'Semrush Import'!$A:$D,2,FALSE),"")</f>
        <v/>
      </c>
      <c r="L96">
        <f>IFERROR(VLOOKUP($A96,'Semrush Import'!$A:$D,3,FALSE),"")</f>
        <v/>
      </c>
      <c r="M96">
        <f>IFERROR(VLOOKUP($A96,'Semrush Import'!$A:$D,4,FALSE),"")</f>
        <v/>
      </c>
      <c r="N96">
        <f>IFERROR(VLOOKUP($A96,'KP Import'!$A:$B,2,FALSE),"")</f>
        <v/>
      </c>
      <c r="O96">
        <f>IF(K96="","",ROUND(K96/(L96+10),1))</f>
        <v/>
      </c>
      <c r="P96">
        <f>IF(O96="","",IF(O96&gt;=20,"A - Go first",IF(O96&gt;=5,"B - Next","C - Later")))</f>
        <v/>
      </c>
      <c r="Q96" t="inlineStr">
        <is>
          <t>To research</t>
        </is>
      </c>
      <c r="R96" t="inlineStr"/>
    </row>
    <row r="97">
      <c r="A97" t="inlineStr">
        <is>
          <t>sona masoori rice online dubai</t>
        </is>
      </c>
      <c r="B97" t="inlineStr">
        <is>
          <t>Phase 2 - B2C (later)</t>
        </is>
      </c>
      <c r="C97" t="inlineStr">
        <is>
          <t>Consumer / household</t>
        </is>
      </c>
      <c r="D97" t="inlineStr">
        <is>
          <t>Transactional</t>
        </is>
      </c>
      <c r="E97" t="inlineStr">
        <is>
          <t>South Indian</t>
        </is>
      </c>
      <c r="F97" t="inlineStr">
        <is>
          <t>Transactional</t>
        </is>
      </c>
      <c r="G97" t="inlineStr">
        <is>
          <t>BOFU</t>
        </is>
      </c>
      <c r="H97" t="inlineStr">
        <is>
          <t>Dubai</t>
        </is>
      </c>
      <c r="I97" t="inlineStr">
        <is>
          <t>Sona Masoori product page</t>
        </is>
      </c>
      <c r="J97" t="inlineStr">
        <is>
          <t>Product</t>
        </is>
      </c>
      <c r="K97">
        <f>IFERROR(VLOOKUP($A97,'Semrush Import'!$A:$D,2,FALSE),"")</f>
        <v/>
      </c>
      <c r="L97">
        <f>IFERROR(VLOOKUP($A97,'Semrush Import'!$A:$D,3,FALSE),"")</f>
        <v/>
      </c>
      <c r="M97">
        <f>IFERROR(VLOOKUP($A97,'Semrush Import'!$A:$D,4,FALSE),"")</f>
        <v/>
      </c>
      <c r="N97">
        <f>IFERROR(VLOOKUP($A97,'KP Import'!$A:$B,2,FALSE),"")</f>
        <v/>
      </c>
      <c r="O97">
        <f>IF(K97="","",ROUND(K97/(L97+10),1))</f>
        <v/>
      </c>
      <c r="P97">
        <f>IF(O97="","",IF(O97&gt;=20,"A - Go first",IF(O97&gt;=5,"B - Next","C - Later")))</f>
        <v/>
      </c>
      <c r="Q97" t="inlineStr">
        <is>
          <t>To research</t>
        </is>
      </c>
      <c r="R97" t="inlineStr"/>
    </row>
    <row r="98">
      <c r="A98" t="inlineStr">
        <is>
          <t>sona masoori rice wholesale dubai</t>
        </is>
      </c>
      <c r="B98" t="inlineStr">
        <is>
          <t>Phase 1 - B2B now</t>
        </is>
      </c>
      <c r="C98" t="inlineStr">
        <is>
          <t>Wholesalers / bulk buyers</t>
        </is>
      </c>
      <c r="D98" t="inlineStr">
        <is>
          <t>Wholesale/B2B</t>
        </is>
      </c>
      <c r="E98" t="inlineStr">
        <is>
          <t>South Indian</t>
        </is>
      </c>
      <c r="F98" t="inlineStr">
        <is>
          <t>Transactional (B2B)</t>
        </is>
      </c>
      <c r="G98" t="inlineStr">
        <is>
          <t>BOFU</t>
        </is>
      </c>
      <c r="H98" t="inlineStr">
        <is>
          <t>Dubai</t>
        </is>
      </c>
      <c r="I98" t="inlineStr">
        <is>
          <t>Wholesale landing page</t>
        </is>
      </c>
      <c r="J98" t="inlineStr">
        <is>
          <t>Landing</t>
        </is>
      </c>
      <c r="K98">
        <f>IFERROR(VLOOKUP($A98,'Semrush Import'!$A:$D,2,FALSE),"")</f>
        <v/>
      </c>
      <c r="L98">
        <f>IFERROR(VLOOKUP($A98,'Semrush Import'!$A:$D,3,FALSE),"")</f>
        <v/>
      </c>
      <c r="M98">
        <f>IFERROR(VLOOKUP($A98,'Semrush Import'!$A:$D,4,FALSE),"")</f>
        <v/>
      </c>
      <c r="N98">
        <f>IFERROR(VLOOKUP($A98,'KP Import'!$A:$B,2,FALSE),"")</f>
        <v/>
      </c>
      <c r="O98">
        <f>IF(K98="","",ROUND(K98/(L98+10),1))</f>
        <v/>
      </c>
      <c r="P98">
        <f>IF(O98="","",IF(O98&gt;=20,"A - Go first",IF(O98&gt;=5,"B - Next","C - Later")))</f>
        <v/>
      </c>
      <c r="Q98" t="inlineStr">
        <is>
          <t>To research</t>
        </is>
      </c>
      <c r="R98" t="inlineStr"/>
    </row>
    <row r="99">
      <c r="A99" t="inlineStr">
        <is>
          <t>sona masoori rice supplier uae</t>
        </is>
      </c>
      <c r="B99" t="inlineStr">
        <is>
          <t>Phase 1 - B2B now</t>
        </is>
      </c>
      <c r="C99" t="inlineStr">
        <is>
          <t>Wholesalers / bulk buyers</t>
        </is>
      </c>
      <c r="D99" t="inlineStr">
        <is>
          <t>Wholesale/B2B</t>
        </is>
      </c>
      <c r="E99" t="inlineStr">
        <is>
          <t>South Indian</t>
        </is>
      </c>
      <c r="F99" t="inlineStr">
        <is>
          <t>Transactional (B2B)</t>
        </is>
      </c>
      <c r="G99" t="inlineStr">
        <is>
          <t>BOFU</t>
        </is>
      </c>
      <c r="H99" t="inlineStr">
        <is>
          <t>UAE</t>
        </is>
      </c>
      <c r="I99" t="inlineStr">
        <is>
          <t>Wholesale landing page</t>
        </is>
      </c>
      <c r="J99" t="inlineStr">
        <is>
          <t>Landing</t>
        </is>
      </c>
      <c r="K99">
        <f>IFERROR(VLOOKUP($A99,'Semrush Import'!$A:$D,2,FALSE),"")</f>
        <v/>
      </c>
      <c r="L99">
        <f>IFERROR(VLOOKUP($A99,'Semrush Import'!$A:$D,3,FALSE),"")</f>
        <v/>
      </c>
      <c r="M99">
        <f>IFERROR(VLOOKUP($A99,'Semrush Import'!$A:$D,4,FALSE),"")</f>
        <v/>
      </c>
      <c r="N99">
        <f>IFERROR(VLOOKUP($A99,'KP Import'!$A:$B,2,FALSE),"")</f>
        <v/>
      </c>
      <c r="O99">
        <f>IF(K99="","",ROUND(K99/(L99+10),1))</f>
        <v/>
      </c>
      <c r="P99">
        <f>IF(O99="","",IF(O99&gt;=20,"A - Go first",IF(O99&gt;=5,"B - Next","C - Later")))</f>
        <v/>
      </c>
      <c r="Q99" t="inlineStr">
        <is>
          <t>To research</t>
        </is>
      </c>
      <c r="R99" t="inlineStr"/>
    </row>
    <row r="100">
      <c r="A100" t="inlineStr">
        <is>
          <t>ponni rice</t>
        </is>
      </c>
      <c r="B100" t="inlineStr">
        <is>
          <t>Phase 1 - B2B now</t>
        </is>
      </c>
      <c r="C100" t="inlineStr">
        <is>
          <t>Wholesalers / bulk buyers</t>
        </is>
      </c>
      <c r="D100" t="inlineStr">
        <is>
          <t>Core product</t>
        </is>
      </c>
      <c r="E100" t="inlineStr">
        <is>
          <t>South Indian</t>
        </is>
      </c>
      <c r="F100" t="inlineStr">
        <is>
          <t>Informational/Commercial</t>
        </is>
      </c>
      <c r="G100" t="inlineStr">
        <is>
          <t>TOFU</t>
        </is>
      </c>
      <c r="H100" t="inlineStr">
        <is>
          <t>UAE (generic)</t>
        </is>
      </c>
      <c r="I100" t="inlineStr">
        <is>
          <t>Ponni / South Indian Rice page</t>
        </is>
      </c>
      <c r="J100" t="inlineStr">
        <is>
          <t>Landing/Blog</t>
        </is>
      </c>
      <c r="K100">
        <f>IFERROR(VLOOKUP($A100,'Semrush Import'!$A:$D,2,FALSE),"")</f>
        <v/>
      </c>
      <c r="L100">
        <f>IFERROR(VLOOKUP($A100,'Semrush Import'!$A:$D,3,FALSE),"")</f>
        <v/>
      </c>
      <c r="M100">
        <f>IFERROR(VLOOKUP($A100,'Semrush Import'!$A:$D,4,FALSE),"")</f>
        <v/>
      </c>
      <c r="N100">
        <f>IFERROR(VLOOKUP($A100,'KP Import'!$A:$B,2,FALSE),"")</f>
        <v/>
      </c>
      <c r="O100">
        <f>IF(K100="","",ROUND(K100/(L100+10),1))</f>
        <v/>
      </c>
      <c r="P100">
        <f>IF(O100="","",IF(O100&gt;=20,"A - Go first",IF(O100&gt;=5,"B - Next","C - Later")))</f>
        <v/>
      </c>
      <c r="Q100" t="inlineStr">
        <is>
          <t>To research</t>
        </is>
      </c>
      <c r="R100" t="inlineStr"/>
    </row>
    <row r="101">
      <c r="A101" t="inlineStr">
        <is>
          <t>buy ponni rice online</t>
        </is>
      </c>
      <c r="B101" t="inlineStr">
        <is>
          <t>Phase 2 - B2C (later)</t>
        </is>
      </c>
      <c r="C101" t="inlineStr">
        <is>
          <t>Consumer / household</t>
        </is>
      </c>
      <c r="D101" t="inlineStr">
        <is>
          <t>Transactional</t>
        </is>
      </c>
      <c r="E101" t="inlineStr">
        <is>
          <t>South Indian</t>
        </is>
      </c>
      <c r="F101" t="inlineStr">
        <is>
          <t>Transactional</t>
        </is>
      </c>
      <c r="G101" t="inlineStr">
        <is>
          <t>BOFU</t>
        </is>
      </c>
      <c r="H101" t="inlineStr">
        <is>
          <t>UAE (generic)</t>
        </is>
      </c>
      <c r="I101" t="inlineStr">
        <is>
          <t>Ponni / South Indian Rice page</t>
        </is>
      </c>
      <c r="J101" t="inlineStr">
        <is>
          <t>Landing/Blog</t>
        </is>
      </c>
      <c r="K101">
        <f>IFERROR(VLOOKUP($A101,'Semrush Import'!$A:$D,2,FALSE),"")</f>
        <v/>
      </c>
      <c r="L101">
        <f>IFERROR(VLOOKUP($A101,'Semrush Import'!$A:$D,3,FALSE),"")</f>
        <v/>
      </c>
      <c r="M101">
        <f>IFERROR(VLOOKUP($A101,'Semrush Import'!$A:$D,4,FALSE),"")</f>
        <v/>
      </c>
      <c r="N101">
        <f>IFERROR(VLOOKUP($A101,'KP Import'!$A:$B,2,FALSE),"")</f>
        <v/>
      </c>
      <c r="O101">
        <f>IF(K101="","",ROUND(K101/(L101+10),1))</f>
        <v/>
      </c>
      <c r="P101">
        <f>IF(O101="","",IF(O101&gt;=20,"A - Go first",IF(O101&gt;=5,"B - Next","C - Later")))</f>
        <v/>
      </c>
      <c r="Q101" t="inlineStr">
        <is>
          <t>To research</t>
        </is>
      </c>
      <c r="R101" t="inlineStr"/>
    </row>
    <row r="102">
      <c r="A102" t="inlineStr">
        <is>
          <t>ponni rice price in uae</t>
        </is>
      </c>
      <c r="B102" t="inlineStr">
        <is>
          <t>Phase 1 - B2B now</t>
        </is>
      </c>
      <c r="C102" t="inlineStr">
        <is>
          <t>Wholesalers / bulk buyers</t>
        </is>
      </c>
      <c r="D102" t="inlineStr">
        <is>
          <t>Price</t>
        </is>
      </c>
      <c r="E102" t="inlineStr">
        <is>
          <t>South Indian</t>
        </is>
      </c>
      <c r="F102" t="inlineStr">
        <is>
          <t>Commercial/Transactional</t>
        </is>
      </c>
      <c r="G102" t="inlineStr">
        <is>
          <t>MOFU</t>
        </is>
      </c>
      <c r="H102" t="inlineStr">
        <is>
          <t>UAE</t>
        </is>
      </c>
      <c r="I102" t="inlineStr">
        <is>
          <t>Ponni / South Indian Rice page</t>
        </is>
      </c>
      <c r="J102" t="inlineStr">
        <is>
          <t>Landing/Blog</t>
        </is>
      </c>
      <c r="K102">
        <f>IFERROR(VLOOKUP($A102,'Semrush Import'!$A:$D,2,FALSE),"")</f>
        <v/>
      </c>
      <c r="L102">
        <f>IFERROR(VLOOKUP($A102,'Semrush Import'!$A:$D,3,FALSE),"")</f>
        <v/>
      </c>
      <c r="M102">
        <f>IFERROR(VLOOKUP($A102,'Semrush Import'!$A:$D,4,FALSE),"")</f>
        <v/>
      </c>
      <c r="N102">
        <f>IFERROR(VLOOKUP($A102,'KP Import'!$A:$B,2,FALSE),"")</f>
        <v/>
      </c>
      <c r="O102">
        <f>IF(K102="","",ROUND(K102/(L102+10),1))</f>
        <v/>
      </c>
      <c r="P102">
        <f>IF(O102="","",IF(O102&gt;=20,"A - Go first",IF(O102&gt;=5,"B - Next","C - Later")))</f>
        <v/>
      </c>
      <c r="Q102" t="inlineStr">
        <is>
          <t>To research</t>
        </is>
      </c>
      <c r="R102" t="inlineStr"/>
    </row>
    <row r="103">
      <c r="A103" t="inlineStr">
        <is>
          <t>ponni rice price in dubai</t>
        </is>
      </c>
      <c r="B103" t="inlineStr">
        <is>
          <t>Phase 1 - B2B now</t>
        </is>
      </c>
      <c r="C103" t="inlineStr">
        <is>
          <t>Wholesalers / bulk buyers</t>
        </is>
      </c>
      <c r="D103" t="inlineStr">
        <is>
          <t>Price</t>
        </is>
      </c>
      <c r="E103" t="inlineStr">
        <is>
          <t>South Indian</t>
        </is>
      </c>
      <c r="F103" t="inlineStr">
        <is>
          <t>Commercial/Transactional</t>
        </is>
      </c>
      <c r="G103" t="inlineStr">
        <is>
          <t>MOFU</t>
        </is>
      </c>
      <c r="H103" t="inlineStr">
        <is>
          <t>Dubai</t>
        </is>
      </c>
      <c r="I103" t="inlineStr">
        <is>
          <t>Ponni / South Indian Rice page</t>
        </is>
      </c>
      <c r="J103" t="inlineStr">
        <is>
          <t>Landing/Blog</t>
        </is>
      </c>
      <c r="K103">
        <f>IFERROR(VLOOKUP($A103,'Semrush Import'!$A:$D,2,FALSE),"")</f>
        <v/>
      </c>
      <c r="L103">
        <f>IFERROR(VLOOKUP($A103,'Semrush Import'!$A:$D,3,FALSE),"")</f>
        <v/>
      </c>
      <c r="M103">
        <f>IFERROR(VLOOKUP($A103,'Semrush Import'!$A:$D,4,FALSE),"")</f>
        <v/>
      </c>
      <c r="N103">
        <f>IFERROR(VLOOKUP($A103,'KP Import'!$A:$B,2,FALSE),"")</f>
        <v/>
      </c>
      <c r="O103">
        <f>IF(K103="","",ROUND(K103/(L103+10),1))</f>
        <v/>
      </c>
      <c r="P103">
        <f>IF(O103="","",IF(O103&gt;=20,"A - Go first",IF(O103&gt;=5,"B - Next","C - Later")))</f>
        <v/>
      </c>
      <c r="Q103" t="inlineStr">
        <is>
          <t>To research</t>
        </is>
      </c>
      <c r="R103" t="inlineStr"/>
    </row>
    <row r="104">
      <c r="A104" t="inlineStr">
        <is>
          <t>ponni rice online dubai</t>
        </is>
      </c>
      <c r="B104" t="inlineStr">
        <is>
          <t>Phase 2 - B2C (later)</t>
        </is>
      </c>
      <c r="C104" t="inlineStr">
        <is>
          <t>Consumer / household</t>
        </is>
      </c>
      <c r="D104" t="inlineStr">
        <is>
          <t>Transactional</t>
        </is>
      </c>
      <c r="E104" t="inlineStr">
        <is>
          <t>South Indian</t>
        </is>
      </c>
      <c r="F104" t="inlineStr">
        <is>
          <t>Transactional</t>
        </is>
      </c>
      <c r="G104" t="inlineStr">
        <is>
          <t>BOFU</t>
        </is>
      </c>
      <c r="H104" t="inlineStr">
        <is>
          <t>Dubai</t>
        </is>
      </c>
      <c r="I104" t="inlineStr">
        <is>
          <t>Ponni / South Indian Rice page</t>
        </is>
      </c>
      <c r="J104" t="inlineStr">
        <is>
          <t>Landing/Blog</t>
        </is>
      </c>
      <c r="K104">
        <f>IFERROR(VLOOKUP($A104,'Semrush Import'!$A:$D,2,FALSE),"")</f>
        <v/>
      </c>
      <c r="L104">
        <f>IFERROR(VLOOKUP($A104,'Semrush Import'!$A:$D,3,FALSE),"")</f>
        <v/>
      </c>
      <c r="M104">
        <f>IFERROR(VLOOKUP($A104,'Semrush Import'!$A:$D,4,FALSE),"")</f>
        <v/>
      </c>
      <c r="N104">
        <f>IFERROR(VLOOKUP($A104,'KP Import'!$A:$B,2,FALSE),"")</f>
        <v/>
      </c>
      <c r="O104">
        <f>IF(K104="","",ROUND(K104/(L104+10),1))</f>
        <v/>
      </c>
      <c r="P104">
        <f>IF(O104="","",IF(O104&gt;=20,"A - Go first",IF(O104&gt;=5,"B - Next","C - Later")))</f>
        <v/>
      </c>
      <c r="Q104" t="inlineStr">
        <is>
          <t>To research</t>
        </is>
      </c>
      <c r="R104" t="inlineStr"/>
    </row>
    <row r="105">
      <c r="A105" t="inlineStr">
        <is>
          <t>ponni rice wholesale dubai</t>
        </is>
      </c>
      <c r="B105" t="inlineStr">
        <is>
          <t>Phase 1 - B2B now</t>
        </is>
      </c>
      <c r="C105" t="inlineStr">
        <is>
          <t>Wholesalers / bulk buyers</t>
        </is>
      </c>
      <c r="D105" t="inlineStr">
        <is>
          <t>Wholesale/B2B</t>
        </is>
      </c>
      <c r="E105" t="inlineStr">
        <is>
          <t>South Indian</t>
        </is>
      </c>
      <c r="F105" t="inlineStr">
        <is>
          <t>Transactional (B2B)</t>
        </is>
      </c>
      <c r="G105" t="inlineStr">
        <is>
          <t>BOFU</t>
        </is>
      </c>
      <c r="H105" t="inlineStr">
        <is>
          <t>Dubai</t>
        </is>
      </c>
      <c r="I105" t="inlineStr">
        <is>
          <t>Wholesale landing page</t>
        </is>
      </c>
      <c r="J105" t="inlineStr">
        <is>
          <t>Landing</t>
        </is>
      </c>
      <c r="K105">
        <f>IFERROR(VLOOKUP($A105,'Semrush Import'!$A:$D,2,FALSE),"")</f>
        <v/>
      </c>
      <c r="L105">
        <f>IFERROR(VLOOKUP($A105,'Semrush Import'!$A:$D,3,FALSE),"")</f>
        <v/>
      </c>
      <c r="M105">
        <f>IFERROR(VLOOKUP($A105,'Semrush Import'!$A:$D,4,FALSE),"")</f>
        <v/>
      </c>
      <c r="N105">
        <f>IFERROR(VLOOKUP($A105,'KP Import'!$A:$B,2,FALSE),"")</f>
        <v/>
      </c>
      <c r="O105">
        <f>IF(K105="","",ROUND(K105/(L105+10),1))</f>
        <v/>
      </c>
      <c r="P105">
        <f>IF(O105="","",IF(O105&gt;=20,"A - Go first",IF(O105&gt;=5,"B - Next","C - Later")))</f>
        <v/>
      </c>
      <c r="Q105" t="inlineStr">
        <is>
          <t>To research</t>
        </is>
      </c>
      <c r="R105" t="inlineStr"/>
    </row>
    <row r="106">
      <c r="A106" t="inlineStr">
        <is>
          <t>ponni rice supplier uae</t>
        </is>
      </c>
      <c r="B106" t="inlineStr">
        <is>
          <t>Phase 1 - B2B now</t>
        </is>
      </c>
      <c r="C106" t="inlineStr">
        <is>
          <t>Wholesalers / bulk buyers</t>
        </is>
      </c>
      <c r="D106" t="inlineStr">
        <is>
          <t>Wholesale/B2B</t>
        </is>
      </c>
      <c r="E106" t="inlineStr">
        <is>
          <t>South Indian</t>
        </is>
      </c>
      <c r="F106" t="inlineStr">
        <is>
          <t>Transactional (B2B)</t>
        </is>
      </c>
      <c r="G106" t="inlineStr">
        <is>
          <t>BOFU</t>
        </is>
      </c>
      <c r="H106" t="inlineStr">
        <is>
          <t>UAE</t>
        </is>
      </c>
      <c r="I106" t="inlineStr">
        <is>
          <t>Wholesale landing page</t>
        </is>
      </c>
      <c r="J106" t="inlineStr">
        <is>
          <t>Landing</t>
        </is>
      </c>
      <c r="K106">
        <f>IFERROR(VLOOKUP($A106,'Semrush Import'!$A:$D,2,FALSE),"")</f>
        <v/>
      </c>
      <c r="L106">
        <f>IFERROR(VLOOKUP($A106,'Semrush Import'!$A:$D,3,FALSE),"")</f>
        <v/>
      </c>
      <c r="M106">
        <f>IFERROR(VLOOKUP($A106,'Semrush Import'!$A:$D,4,FALSE),"")</f>
        <v/>
      </c>
      <c r="N106">
        <f>IFERROR(VLOOKUP($A106,'KP Import'!$A:$B,2,FALSE),"")</f>
        <v/>
      </c>
      <c r="O106">
        <f>IF(K106="","",ROUND(K106/(L106+10),1))</f>
        <v/>
      </c>
      <c r="P106">
        <f>IF(O106="","",IF(O106&gt;=20,"A - Go first",IF(O106&gt;=5,"B - Next","C - Later")))</f>
        <v/>
      </c>
      <c r="Q106" t="inlineStr">
        <is>
          <t>To research</t>
        </is>
      </c>
      <c r="R106" t="inlineStr"/>
    </row>
    <row r="107">
      <c r="A107" t="inlineStr">
        <is>
          <t>matta rice</t>
        </is>
      </c>
      <c r="B107" t="inlineStr">
        <is>
          <t>Phase 1 - B2B now</t>
        </is>
      </c>
      <c r="C107" t="inlineStr">
        <is>
          <t>Wholesalers / bulk buyers</t>
        </is>
      </c>
      <c r="D107" t="inlineStr">
        <is>
          <t>Core product</t>
        </is>
      </c>
      <c r="E107" t="inlineStr">
        <is>
          <t>South Indian</t>
        </is>
      </c>
      <c r="F107" t="inlineStr">
        <is>
          <t>Informational/Commercial</t>
        </is>
      </c>
      <c r="G107" t="inlineStr">
        <is>
          <t>TOFU</t>
        </is>
      </c>
      <c r="H107" t="inlineStr">
        <is>
          <t>UAE (generic)</t>
        </is>
      </c>
      <c r="I107" t="inlineStr">
        <is>
          <t>Matta Rice product page</t>
        </is>
      </c>
      <c r="J107" t="inlineStr">
        <is>
          <t>Product</t>
        </is>
      </c>
      <c r="K107">
        <f>IFERROR(VLOOKUP($A107,'Semrush Import'!$A:$D,2,FALSE),"")</f>
        <v/>
      </c>
      <c r="L107">
        <f>IFERROR(VLOOKUP($A107,'Semrush Import'!$A:$D,3,FALSE),"")</f>
        <v/>
      </c>
      <c r="M107">
        <f>IFERROR(VLOOKUP($A107,'Semrush Import'!$A:$D,4,FALSE),"")</f>
        <v/>
      </c>
      <c r="N107">
        <f>IFERROR(VLOOKUP($A107,'KP Import'!$A:$B,2,FALSE),"")</f>
        <v/>
      </c>
      <c r="O107">
        <f>IF(K107="","",ROUND(K107/(L107+10),1))</f>
        <v/>
      </c>
      <c r="P107">
        <f>IF(O107="","",IF(O107&gt;=20,"A - Go first",IF(O107&gt;=5,"B - Next","C - Later")))</f>
        <v/>
      </c>
      <c r="Q107" t="inlineStr">
        <is>
          <t>To research</t>
        </is>
      </c>
      <c r="R107" t="inlineStr"/>
    </row>
    <row r="108">
      <c r="A108" t="inlineStr">
        <is>
          <t>buy matta rice online</t>
        </is>
      </c>
      <c r="B108" t="inlineStr">
        <is>
          <t>Phase 2 - B2C (later)</t>
        </is>
      </c>
      <c r="C108" t="inlineStr">
        <is>
          <t>Consumer / household</t>
        </is>
      </c>
      <c r="D108" t="inlineStr">
        <is>
          <t>Transactional</t>
        </is>
      </c>
      <c r="E108" t="inlineStr">
        <is>
          <t>South Indian</t>
        </is>
      </c>
      <c r="F108" t="inlineStr">
        <is>
          <t>Transactional</t>
        </is>
      </c>
      <c r="G108" t="inlineStr">
        <is>
          <t>BOFU</t>
        </is>
      </c>
      <c r="H108" t="inlineStr">
        <is>
          <t>UAE (generic)</t>
        </is>
      </c>
      <c r="I108" t="inlineStr">
        <is>
          <t>Matta Rice product page</t>
        </is>
      </c>
      <c r="J108" t="inlineStr">
        <is>
          <t>Product</t>
        </is>
      </c>
      <c r="K108">
        <f>IFERROR(VLOOKUP($A108,'Semrush Import'!$A:$D,2,FALSE),"")</f>
        <v/>
      </c>
      <c r="L108">
        <f>IFERROR(VLOOKUP($A108,'Semrush Import'!$A:$D,3,FALSE),"")</f>
        <v/>
      </c>
      <c r="M108">
        <f>IFERROR(VLOOKUP($A108,'Semrush Import'!$A:$D,4,FALSE),"")</f>
        <v/>
      </c>
      <c r="N108">
        <f>IFERROR(VLOOKUP($A108,'KP Import'!$A:$B,2,FALSE),"")</f>
        <v/>
      </c>
      <c r="O108">
        <f>IF(K108="","",ROUND(K108/(L108+10),1))</f>
        <v/>
      </c>
      <c r="P108">
        <f>IF(O108="","",IF(O108&gt;=20,"A - Go first",IF(O108&gt;=5,"B - Next","C - Later")))</f>
        <v/>
      </c>
      <c r="Q108" t="inlineStr">
        <is>
          <t>To research</t>
        </is>
      </c>
      <c r="R108" t="inlineStr"/>
    </row>
    <row r="109">
      <c r="A109" t="inlineStr">
        <is>
          <t>matta rice price in uae</t>
        </is>
      </c>
      <c r="B109" t="inlineStr">
        <is>
          <t>Phase 1 - B2B now</t>
        </is>
      </c>
      <c r="C109" t="inlineStr">
        <is>
          <t>Wholesalers / bulk buyers</t>
        </is>
      </c>
      <c r="D109" t="inlineStr">
        <is>
          <t>Price</t>
        </is>
      </c>
      <c r="E109" t="inlineStr">
        <is>
          <t>South Indian</t>
        </is>
      </c>
      <c r="F109" t="inlineStr">
        <is>
          <t>Commercial/Transactional</t>
        </is>
      </c>
      <c r="G109" t="inlineStr">
        <is>
          <t>MOFU</t>
        </is>
      </c>
      <c r="H109" t="inlineStr">
        <is>
          <t>UAE</t>
        </is>
      </c>
      <c r="I109" t="inlineStr">
        <is>
          <t>Matta Rice product page</t>
        </is>
      </c>
      <c r="J109" t="inlineStr">
        <is>
          <t>Product</t>
        </is>
      </c>
      <c r="K109">
        <f>IFERROR(VLOOKUP($A109,'Semrush Import'!$A:$D,2,FALSE),"")</f>
        <v/>
      </c>
      <c r="L109">
        <f>IFERROR(VLOOKUP($A109,'Semrush Import'!$A:$D,3,FALSE),"")</f>
        <v/>
      </c>
      <c r="M109">
        <f>IFERROR(VLOOKUP($A109,'Semrush Import'!$A:$D,4,FALSE),"")</f>
        <v/>
      </c>
      <c r="N109">
        <f>IFERROR(VLOOKUP($A109,'KP Import'!$A:$B,2,FALSE),"")</f>
        <v/>
      </c>
      <c r="O109">
        <f>IF(K109="","",ROUND(K109/(L109+10),1))</f>
        <v/>
      </c>
      <c r="P109">
        <f>IF(O109="","",IF(O109&gt;=20,"A - Go first",IF(O109&gt;=5,"B - Next","C - Later")))</f>
        <v/>
      </c>
      <c r="Q109" t="inlineStr">
        <is>
          <t>To research</t>
        </is>
      </c>
      <c r="R109" t="inlineStr"/>
    </row>
    <row r="110">
      <c r="A110" t="inlineStr">
        <is>
          <t>matta rice price in dubai</t>
        </is>
      </c>
      <c r="B110" t="inlineStr">
        <is>
          <t>Phase 1 - B2B now</t>
        </is>
      </c>
      <c r="C110" t="inlineStr">
        <is>
          <t>Wholesalers / bulk buyers</t>
        </is>
      </c>
      <c r="D110" t="inlineStr">
        <is>
          <t>Price</t>
        </is>
      </c>
      <c r="E110" t="inlineStr">
        <is>
          <t>South Indian</t>
        </is>
      </c>
      <c r="F110" t="inlineStr">
        <is>
          <t>Commercial/Transactional</t>
        </is>
      </c>
      <c r="G110" t="inlineStr">
        <is>
          <t>MOFU</t>
        </is>
      </c>
      <c r="H110" t="inlineStr">
        <is>
          <t>Dubai</t>
        </is>
      </c>
      <c r="I110" t="inlineStr">
        <is>
          <t>Matta Rice product page</t>
        </is>
      </c>
      <c r="J110" t="inlineStr">
        <is>
          <t>Product</t>
        </is>
      </c>
      <c r="K110">
        <f>IFERROR(VLOOKUP($A110,'Semrush Import'!$A:$D,2,FALSE),"")</f>
        <v/>
      </c>
      <c r="L110">
        <f>IFERROR(VLOOKUP($A110,'Semrush Import'!$A:$D,3,FALSE),"")</f>
        <v/>
      </c>
      <c r="M110">
        <f>IFERROR(VLOOKUP($A110,'Semrush Import'!$A:$D,4,FALSE),"")</f>
        <v/>
      </c>
      <c r="N110">
        <f>IFERROR(VLOOKUP($A110,'KP Import'!$A:$B,2,FALSE),"")</f>
        <v/>
      </c>
      <c r="O110">
        <f>IF(K110="","",ROUND(K110/(L110+10),1))</f>
        <v/>
      </c>
      <c r="P110">
        <f>IF(O110="","",IF(O110&gt;=20,"A - Go first",IF(O110&gt;=5,"B - Next","C - Later")))</f>
        <v/>
      </c>
      <c r="Q110" t="inlineStr">
        <is>
          <t>To research</t>
        </is>
      </c>
      <c r="R110" t="inlineStr"/>
    </row>
    <row r="111">
      <c r="A111" t="inlineStr">
        <is>
          <t>matta rice online dubai</t>
        </is>
      </c>
      <c r="B111" t="inlineStr">
        <is>
          <t>Phase 2 - B2C (later)</t>
        </is>
      </c>
      <c r="C111" t="inlineStr">
        <is>
          <t>Consumer / household</t>
        </is>
      </c>
      <c r="D111" t="inlineStr">
        <is>
          <t>Transactional</t>
        </is>
      </c>
      <c r="E111" t="inlineStr">
        <is>
          <t>South Indian</t>
        </is>
      </c>
      <c r="F111" t="inlineStr">
        <is>
          <t>Transactional</t>
        </is>
      </c>
      <c r="G111" t="inlineStr">
        <is>
          <t>BOFU</t>
        </is>
      </c>
      <c r="H111" t="inlineStr">
        <is>
          <t>Dubai</t>
        </is>
      </c>
      <c r="I111" t="inlineStr">
        <is>
          <t>Matta Rice product page</t>
        </is>
      </c>
      <c r="J111" t="inlineStr">
        <is>
          <t>Product</t>
        </is>
      </c>
      <c r="K111">
        <f>IFERROR(VLOOKUP($A111,'Semrush Import'!$A:$D,2,FALSE),"")</f>
        <v/>
      </c>
      <c r="L111">
        <f>IFERROR(VLOOKUP($A111,'Semrush Import'!$A:$D,3,FALSE),"")</f>
        <v/>
      </c>
      <c r="M111">
        <f>IFERROR(VLOOKUP($A111,'Semrush Import'!$A:$D,4,FALSE),"")</f>
        <v/>
      </c>
      <c r="N111">
        <f>IFERROR(VLOOKUP($A111,'KP Import'!$A:$B,2,FALSE),"")</f>
        <v/>
      </c>
      <c r="O111">
        <f>IF(K111="","",ROUND(K111/(L111+10),1))</f>
        <v/>
      </c>
      <c r="P111">
        <f>IF(O111="","",IF(O111&gt;=20,"A - Go first",IF(O111&gt;=5,"B - Next","C - Later")))</f>
        <v/>
      </c>
      <c r="Q111" t="inlineStr">
        <is>
          <t>To research</t>
        </is>
      </c>
      <c r="R111" t="inlineStr"/>
    </row>
    <row r="112">
      <c r="A112" t="inlineStr">
        <is>
          <t>matta rice wholesale dubai</t>
        </is>
      </c>
      <c r="B112" t="inlineStr">
        <is>
          <t>Phase 1 - B2B now</t>
        </is>
      </c>
      <c r="C112" t="inlineStr">
        <is>
          <t>Wholesalers / bulk buyers</t>
        </is>
      </c>
      <c r="D112" t="inlineStr">
        <is>
          <t>Wholesale/B2B</t>
        </is>
      </c>
      <c r="E112" t="inlineStr">
        <is>
          <t>South Indian</t>
        </is>
      </c>
      <c r="F112" t="inlineStr">
        <is>
          <t>Transactional (B2B)</t>
        </is>
      </c>
      <c r="G112" t="inlineStr">
        <is>
          <t>BOFU</t>
        </is>
      </c>
      <c r="H112" t="inlineStr">
        <is>
          <t>Dubai</t>
        </is>
      </c>
      <c r="I112" t="inlineStr">
        <is>
          <t>Wholesale landing page</t>
        </is>
      </c>
      <c r="J112" t="inlineStr">
        <is>
          <t>Landing</t>
        </is>
      </c>
      <c r="K112">
        <f>IFERROR(VLOOKUP($A112,'Semrush Import'!$A:$D,2,FALSE),"")</f>
        <v/>
      </c>
      <c r="L112">
        <f>IFERROR(VLOOKUP($A112,'Semrush Import'!$A:$D,3,FALSE),"")</f>
        <v/>
      </c>
      <c r="M112">
        <f>IFERROR(VLOOKUP($A112,'Semrush Import'!$A:$D,4,FALSE),"")</f>
        <v/>
      </c>
      <c r="N112">
        <f>IFERROR(VLOOKUP($A112,'KP Import'!$A:$B,2,FALSE),"")</f>
        <v/>
      </c>
      <c r="O112">
        <f>IF(K112="","",ROUND(K112/(L112+10),1))</f>
        <v/>
      </c>
      <c r="P112">
        <f>IF(O112="","",IF(O112&gt;=20,"A - Go first",IF(O112&gt;=5,"B - Next","C - Later")))</f>
        <v/>
      </c>
      <c r="Q112" t="inlineStr">
        <is>
          <t>To research</t>
        </is>
      </c>
      <c r="R112" t="inlineStr"/>
    </row>
    <row r="113">
      <c r="A113" t="inlineStr">
        <is>
          <t>matta rice supplier uae</t>
        </is>
      </c>
      <c r="B113" t="inlineStr">
        <is>
          <t>Phase 1 - B2B now</t>
        </is>
      </c>
      <c r="C113" t="inlineStr">
        <is>
          <t>Wholesalers / bulk buyers</t>
        </is>
      </c>
      <c r="D113" t="inlineStr">
        <is>
          <t>Wholesale/B2B</t>
        </is>
      </c>
      <c r="E113" t="inlineStr">
        <is>
          <t>South Indian</t>
        </is>
      </c>
      <c r="F113" t="inlineStr">
        <is>
          <t>Transactional (B2B)</t>
        </is>
      </c>
      <c r="G113" t="inlineStr">
        <is>
          <t>BOFU</t>
        </is>
      </c>
      <c r="H113" t="inlineStr">
        <is>
          <t>UAE</t>
        </is>
      </c>
      <c r="I113" t="inlineStr">
        <is>
          <t>Wholesale landing page</t>
        </is>
      </c>
      <c r="J113" t="inlineStr">
        <is>
          <t>Landing</t>
        </is>
      </c>
      <c r="K113">
        <f>IFERROR(VLOOKUP($A113,'Semrush Import'!$A:$D,2,FALSE),"")</f>
        <v/>
      </c>
      <c r="L113">
        <f>IFERROR(VLOOKUP($A113,'Semrush Import'!$A:$D,3,FALSE),"")</f>
        <v/>
      </c>
      <c r="M113">
        <f>IFERROR(VLOOKUP($A113,'Semrush Import'!$A:$D,4,FALSE),"")</f>
        <v/>
      </c>
      <c r="N113">
        <f>IFERROR(VLOOKUP($A113,'KP Import'!$A:$B,2,FALSE),"")</f>
        <v/>
      </c>
      <c r="O113">
        <f>IF(K113="","",ROUND(K113/(L113+10),1))</f>
        <v/>
      </c>
      <c r="P113">
        <f>IF(O113="","",IF(O113&gt;=20,"A - Go first",IF(O113&gt;=5,"B - Next","C - Later")))</f>
        <v/>
      </c>
      <c r="Q113" t="inlineStr">
        <is>
          <t>To research</t>
        </is>
      </c>
      <c r="R113" t="inlineStr"/>
    </row>
    <row r="114">
      <c r="A114" t="inlineStr">
        <is>
          <t>kerala matta rice</t>
        </is>
      </c>
      <c r="B114" t="inlineStr">
        <is>
          <t>Phase 1 - B2B now</t>
        </is>
      </c>
      <c r="C114" t="inlineStr">
        <is>
          <t>Wholesalers / bulk buyers</t>
        </is>
      </c>
      <c r="D114" t="inlineStr">
        <is>
          <t>Core product</t>
        </is>
      </c>
      <c r="E114" t="inlineStr">
        <is>
          <t>South Indian</t>
        </is>
      </c>
      <c r="F114" t="inlineStr">
        <is>
          <t>Informational/Commercial</t>
        </is>
      </c>
      <c r="G114" t="inlineStr">
        <is>
          <t>TOFU</t>
        </is>
      </c>
      <c r="H114" t="inlineStr">
        <is>
          <t>UAE (generic)</t>
        </is>
      </c>
      <c r="I114" t="inlineStr">
        <is>
          <t>Matta Rice product page</t>
        </is>
      </c>
      <c r="J114" t="inlineStr">
        <is>
          <t>Product</t>
        </is>
      </c>
      <c r="K114">
        <f>IFERROR(VLOOKUP($A114,'Semrush Import'!$A:$D,2,FALSE),"")</f>
        <v/>
      </c>
      <c r="L114">
        <f>IFERROR(VLOOKUP($A114,'Semrush Import'!$A:$D,3,FALSE),"")</f>
        <v/>
      </c>
      <c r="M114">
        <f>IFERROR(VLOOKUP($A114,'Semrush Import'!$A:$D,4,FALSE),"")</f>
        <v/>
      </c>
      <c r="N114">
        <f>IFERROR(VLOOKUP($A114,'KP Import'!$A:$B,2,FALSE),"")</f>
        <v/>
      </c>
      <c r="O114">
        <f>IF(K114="","",ROUND(K114/(L114+10),1))</f>
        <v/>
      </c>
      <c r="P114">
        <f>IF(O114="","",IF(O114&gt;=20,"A - Go first",IF(O114&gt;=5,"B - Next","C - Later")))</f>
        <v/>
      </c>
      <c r="Q114" t="inlineStr">
        <is>
          <t>To research</t>
        </is>
      </c>
      <c r="R114" t="inlineStr"/>
    </row>
    <row r="115">
      <c r="A115" t="inlineStr">
        <is>
          <t>buy kerala matta rice online</t>
        </is>
      </c>
      <c r="B115" t="inlineStr">
        <is>
          <t>Phase 2 - B2C (later)</t>
        </is>
      </c>
      <c r="C115" t="inlineStr">
        <is>
          <t>Consumer / household</t>
        </is>
      </c>
      <c r="D115" t="inlineStr">
        <is>
          <t>Transactional</t>
        </is>
      </c>
      <c r="E115" t="inlineStr">
        <is>
          <t>South Indian</t>
        </is>
      </c>
      <c r="F115" t="inlineStr">
        <is>
          <t>Transactional</t>
        </is>
      </c>
      <c r="G115" t="inlineStr">
        <is>
          <t>BOFU</t>
        </is>
      </c>
      <c r="H115" t="inlineStr">
        <is>
          <t>UAE (generic)</t>
        </is>
      </c>
      <c r="I115" t="inlineStr">
        <is>
          <t>Matta Rice product page</t>
        </is>
      </c>
      <c r="J115" t="inlineStr">
        <is>
          <t>Product</t>
        </is>
      </c>
      <c r="K115">
        <f>IFERROR(VLOOKUP($A115,'Semrush Import'!$A:$D,2,FALSE),"")</f>
        <v/>
      </c>
      <c r="L115">
        <f>IFERROR(VLOOKUP($A115,'Semrush Import'!$A:$D,3,FALSE),"")</f>
        <v/>
      </c>
      <c r="M115">
        <f>IFERROR(VLOOKUP($A115,'Semrush Import'!$A:$D,4,FALSE),"")</f>
        <v/>
      </c>
      <c r="N115">
        <f>IFERROR(VLOOKUP($A115,'KP Import'!$A:$B,2,FALSE),"")</f>
        <v/>
      </c>
      <c r="O115">
        <f>IF(K115="","",ROUND(K115/(L115+10),1))</f>
        <v/>
      </c>
      <c r="P115">
        <f>IF(O115="","",IF(O115&gt;=20,"A - Go first",IF(O115&gt;=5,"B - Next","C - Later")))</f>
        <v/>
      </c>
      <c r="Q115" t="inlineStr">
        <is>
          <t>To research</t>
        </is>
      </c>
      <c r="R115" t="inlineStr"/>
    </row>
    <row r="116">
      <c r="A116" t="inlineStr">
        <is>
          <t>kerala matta rice price in uae</t>
        </is>
      </c>
      <c r="B116" t="inlineStr">
        <is>
          <t>Phase 1 - B2B now</t>
        </is>
      </c>
      <c r="C116" t="inlineStr">
        <is>
          <t>Wholesalers / bulk buyers</t>
        </is>
      </c>
      <c r="D116" t="inlineStr">
        <is>
          <t>Price</t>
        </is>
      </c>
      <c r="E116" t="inlineStr">
        <is>
          <t>South Indian</t>
        </is>
      </c>
      <c r="F116" t="inlineStr">
        <is>
          <t>Commercial/Transactional</t>
        </is>
      </c>
      <c r="G116" t="inlineStr">
        <is>
          <t>MOFU</t>
        </is>
      </c>
      <c r="H116" t="inlineStr">
        <is>
          <t>UAE</t>
        </is>
      </c>
      <c r="I116" t="inlineStr">
        <is>
          <t>Matta Rice product page</t>
        </is>
      </c>
      <c r="J116" t="inlineStr">
        <is>
          <t>Product</t>
        </is>
      </c>
      <c r="K116">
        <f>IFERROR(VLOOKUP($A116,'Semrush Import'!$A:$D,2,FALSE),"")</f>
        <v/>
      </c>
      <c r="L116">
        <f>IFERROR(VLOOKUP($A116,'Semrush Import'!$A:$D,3,FALSE),"")</f>
        <v/>
      </c>
      <c r="M116">
        <f>IFERROR(VLOOKUP($A116,'Semrush Import'!$A:$D,4,FALSE),"")</f>
        <v/>
      </c>
      <c r="N116">
        <f>IFERROR(VLOOKUP($A116,'KP Import'!$A:$B,2,FALSE),"")</f>
        <v/>
      </c>
      <c r="O116">
        <f>IF(K116="","",ROUND(K116/(L116+10),1))</f>
        <v/>
      </c>
      <c r="P116">
        <f>IF(O116="","",IF(O116&gt;=20,"A - Go first",IF(O116&gt;=5,"B - Next","C - Later")))</f>
        <v/>
      </c>
      <c r="Q116" t="inlineStr">
        <is>
          <t>To research</t>
        </is>
      </c>
      <c r="R116" t="inlineStr"/>
    </row>
    <row r="117">
      <c r="A117" t="inlineStr">
        <is>
          <t>kerala matta rice price in dubai</t>
        </is>
      </c>
      <c r="B117" t="inlineStr">
        <is>
          <t>Phase 1 - B2B now</t>
        </is>
      </c>
      <c r="C117" t="inlineStr">
        <is>
          <t>Wholesalers / bulk buyers</t>
        </is>
      </c>
      <c r="D117" t="inlineStr">
        <is>
          <t>Price</t>
        </is>
      </c>
      <c r="E117" t="inlineStr">
        <is>
          <t>South Indian</t>
        </is>
      </c>
      <c r="F117" t="inlineStr">
        <is>
          <t>Commercial/Transactional</t>
        </is>
      </c>
      <c r="G117" t="inlineStr">
        <is>
          <t>MOFU</t>
        </is>
      </c>
      <c r="H117" t="inlineStr">
        <is>
          <t>Dubai</t>
        </is>
      </c>
      <c r="I117" t="inlineStr">
        <is>
          <t>Matta Rice product page</t>
        </is>
      </c>
      <c r="J117" t="inlineStr">
        <is>
          <t>Product</t>
        </is>
      </c>
      <c r="K117">
        <f>IFERROR(VLOOKUP($A117,'Semrush Import'!$A:$D,2,FALSE),"")</f>
        <v/>
      </c>
      <c r="L117">
        <f>IFERROR(VLOOKUP($A117,'Semrush Import'!$A:$D,3,FALSE),"")</f>
        <v/>
      </c>
      <c r="M117">
        <f>IFERROR(VLOOKUP($A117,'Semrush Import'!$A:$D,4,FALSE),"")</f>
        <v/>
      </c>
      <c r="N117">
        <f>IFERROR(VLOOKUP($A117,'KP Import'!$A:$B,2,FALSE),"")</f>
        <v/>
      </c>
      <c r="O117">
        <f>IF(K117="","",ROUND(K117/(L117+10),1))</f>
        <v/>
      </c>
      <c r="P117">
        <f>IF(O117="","",IF(O117&gt;=20,"A - Go first",IF(O117&gt;=5,"B - Next","C - Later")))</f>
        <v/>
      </c>
      <c r="Q117" t="inlineStr">
        <is>
          <t>To research</t>
        </is>
      </c>
      <c r="R117" t="inlineStr"/>
    </row>
    <row r="118">
      <c r="A118" t="inlineStr">
        <is>
          <t>kerala matta rice online dubai</t>
        </is>
      </c>
      <c r="B118" t="inlineStr">
        <is>
          <t>Phase 2 - B2C (later)</t>
        </is>
      </c>
      <c r="C118" t="inlineStr">
        <is>
          <t>Consumer / household</t>
        </is>
      </c>
      <c r="D118" t="inlineStr">
        <is>
          <t>Transactional</t>
        </is>
      </c>
      <c r="E118" t="inlineStr">
        <is>
          <t>South Indian</t>
        </is>
      </c>
      <c r="F118" t="inlineStr">
        <is>
          <t>Transactional</t>
        </is>
      </c>
      <c r="G118" t="inlineStr">
        <is>
          <t>BOFU</t>
        </is>
      </c>
      <c r="H118" t="inlineStr">
        <is>
          <t>Dubai</t>
        </is>
      </c>
      <c r="I118" t="inlineStr">
        <is>
          <t>Matta Rice product page</t>
        </is>
      </c>
      <c r="J118" t="inlineStr">
        <is>
          <t>Product</t>
        </is>
      </c>
      <c r="K118">
        <f>IFERROR(VLOOKUP($A118,'Semrush Import'!$A:$D,2,FALSE),"")</f>
        <v/>
      </c>
      <c r="L118">
        <f>IFERROR(VLOOKUP($A118,'Semrush Import'!$A:$D,3,FALSE),"")</f>
        <v/>
      </c>
      <c r="M118">
        <f>IFERROR(VLOOKUP($A118,'Semrush Import'!$A:$D,4,FALSE),"")</f>
        <v/>
      </c>
      <c r="N118">
        <f>IFERROR(VLOOKUP($A118,'KP Import'!$A:$B,2,FALSE),"")</f>
        <v/>
      </c>
      <c r="O118">
        <f>IF(K118="","",ROUND(K118/(L118+10),1))</f>
        <v/>
      </c>
      <c r="P118">
        <f>IF(O118="","",IF(O118&gt;=20,"A - Go first",IF(O118&gt;=5,"B - Next","C - Later")))</f>
        <v/>
      </c>
      <c r="Q118" t="inlineStr">
        <is>
          <t>To research</t>
        </is>
      </c>
      <c r="R118" t="inlineStr"/>
    </row>
    <row r="119">
      <c r="A119" t="inlineStr">
        <is>
          <t>kerala matta rice wholesale dubai</t>
        </is>
      </c>
      <c r="B119" t="inlineStr">
        <is>
          <t>Phase 1 - B2B now</t>
        </is>
      </c>
      <c r="C119" t="inlineStr">
        <is>
          <t>Wholesalers / bulk buyers</t>
        </is>
      </c>
      <c r="D119" t="inlineStr">
        <is>
          <t>Wholesale/B2B</t>
        </is>
      </c>
      <c r="E119" t="inlineStr">
        <is>
          <t>South Indian</t>
        </is>
      </c>
      <c r="F119" t="inlineStr">
        <is>
          <t>Transactional (B2B)</t>
        </is>
      </c>
      <c r="G119" t="inlineStr">
        <is>
          <t>BOFU</t>
        </is>
      </c>
      <c r="H119" t="inlineStr">
        <is>
          <t>Dubai</t>
        </is>
      </c>
      <c r="I119" t="inlineStr">
        <is>
          <t>Wholesale landing page</t>
        </is>
      </c>
      <c r="J119" t="inlineStr">
        <is>
          <t>Landing</t>
        </is>
      </c>
      <c r="K119">
        <f>IFERROR(VLOOKUP($A119,'Semrush Import'!$A:$D,2,FALSE),"")</f>
        <v/>
      </c>
      <c r="L119">
        <f>IFERROR(VLOOKUP($A119,'Semrush Import'!$A:$D,3,FALSE),"")</f>
        <v/>
      </c>
      <c r="M119">
        <f>IFERROR(VLOOKUP($A119,'Semrush Import'!$A:$D,4,FALSE),"")</f>
        <v/>
      </c>
      <c r="N119">
        <f>IFERROR(VLOOKUP($A119,'KP Import'!$A:$B,2,FALSE),"")</f>
        <v/>
      </c>
      <c r="O119">
        <f>IF(K119="","",ROUND(K119/(L119+10),1))</f>
        <v/>
      </c>
      <c r="P119">
        <f>IF(O119="","",IF(O119&gt;=20,"A - Go first",IF(O119&gt;=5,"B - Next","C - Later")))</f>
        <v/>
      </c>
      <c r="Q119" t="inlineStr">
        <is>
          <t>To research</t>
        </is>
      </c>
      <c r="R119" t="inlineStr"/>
    </row>
    <row r="120">
      <c r="A120" t="inlineStr">
        <is>
          <t>kerala matta rice supplier uae</t>
        </is>
      </c>
      <c r="B120" t="inlineStr">
        <is>
          <t>Phase 1 - B2B now</t>
        </is>
      </c>
      <c r="C120" t="inlineStr">
        <is>
          <t>Wholesalers / bulk buyers</t>
        </is>
      </c>
      <c r="D120" t="inlineStr">
        <is>
          <t>Wholesale/B2B</t>
        </is>
      </c>
      <c r="E120" t="inlineStr">
        <is>
          <t>South Indian</t>
        </is>
      </c>
      <c r="F120" t="inlineStr">
        <is>
          <t>Transactional (B2B)</t>
        </is>
      </c>
      <c r="G120" t="inlineStr">
        <is>
          <t>BOFU</t>
        </is>
      </c>
      <c r="H120" t="inlineStr">
        <is>
          <t>UAE</t>
        </is>
      </c>
      <c r="I120" t="inlineStr">
        <is>
          <t>Wholesale landing page</t>
        </is>
      </c>
      <c r="J120" t="inlineStr">
        <is>
          <t>Landing</t>
        </is>
      </c>
      <c r="K120">
        <f>IFERROR(VLOOKUP($A120,'Semrush Import'!$A:$D,2,FALSE),"")</f>
        <v/>
      </c>
      <c r="L120">
        <f>IFERROR(VLOOKUP($A120,'Semrush Import'!$A:$D,3,FALSE),"")</f>
        <v/>
      </c>
      <c r="M120">
        <f>IFERROR(VLOOKUP($A120,'Semrush Import'!$A:$D,4,FALSE),"")</f>
        <v/>
      </c>
      <c r="N120">
        <f>IFERROR(VLOOKUP($A120,'KP Import'!$A:$B,2,FALSE),"")</f>
        <v/>
      </c>
      <c r="O120">
        <f>IF(K120="","",ROUND(K120/(L120+10),1))</f>
        <v/>
      </c>
      <c r="P120">
        <f>IF(O120="","",IF(O120&gt;=20,"A - Go first",IF(O120&gt;=5,"B - Next","C - Later")))</f>
        <v/>
      </c>
      <c r="Q120" t="inlineStr">
        <is>
          <t>To research</t>
        </is>
      </c>
      <c r="R120" t="inlineStr"/>
    </row>
    <row r="121">
      <c r="A121" t="inlineStr">
        <is>
          <t>idli rice</t>
        </is>
      </c>
      <c r="B121" t="inlineStr">
        <is>
          <t>Phase 1 - B2B now</t>
        </is>
      </c>
      <c r="C121" t="inlineStr">
        <is>
          <t>Wholesalers / bulk buyers</t>
        </is>
      </c>
      <c r="D121" t="inlineStr">
        <is>
          <t>Core product</t>
        </is>
      </c>
      <c r="E121" t="inlineStr">
        <is>
          <t>South Indian</t>
        </is>
      </c>
      <c r="F121" t="inlineStr">
        <is>
          <t>Informational/Commercial</t>
        </is>
      </c>
      <c r="G121" t="inlineStr">
        <is>
          <t>TOFU</t>
        </is>
      </c>
      <c r="H121" t="inlineStr">
        <is>
          <t>UAE (generic)</t>
        </is>
      </c>
      <c r="I121" t="inlineStr">
        <is>
          <t>Idli Rice product page</t>
        </is>
      </c>
      <c r="J121" t="inlineStr">
        <is>
          <t>Product</t>
        </is>
      </c>
      <c r="K121">
        <f>IFERROR(VLOOKUP($A121,'Semrush Import'!$A:$D,2,FALSE),"")</f>
        <v/>
      </c>
      <c r="L121">
        <f>IFERROR(VLOOKUP($A121,'Semrush Import'!$A:$D,3,FALSE),"")</f>
        <v/>
      </c>
      <c r="M121">
        <f>IFERROR(VLOOKUP($A121,'Semrush Import'!$A:$D,4,FALSE),"")</f>
        <v/>
      </c>
      <c r="N121">
        <f>IFERROR(VLOOKUP($A121,'KP Import'!$A:$B,2,FALSE),"")</f>
        <v/>
      </c>
      <c r="O121">
        <f>IF(K121="","",ROUND(K121/(L121+10),1))</f>
        <v/>
      </c>
      <c r="P121">
        <f>IF(O121="","",IF(O121&gt;=20,"A - Go first",IF(O121&gt;=5,"B - Next","C - Later")))</f>
        <v/>
      </c>
      <c r="Q121" t="inlineStr">
        <is>
          <t>To research</t>
        </is>
      </c>
      <c r="R121" t="inlineStr"/>
    </row>
    <row r="122">
      <c r="A122" t="inlineStr">
        <is>
          <t>buy idli rice online</t>
        </is>
      </c>
      <c r="B122" t="inlineStr">
        <is>
          <t>Phase 2 - B2C (later)</t>
        </is>
      </c>
      <c r="C122" t="inlineStr">
        <is>
          <t>Consumer / household</t>
        </is>
      </c>
      <c r="D122" t="inlineStr">
        <is>
          <t>Transactional</t>
        </is>
      </c>
      <c r="E122" t="inlineStr">
        <is>
          <t>South Indian</t>
        </is>
      </c>
      <c r="F122" t="inlineStr">
        <is>
          <t>Transactional</t>
        </is>
      </c>
      <c r="G122" t="inlineStr">
        <is>
          <t>BOFU</t>
        </is>
      </c>
      <c r="H122" t="inlineStr">
        <is>
          <t>UAE (generic)</t>
        </is>
      </c>
      <c r="I122" t="inlineStr">
        <is>
          <t>Idli Rice product page</t>
        </is>
      </c>
      <c r="J122" t="inlineStr">
        <is>
          <t>Product</t>
        </is>
      </c>
      <c r="K122">
        <f>IFERROR(VLOOKUP($A122,'Semrush Import'!$A:$D,2,FALSE),"")</f>
        <v/>
      </c>
      <c r="L122">
        <f>IFERROR(VLOOKUP($A122,'Semrush Import'!$A:$D,3,FALSE),"")</f>
        <v/>
      </c>
      <c r="M122">
        <f>IFERROR(VLOOKUP($A122,'Semrush Import'!$A:$D,4,FALSE),"")</f>
        <v/>
      </c>
      <c r="N122">
        <f>IFERROR(VLOOKUP($A122,'KP Import'!$A:$B,2,FALSE),"")</f>
        <v/>
      </c>
      <c r="O122">
        <f>IF(K122="","",ROUND(K122/(L122+10),1))</f>
        <v/>
      </c>
      <c r="P122">
        <f>IF(O122="","",IF(O122&gt;=20,"A - Go first",IF(O122&gt;=5,"B - Next","C - Later")))</f>
        <v/>
      </c>
      <c r="Q122" t="inlineStr">
        <is>
          <t>To research</t>
        </is>
      </c>
      <c r="R122" t="inlineStr"/>
    </row>
    <row r="123">
      <c r="A123" t="inlineStr">
        <is>
          <t>idli rice price in uae</t>
        </is>
      </c>
      <c r="B123" t="inlineStr">
        <is>
          <t>Phase 1 - B2B now</t>
        </is>
      </c>
      <c r="C123" t="inlineStr">
        <is>
          <t>Wholesalers / bulk buyers</t>
        </is>
      </c>
      <c r="D123" t="inlineStr">
        <is>
          <t>Price</t>
        </is>
      </c>
      <c r="E123" t="inlineStr">
        <is>
          <t>South Indian</t>
        </is>
      </c>
      <c r="F123" t="inlineStr">
        <is>
          <t>Commercial/Transactional</t>
        </is>
      </c>
      <c r="G123" t="inlineStr">
        <is>
          <t>MOFU</t>
        </is>
      </c>
      <c r="H123" t="inlineStr">
        <is>
          <t>UAE</t>
        </is>
      </c>
      <c r="I123" t="inlineStr">
        <is>
          <t>Idli Rice product page</t>
        </is>
      </c>
      <c r="J123" t="inlineStr">
        <is>
          <t>Product</t>
        </is>
      </c>
      <c r="K123">
        <f>IFERROR(VLOOKUP($A123,'Semrush Import'!$A:$D,2,FALSE),"")</f>
        <v/>
      </c>
      <c r="L123">
        <f>IFERROR(VLOOKUP($A123,'Semrush Import'!$A:$D,3,FALSE),"")</f>
        <v/>
      </c>
      <c r="M123">
        <f>IFERROR(VLOOKUP($A123,'Semrush Import'!$A:$D,4,FALSE),"")</f>
        <v/>
      </c>
      <c r="N123">
        <f>IFERROR(VLOOKUP($A123,'KP Import'!$A:$B,2,FALSE),"")</f>
        <v/>
      </c>
      <c r="O123">
        <f>IF(K123="","",ROUND(K123/(L123+10),1))</f>
        <v/>
      </c>
      <c r="P123">
        <f>IF(O123="","",IF(O123&gt;=20,"A - Go first",IF(O123&gt;=5,"B - Next","C - Later")))</f>
        <v/>
      </c>
      <c r="Q123" t="inlineStr">
        <is>
          <t>To research</t>
        </is>
      </c>
      <c r="R123" t="inlineStr"/>
    </row>
    <row r="124">
      <c r="A124" t="inlineStr">
        <is>
          <t>idli rice price in dubai</t>
        </is>
      </c>
      <c r="B124" t="inlineStr">
        <is>
          <t>Phase 1 - B2B now</t>
        </is>
      </c>
      <c r="C124" t="inlineStr">
        <is>
          <t>Wholesalers / bulk buyers</t>
        </is>
      </c>
      <c r="D124" t="inlineStr">
        <is>
          <t>Price</t>
        </is>
      </c>
      <c r="E124" t="inlineStr">
        <is>
          <t>South Indian</t>
        </is>
      </c>
      <c r="F124" t="inlineStr">
        <is>
          <t>Commercial/Transactional</t>
        </is>
      </c>
      <c r="G124" t="inlineStr">
        <is>
          <t>MOFU</t>
        </is>
      </c>
      <c r="H124" t="inlineStr">
        <is>
          <t>Dubai</t>
        </is>
      </c>
      <c r="I124" t="inlineStr">
        <is>
          <t>Idli Rice product page</t>
        </is>
      </c>
      <c r="J124" t="inlineStr">
        <is>
          <t>Product</t>
        </is>
      </c>
      <c r="K124">
        <f>IFERROR(VLOOKUP($A124,'Semrush Import'!$A:$D,2,FALSE),"")</f>
        <v/>
      </c>
      <c r="L124">
        <f>IFERROR(VLOOKUP($A124,'Semrush Import'!$A:$D,3,FALSE),"")</f>
        <v/>
      </c>
      <c r="M124">
        <f>IFERROR(VLOOKUP($A124,'Semrush Import'!$A:$D,4,FALSE),"")</f>
        <v/>
      </c>
      <c r="N124">
        <f>IFERROR(VLOOKUP($A124,'KP Import'!$A:$B,2,FALSE),"")</f>
        <v/>
      </c>
      <c r="O124">
        <f>IF(K124="","",ROUND(K124/(L124+10),1))</f>
        <v/>
      </c>
      <c r="P124">
        <f>IF(O124="","",IF(O124&gt;=20,"A - Go first",IF(O124&gt;=5,"B - Next","C - Later")))</f>
        <v/>
      </c>
      <c r="Q124" t="inlineStr">
        <is>
          <t>To research</t>
        </is>
      </c>
      <c r="R124" t="inlineStr"/>
    </row>
    <row r="125">
      <c r="A125" t="inlineStr">
        <is>
          <t>idli rice online dubai</t>
        </is>
      </c>
      <c r="B125" t="inlineStr">
        <is>
          <t>Phase 2 - B2C (later)</t>
        </is>
      </c>
      <c r="C125" t="inlineStr">
        <is>
          <t>Consumer / household</t>
        </is>
      </c>
      <c r="D125" t="inlineStr">
        <is>
          <t>Transactional</t>
        </is>
      </c>
      <c r="E125" t="inlineStr">
        <is>
          <t>South Indian</t>
        </is>
      </c>
      <c r="F125" t="inlineStr">
        <is>
          <t>Transactional</t>
        </is>
      </c>
      <c r="G125" t="inlineStr">
        <is>
          <t>BOFU</t>
        </is>
      </c>
      <c r="H125" t="inlineStr">
        <is>
          <t>Dubai</t>
        </is>
      </c>
      <c r="I125" t="inlineStr">
        <is>
          <t>Idli Rice product page</t>
        </is>
      </c>
      <c r="J125" t="inlineStr">
        <is>
          <t>Product</t>
        </is>
      </c>
      <c r="K125">
        <f>IFERROR(VLOOKUP($A125,'Semrush Import'!$A:$D,2,FALSE),"")</f>
        <v/>
      </c>
      <c r="L125">
        <f>IFERROR(VLOOKUP($A125,'Semrush Import'!$A:$D,3,FALSE),"")</f>
        <v/>
      </c>
      <c r="M125">
        <f>IFERROR(VLOOKUP($A125,'Semrush Import'!$A:$D,4,FALSE),"")</f>
        <v/>
      </c>
      <c r="N125">
        <f>IFERROR(VLOOKUP($A125,'KP Import'!$A:$B,2,FALSE),"")</f>
        <v/>
      </c>
      <c r="O125">
        <f>IF(K125="","",ROUND(K125/(L125+10),1))</f>
        <v/>
      </c>
      <c r="P125">
        <f>IF(O125="","",IF(O125&gt;=20,"A - Go first",IF(O125&gt;=5,"B - Next","C - Later")))</f>
        <v/>
      </c>
      <c r="Q125" t="inlineStr">
        <is>
          <t>To research</t>
        </is>
      </c>
      <c r="R125" t="inlineStr"/>
    </row>
    <row r="126">
      <c r="A126" t="inlineStr">
        <is>
          <t>idli rice wholesale dubai</t>
        </is>
      </c>
      <c r="B126" t="inlineStr">
        <is>
          <t>Phase 1 - B2B now</t>
        </is>
      </c>
      <c r="C126" t="inlineStr">
        <is>
          <t>Wholesalers / bulk buyers</t>
        </is>
      </c>
      <c r="D126" t="inlineStr">
        <is>
          <t>Wholesale/B2B</t>
        </is>
      </c>
      <c r="E126" t="inlineStr">
        <is>
          <t>South Indian</t>
        </is>
      </c>
      <c r="F126" t="inlineStr">
        <is>
          <t>Transactional (B2B)</t>
        </is>
      </c>
      <c r="G126" t="inlineStr">
        <is>
          <t>BOFU</t>
        </is>
      </c>
      <c r="H126" t="inlineStr">
        <is>
          <t>Dubai</t>
        </is>
      </c>
      <c r="I126" t="inlineStr">
        <is>
          <t>Wholesale landing page</t>
        </is>
      </c>
      <c r="J126" t="inlineStr">
        <is>
          <t>Landing</t>
        </is>
      </c>
      <c r="K126">
        <f>IFERROR(VLOOKUP($A126,'Semrush Import'!$A:$D,2,FALSE),"")</f>
        <v/>
      </c>
      <c r="L126">
        <f>IFERROR(VLOOKUP($A126,'Semrush Import'!$A:$D,3,FALSE),"")</f>
        <v/>
      </c>
      <c r="M126">
        <f>IFERROR(VLOOKUP($A126,'Semrush Import'!$A:$D,4,FALSE),"")</f>
        <v/>
      </c>
      <c r="N126">
        <f>IFERROR(VLOOKUP($A126,'KP Import'!$A:$B,2,FALSE),"")</f>
        <v/>
      </c>
      <c r="O126">
        <f>IF(K126="","",ROUND(K126/(L126+10),1))</f>
        <v/>
      </c>
      <c r="P126">
        <f>IF(O126="","",IF(O126&gt;=20,"A - Go first",IF(O126&gt;=5,"B - Next","C - Later")))</f>
        <v/>
      </c>
      <c r="Q126" t="inlineStr">
        <is>
          <t>To research</t>
        </is>
      </c>
      <c r="R126" t="inlineStr"/>
    </row>
    <row r="127">
      <c r="A127" t="inlineStr">
        <is>
          <t>idli rice supplier uae</t>
        </is>
      </c>
      <c r="B127" t="inlineStr">
        <is>
          <t>Phase 1 - B2B now</t>
        </is>
      </c>
      <c r="C127" t="inlineStr">
        <is>
          <t>Wholesalers / bulk buyers</t>
        </is>
      </c>
      <c r="D127" t="inlineStr">
        <is>
          <t>Wholesale/B2B</t>
        </is>
      </c>
      <c r="E127" t="inlineStr">
        <is>
          <t>South Indian</t>
        </is>
      </c>
      <c r="F127" t="inlineStr">
        <is>
          <t>Transactional (B2B)</t>
        </is>
      </c>
      <c r="G127" t="inlineStr">
        <is>
          <t>BOFU</t>
        </is>
      </c>
      <c r="H127" t="inlineStr">
        <is>
          <t>UAE</t>
        </is>
      </c>
      <c r="I127" t="inlineStr">
        <is>
          <t>Wholesale landing page</t>
        </is>
      </c>
      <c r="J127" t="inlineStr">
        <is>
          <t>Landing</t>
        </is>
      </c>
      <c r="K127">
        <f>IFERROR(VLOOKUP($A127,'Semrush Import'!$A:$D,2,FALSE),"")</f>
        <v/>
      </c>
      <c r="L127">
        <f>IFERROR(VLOOKUP($A127,'Semrush Import'!$A:$D,3,FALSE),"")</f>
        <v/>
      </c>
      <c r="M127">
        <f>IFERROR(VLOOKUP($A127,'Semrush Import'!$A:$D,4,FALSE),"")</f>
        <v/>
      </c>
      <c r="N127">
        <f>IFERROR(VLOOKUP($A127,'KP Import'!$A:$B,2,FALSE),"")</f>
        <v/>
      </c>
      <c r="O127">
        <f>IF(K127="","",ROUND(K127/(L127+10),1))</f>
        <v/>
      </c>
      <c r="P127">
        <f>IF(O127="","",IF(O127&gt;=20,"A - Go first",IF(O127&gt;=5,"B - Next","C - Later")))</f>
        <v/>
      </c>
      <c r="Q127" t="inlineStr">
        <is>
          <t>To research</t>
        </is>
      </c>
      <c r="R127" t="inlineStr"/>
    </row>
    <row r="128">
      <c r="A128" t="inlineStr">
        <is>
          <t>raw rice</t>
        </is>
      </c>
      <c r="B128" t="inlineStr">
        <is>
          <t>Phase 1 - B2B now</t>
        </is>
      </c>
      <c r="C128" t="inlineStr">
        <is>
          <t>Wholesalers / bulk buyers</t>
        </is>
      </c>
      <c r="D128" t="inlineStr">
        <is>
          <t>Core product</t>
        </is>
      </c>
      <c r="E128" t="inlineStr">
        <is>
          <t>Indian staple</t>
        </is>
      </c>
      <c r="F128" t="inlineStr">
        <is>
          <t>Informational/Commercial</t>
        </is>
      </c>
      <c r="G128" t="inlineStr">
        <is>
          <t>TOFU</t>
        </is>
      </c>
      <c r="H128" t="inlineStr">
        <is>
          <t>UAE (generic)</t>
        </is>
      </c>
      <c r="I128" t="inlineStr">
        <is>
          <t>Non-Basmati Rice category</t>
        </is>
      </c>
      <c r="J128" t="inlineStr">
        <is>
          <t>Category</t>
        </is>
      </c>
      <c r="K128">
        <f>IFERROR(VLOOKUP($A128,'Semrush Import'!$A:$D,2,FALSE),"")</f>
        <v/>
      </c>
      <c r="L128">
        <f>IFERROR(VLOOKUP($A128,'Semrush Import'!$A:$D,3,FALSE),"")</f>
        <v/>
      </c>
      <c r="M128">
        <f>IFERROR(VLOOKUP($A128,'Semrush Import'!$A:$D,4,FALSE),"")</f>
        <v/>
      </c>
      <c r="N128">
        <f>IFERROR(VLOOKUP($A128,'KP Import'!$A:$B,2,FALSE),"")</f>
        <v/>
      </c>
      <c r="O128">
        <f>IF(K128="","",ROUND(K128/(L128+10),1))</f>
        <v/>
      </c>
      <c r="P128">
        <f>IF(O128="","",IF(O128&gt;=20,"A - Go first",IF(O128&gt;=5,"B - Next","C - Later")))</f>
        <v/>
      </c>
      <c r="Q128" t="inlineStr">
        <is>
          <t>To research</t>
        </is>
      </c>
      <c r="R128" t="inlineStr"/>
    </row>
    <row r="129">
      <c r="A129" t="inlineStr">
        <is>
          <t>buy raw rice online</t>
        </is>
      </c>
      <c r="B129" t="inlineStr">
        <is>
          <t>Phase 2 - B2C (later)</t>
        </is>
      </c>
      <c r="C129" t="inlineStr">
        <is>
          <t>Consumer / household</t>
        </is>
      </c>
      <c r="D129" t="inlineStr">
        <is>
          <t>Transactional</t>
        </is>
      </c>
      <c r="E129" t="inlineStr">
        <is>
          <t>Indian staple</t>
        </is>
      </c>
      <c r="F129" t="inlineStr">
        <is>
          <t>Transactional</t>
        </is>
      </c>
      <c r="G129" t="inlineStr">
        <is>
          <t>BOFU</t>
        </is>
      </c>
      <c r="H129" t="inlineStr">
        <is>
          <t>UAE (generic)</t>
        </is>
      </c>
      <c r="I129" t="inlineStr">
        <is>
          <t>Non-Basmati Rice category</t>
        </is>
      </c>
      <c r="J129" t="inlineStr">
        <is>
          <t>Category</t>
        </is>
      </c>
      <c r="K129">
        <f>IFERROR(VLOOKUP($A129,'Semrush Import'!$A:$D,2,FALSE),"")</f>
        <v/>
      </c>
      <c r="L129">
        <f>IFERROR(VLOOKUP($A129,'Semrush Import'!$A:$D,3,FALSE),"")</f>
        <v/>
      </c>
      <c r="M129">
        <f>IFERROR(VLOOKUP($A129,'Semrush Import'!$A:$D,4,FALSE),"")</f>
        <v/>
      </c>
      <c r="N129">
        <f>IFERROR(VLOOKUP($A129,'KP Import'!$A:$B,2,FALSE),"")</f>
        <v/>
      </c>
      <c r="O129">
        <f>IF(K129="","",ROUND(K129/(L129+10),1))</f>
        <v/>
      </c>
      <c r="P129">
        <f>IF(O129="","",IF(O129&gt;=20,"A - Go first",IF(O129&gt;=5,"B - Next","C - Later")))</f>
        <v/>
      </c>
      <c r="Q129" t="inlineStr">
        <is>
          <t>To research</t>
        </is>
      </c>
      <c r="R129" t="inlineStr"/>
    </row>
    <row r="130">
      <c r="A130" t="inlineStr">
        <is>
          <t>raw rice price in uae</t>
        </is>
      </c>
      <c r="B130" t="inlineStr">
        <is>
          <t>Phase 1 - B2B now</t>
        </is>
      </c>
      <c r="C130" t="inlineStr">
        <is>
          <t>Wholesalers / bulk buyers</t>
        </is>
      </c>
      <c r="D130" t="inlineStr">
        <is>
          <t>Price</t>
        </is>
      </c>
      <c r="E130" t="inlineStr">
        <is>
          <t>Indian staple</t>
        </is>
      </c>
      <c r="F130" t="inlineStr">
        <is>
          <t>Commercial/Transactional</t>
        </is>
      </c>
      <c r="G130" t="inlineStr">
        <is>
          <t>MOFU</t>
        </is>
      </c>
      <c r="H130" t="inlineStr">
        <is>
          <t>UAE</t>
        </is>
      </c>
      <c r="I130" t="inlineStr">
        <is>
          <t>Non-Basmati Rice category</t>
        </is>
      </c>
      <c r="J130" t="inlineStr">
        <is>
          <t>Category</t>
        </is>
      </c>
      <c r="K130">
        <f>IFERROR(VLOOKUP($A130,'Semrush Import'!$A:$D,2,FALSE),"")</f>
        <v/>
      </c>
      <c r="L130">
        <f>IFERROR(VLOOKUP($A130,'Semrush Import'!$A:$D,3,FALSE),"")</f>
        <v/>
      </c>
      <c r="M130">
        <f>IFERROR(VLOOKUP($A130,'Semrush Import'!$A:$D,4,FALSE),"")</f>
        <v/>
      </c>
      <c r="N130">
        <f>IFERROR(VLOOKUP($A130,'KP Import'!$A:$B,2,FALSE),"")</f>
        <v/>
      </c>
      <c r="O130">
        <f>IF(K130="","",ROUND(K130/(L130+10),1))</f>
        <v/>
      </c>
      <c r="P130">
        <f>IF(O130="","",IF(O130&gt;=20,"A - Go first",IF(O130&gt;=5,"B - Next","C - Later")))</f>
        <v/>
      </c>
      <c r="Q130" t="inlineStr">
        <is>
          <t>To research</t>
        </is>
      </c>
      <c r="R130" t="inlineStr"/>
    </row>
    <row r="131">
      <c r="A131" t="inlineStr">
        <is>
          <t>raw rice price in dubai</t>
        </is>
      </c>
      <c r="B131" t="inlineStr">
        <is>
          <t>Phase 1 - B2B now</t>
        </is>
      </c>
      <c r="C131" t="inlineStr">
        <is>
          <t>Wholesalers / bulk buyers</t>
        </is>
      </c>
      <c r="D131" t="inlineStr">
        <is>
          <t>Price</t>
        </is>
      </c>
      <c r="E131" t="inlineStr">
        <is>
          <t>Indian staple</t>
        </is>
      </c>
      <c r="F131" t="inlineStr">
        <is>
          <t>Commercial/Transactional</t>
        </is>
      </c>
      <c r="G131" t="inlineStr">
        <is>
          <t>MOFU</t>
        </is>
      </c>
      <c r="H131" t="inlineStr">
        <is>
          <t>Dubai</t>
        </is>
      </c>
      <c r="I131" t="inlineStr">
        <is>
          <t>Non-Basmati Rice category</t>
        </is>
      </c>
      <c r="J131" t="inlineStr">
        <is>
          <t>Category</t>
        </is>
      </c>
      <c r="K131">
        <f>IFERROR(VLOOKUP($A131,'Semrush Import'!$A:$D,2,FALSE),"")</f>
        <v/>
      </c>
      <c r="L131">
        <f>IFERROR(VLOOKUP($A131,'Semrush Import'!$A:$D,3,FALSE),"")</f>
        <v/>
      </c>
      <c r="M131">
        <f>IFERROR(VLOOKUP($A131,'Semrush Import'!$A:$D,4,FALSE),"")</f>
        <v/>
      </c>
      <c r="N131">
        <f>IFERROR(VLOOKUP($A131,'KP Import'!$A:$B,2,FALSE),"")</f>
        <v/>
      </c>
      <c r="O131">
        <f>IF(K131="","",ROUND(K131/(L131+10),1))</f>
        <v/>
      </c>
      <c r="P131">
        <f>IF(O131="","",IF(O131&gt;=20,"A - Go first",IF(O131&gt;=5,"B - Next","C - Later")))</f>
        <v/>
      </c>
      <c r="Q131" t="inlineStr">
        <is>
          <t>To research</t>
        </is>
      </c>
      <c r="R131" t="inlineStr"/>
    </row>
    <row r="132">
      <c r="A132" t="inlineStr">
        <is>
          <t>raw rice online dubai</t>
        </is>
      </c>
      <c r="B132" t="inlineStr">
        <is>
          <t>Phase 2 - B2C (later)</t>
        </is>
      </c>
      <c r="C132" t="inlineStr">
        <is>
          <t>Consumer / household</t>
        </is>
      </c>
      <c r="D132" t="inlineStr">
        <is>
          <t>Transactional</t>
        </is>
      </c>
      <c r="E132" t="inlineStr">
        <is>
          <t>Indian staple</t>
        </is>
      </c>
      <c r="F132" t="inlineStr">
        <is>
          <t>Transactional</t>
        </is>
      </c>
      <c r="G132" t="inlineStr">
        <is>
          <t>BOFU</t>
        </is>
      </c>
      <c r="H132" t="inlineStr">
        <is>
          <t>Dubai</t>
        </is>
      </c>
      <c r="I132" t="inlineStr">
        <is>
          <t>Non-Basmati Rice category</t>
        </is>
      </c>
      <c r="J132" t="inlineStr">
        <is>
          <t>Category</t>
        </is>
      </c>
      <c r="K132">
        <f>IFERROR(VLOOKUP($A132,'Semrush Import'!$A:$D,2,FALSE),"")</f>
        <v/>
      </c>
      <c r="L132">
        <f>IFERROR(VLOOKUP($A132,'Semrush Import'!$A:$D,3,FALSE),"")</f>
        <v/>
      </c>
      <c r="M132">
        <f>IFERROR(VLOOKUP($A132,'Semrush Import'!$A:$D,4,FALSE),"")</f>
        <v/>
      </c>
      <c r="N132">
        <f>IFERROR(VLOOKUP($A132,'KP Import'!$A:$B,2,FALSE),"")</f>
        <v/>
      </c>
      <c r="O132">
        <f>IF(K132="","",ROUND(K132/(L132+10),1))</f>
        <v/>
      </c>
      <c r="P132">
        <f>IF(O132="","",IF(O132&gt;=20,"A - Go first",IF(O132&gt;=5,"B - Next","C - Later")))</f>
        <v/>
      </c>
      <c r="Q132" t="inlineStr">
        <is>
          <t>To research</t>
        </is>
      </c>
      <c r="R132" t="inlineStr"/>
    </row>
    <row r="133">
      <c r="A133" t="inlineStr">
        <is>
          <t>raw rice wholesale dubai</t>
        </is>
      </c>
      <c r="B133" t="inlineStr">
        <is>
          <t>Phase 1 - B2B now</t>
        </is>
      </c>
      <c r="C133" t="inlineStr">
        <is>
          <t>Wholesalers / bulk buyers</t>
        </is>
      </c>
      <c r="D133" t="inlineStr">
        <is>
          <t>Wholesale/B2B</t>
        </is>
      </c>
      <c r="E133" t="inlineStr">
        <is>
          <t>Indian staple</t>
        </is>
      </c>
      <c r="F133" t="inlineStr">
        <is>
          <t>Transactional (B2B)</t>
        </is>
      </c>
      <c r="G133" t="inlineStr">
        <is>
          <t>BOFU</t>
        </is>
      </c>
      <c r="H133" t="inlineStr">
        <is>
          <t>Dubai</t>
        </is>
      </c>
      <c r="I133" t="inlineStr">
        <is>
          <t>Wholesale landing page</t>
        </is>
      </c>
      <c r="J133" t="inlineStr">
        <is>
          <t>Landing</t>
        </is>
      </c>
      <c r="K133">
        <f>IFERROR(VLOOKUP($A133,'Semrush Import'!$A:$D,2,FALSE),"")</f>
        <v/>
      </c>
      <c r="L133">
        <f>IFERROR(VLOOKUP($A133,'Semrush Import'!$A:$D,3,FALSE),"")</f>
        <v/>
      </c>
      <c r="M133">
        <f>IFERROR(VLOOKUP($A133,'Semrush Import'!$A:$D,4,FALSE),"")</f>
        <v/>
      </c>
      <c r="N133">
        <f>IFERROR(VLOOKUP($A133,'KP Import'!$A:$B,2,FALSE),"")</f>
        <v/>
      </c>
      <c r="O133">
        <f>IF(K133="","",ROUND(K133/(L133+10),1))</f>
        <v/>
      </c>
      <c r="P133">
        <f>IF(O133="","",IF(O133&gt;=20,"A - Go first",IF(O133&gt;=5,"B - Next","C - Later")))</f>
        <v/>
      </c>
      <c r="Q133" t="inlineStr">
        <is>
          <t>To research</t>
        </is>
      </c>
      <c r="R133" t="inlineStr"/>
    </row>
    <row r="134">
      <c r="A134" t="inlineStr">
        <is>
          <t>raw rice supplier uae</t>
        </is>
      </c>
      <c r="B134" t="inlineStr">
        <is>
          <t>Phase 1 - B2B now</t>
        </is>
      </c>
      <c r="C134" t="inlineStr">
        <is>
          <t>Wholesalers / bulk buyers</t>
        </is>
      </c>
      <c r="D134" t="inlineStr">
        <is>
          <t>Wholesale/B2B</t>
        </is>
      </c>
      <c r="E134" t="inlineStr">
        <is>
          <t>Indian staple</t>
        </is>
      </c>
      <c r="F134" t="inlineStr">
        <is>
          <t>Transactional (B2B)</t>
        </is>
      </c>
      <c r="G134" t="inlineStr">
        <is>
          <t>BOFU</t>
        </is>
      </c>
      <c r="H134" t="inlineStr">
        <is>
          <t>UAE</t>
        </is>
      </c>
      <c r="I134" t="inlineStr">
        <is>
          <t>Wholesale landing page</t>
        </is>
      </c>
      <c r="J134" t="inlineStr">
        <is>
          <t>Landing</t>
        </is>
      </c>
      <c r="K134">
        <f>IFERROR(VLOOKUP($A134,'Semrush Import'!$A:$D,2,FALSE),"")</f>
        <v/>
      </c>
      <c r="L134">
        <f>IFERROR(VLOOKUP($A134,'Semrush Import'!$A:$D,3,FALSE),"")</f>
        <v/>
      </c>
      <c r="M134">
        <f>IFERROR(VLOOKUP($A134,'Semrush Import'!$A:$D,4,FALSE),"")</f>
        <v/>
      </c>
      <c r="N134">
        <f>IFERROR(VLOOKUP($A134,'KP Import'!$A:$B,2,FALSE),"")</f>
        <v/>
      </c>
      <c r="O134">
        <f>IF(K134="","",ROUND(K134/(L134+10),1))</f>
        <v/>
      </c>
      <c r="P134">
        <f>IF(O134="","",IF(O134&gt;=20,"A - Go first",IF(O134&gt;=5,"B - Next","C - Later")))</f>
        <v/>
      </c>
      <c r="Q134" t="inlineStr">
        <is>
          <t>To research</t>
        </is>
      </c>
      <c r="R134" t="inlineStr"/>
    </row>
    <row r="135">
      <c r="A135" t="inlineStr">
        <is>
          <t>parboiled rice</t>
        </is>
      </c>
      <c r="B135" t="inlineStr">
        <is>
          <t>Phase 1 - B2B now</t>
        </is>
      </c>
      <c r="C135" t="inlineStr">
        <is>
          <t>Wholesalers / bulk buyers</t>
        </is>
      </c>
      <c r="D135" t="inlineStr">
        <is>
          <t>Core product</t>
        </is>
      </c>
      <c r="E135" t="inlineStr">
        <is>
          <t>Indian staple</t>
        </is>
      </c>
      <c r="F135" t="inlineStr">
        <is>
          <t>Informational/Commercial</t>
        </is>
      </c>
      <c r="G135" t="inlineStr">
        <is>
          <t>TOFU</t>
        </is>
      </c>
      <c r="H135" t="inlineStr">
        <is>
          <t>UAE (generic)</t>
        </is>
      </c>
      <c r="I135" t="inlineStr">
        <is>
          <t>Non-Basmati Rice category</t>
        </is>
      </c>
      <c r="J135" t="inlineStr">
        <is>
          <t>Category</t>
        </is>
      </c>
      <c r="K135">
        <f>IFERROR(VLOOKUP($A135,'Semrush Import'!$A:$D,2,FALSE),"")</f>
        <v/>
      </c>
      <c r="L135">
        <f>IFERROR(VLOOKUP($A135,'Semrush Import'!$A:$D,3,FALSE),"")</f>
        <v/>
      </c>
      <c r="M135">
        <f>IFERROR(VLOOKUP($A135,'Semrush Import'!$A:$D,4,FALSE),"")</f>
        <v/>
      </c>
      <c r="N135">
        <f>IFERROR(VLOOKUP($A135,'KP Import'!$A:$B,2,FALSE),"")</f>
        <v/>
      </c>
      <c r="O135">
        <f>IF(K135="","",ROUND(K135/(L135+10),1))</f>
        <v/>
      </c>
      <c r="P135">
        <f>IF(O135="","",IF(O135&gt;=20,"A - Go first",IF(O135&gt;=5,"B - Next","C - Later")))</f>
        <v/>
      </c>
      <c r="Q135" t="inlineStr">
        <is>
          <t>To research</t>
        </is>
      </c>
      <c r="R135" t="inlineStr"/>
    </row>
    <row r="136">
      <c r="A136" t="inlineStr">
        <is>
          <t>buy parboiled rice online</t>
        </is>
      </c>
      <c r="B136" t="inlineStr">
        <is>
          <t>Phase 2 - B2C (later)</t>
        </is>
      </c>
      <c r="C136" t="inlineStr">
        <is>
          <t>Consumer / household</t>
        </is>
      </c>
      <c r="D136" t="inlineStr">
        <is>
          <t>Transactional</t>
        </is>
      </c>
      <c r="E136" t="inlineStr">
        <is>
          <t>Indian staple</t>
        </is>
      </c>
      <c r="F136" t="inlineStr">
        <is>
          <t>Transactional</t>
        </is>
      </c>
      <c r="G136" t="inlineStr">
        <is>
          <t>BOFU</t>
        </is>
      </c>
      <c r="H136" t="inlineStr">
        <is>
          <t>UAE (generic)</t>
        </is>
      </c>
      <c r="I136" t="inlineStr">
        <is>
          <t>Non-Basmati Rice category</t>
        </is>
      </c>
      <c r="J136" t="inlineStr">
        <is>
          <t>Category</t>
        </is>
      </c>
      <c r="K136">
        <f>IFERROR(VLOOKUP($A136,'Semrush Import'!$A:$D,2,FALSE),"")</f>
        <v/>
      </c>
      <c r="L136">
        <f>IFERROR(VLOOKUP($A136,'Semrush Import'!$A:$D,3,FALSE),"")</f>
        <v/>
      </c>
      <c r="M136">
        <f>IFERROR(VLOOKUP($A136,'Semrush Import'!$A:$D,4,FALSE),"")</f>
        <v/>
      </c>
      <c r="N136">
        <f>IFERROR(VLOOKUP($A136,'KP Import'!$A:$B,2,FALSE),"")</f>
        <v/>
      </c>
      <c r="O136">
        <f>IF(K136="","",ROUND(K136/(L136+10),1))</f>
        <v/>
      </c>
      <c r="P136">
        <f>IF(O136="","",IF(O136&gt;=20,"A - Go first",IF(O136&gt;=5,"B - Next","C - Later")))</f>
        <v/>
      </c>
      <c r="Q136" t="inlineStr">
        <is>
          <t>To research</t>
        </is>
      </c>
      <c r="R136" t="inlineStr"/>
    </row>
    <row r="137">
      <c r="A137" t="inlineStr">
        <is>
          <t>parboiled rice price in uae</t>
        </is>
      </c>
      <c r="B137" t="inlineStr">
        <is>
          <t>Phase 1 - B2B now</t>
        </is>
      </c>
      <c r="C137" t="inlineStr">
        <is>
          <t>Wholesalers / bulk buyers</t>
        </is>
      </c>
      <c r="D137" t="inlineStr">
        <is>
          <t>Price</t>
        </is>
      </c>
      <c r="E137" t="inlineStr">
        <is>
          <t>Indian staple</t>
        </is>
      </c>
      <c r="F137" t="inlineStr">
        <is>
          <t>Commercial/Transactional</t>
        </is>
      </c>
      <c r="G137" t="inlineStr">
        <is>
          <t>MOFU</t>
        </is>
      </c>
      <c r="H137" t="inlineStr">
        <is>
          <t>UAE</t>
        </is>
      </c>
      <c r="I137" t="inlineStr">
        <is>
          <t>Non-Basmati Rice category</t>
        </is>
      </c>
      <c r="J137" t="inlineStr">
        <is>
          <t>Category</t>
        </is>
      </c>
      <c r="K137">
        <f>IFERROR(VLOOKUP($A137,'Semrush Import'!$A:$D,2,FALSE),"")</f>
        <v/>
      </c>
      <c r="L137">
        <f>IFERROR(VLOOKUP($A137,'Semrush Import'!$A:$D,3,FALSE),"")</f>
        <v/>
      </c>
      <c r="M137">
        <f>IFERROR(VLOOKUP($A137,'Semrush Import'!$A:$D,4,FALSE),"")</f>
        <v/>
      </c>
      <c r="N137">
        <f>IFERROR(VLOOKUP($A137,'KP Import'!$A:$B,2,FALSE),"")</f>
        <v/>
      </c>
      <c r="O137">
        <f>IF(K137="","",ROUND(K137/(L137+10),1))</f>
        <v/>
      </c>
      <c r="P137">
        <f>IF(O137="","",IF(O137&gt;=20,"A - Go first",IF(O137&gt;=5,"B - Next","C - Later")))</f>
        <v/>
      </c>
      <c r="Q137" t="inlineStr">
        <is>
          <t>To research</t>
        </is>
      </c>
      <c r="R137" t="inlineStr"/>
    </row>
    <row r="138">
      <c r="A138" t="inlineStr">
        <is>
          <t>parboiled rice price in dubai</t>
        </is>
      </c>
      <c r="B138" t="inlineStr">
        <is>
          <t>Phase 1 - B2B now</t>
        </is>
      </c>
      <c r="C138" t="inlineStr">
        <is>
          <t>Wholesalers / bulk buyers</t>
        </is>
      </c>
      <c r="D138" t="inlineStr">
        <is>
          <t>Price</t>
        </is>
      </c>
      <c r="E138" t="inlineStr">
        <is>
          <t>Indian staple</t>
        </is>
      </c>
      <c r="F138" t="inlineStr">
        <is>
          <t>Commercial/Transactional</t>
        </is>
      </c>
      <c r="G138" t="inlineStr">
        <is>
          <t>MOFU</t>
        </is>
      </c>
      <c r="H138" t="inlineStr">
        <is>
          <t>Dubai</t>
        </is>
      </c>
      <c r="I138" t="inlineStr">
        <is>
          <t>Non-Basmati Rice category</t>
        </is>
      </c>
      <c r="J138" t="inlineStr">
        <is>
          <t>Category</t>
        </is>
      </c>
      <c r="K138">
        <f>IFERROR(VLOOKUP($A138,'Semrush Import'!$A:$D,2,FALSE),"")</f>
        <v/>
      </c>
      <c r="L138">
        <f>IFERROR(VLOOKUP($A138,'Semrush Import'!$A:$D,3,FALSE),"")</f>
        <v/>
      </c>
      <c r="M138">
        <f>IFERROR(VLOOKUP($A138,'Semrush Import'!$A:$D,4,FALSE),"")</f>
        <v/>
      </c>
      <c r="N138">
        <f>IFERROR(VLOOKUP($A138,'KP Import'!$A:$B,2,FALSE),"")</f>
        <v/>
      </c>
      <c r="O138">
        <f>IF(K138="","",ROUND(K138/(L138+10),1))</f>
        <v/>
      </c>
      <c r="P138">
        <f>IF(O138="","",IF(O138&gt;=20,"A - Go first",IF(O138&gt;=5,"B - Next","C - Later")))</f>
        <v/>
      </c>
      <c r="Q138" t="inlineStr">
        <is>
          <t>To research</t>
        </is>
      </c>
      <c r="R138" t="inlineStr"/>
    </row>
    <row r="139">
      <c r="A139" t="inlineStr">
        <is>
          <t>parboiled rice online dubai</t>
        </is>
      </c>
      <c r="B139" t="inlineStr">
        <is>
          <t>Phase 2 - B2C (later)</t>
        </is>
      </c>
      <c r="C139" t="inlineStr">
        <is>
          <t>Consumer / household</t>
        </is>
      </c>
      <c r="D139" t="inlineStr">
        <is>
          <t>Transactional</t>
        </is>
      </c>
      <c r="E139" t="inlineStr">
        <is>
          <t>Indian staple</t>
        </is>
      </c>
      <c r="F139" t="inlineStr">
        <is>
          <t>Transactional</t>
        </is>
      </c>
      <c r="G139" t="inlineStr">
        <is>
          <t>BOFU</t>
        </is>
      </c>
      <c r="H139" t="inlineStr">
        <is>
          <t>Dubai</t>
        </is>
      </c>
      <c r="I139" t="inlineStr">
        <is>
          <t>Non-Basmati Rice category</t>
        </is>
      </c>
      <c r="J139" t="inlineStr">
        <is>
          <t>Category</t>
        </is>
      </c>
      <c r="K139">
        <f>IFERROR(VLOOKUP($A139,'Semrush Import'!$A:$D,2,FALSE),"")</f>
        <v/>
      </c>
      <c r="L139">
        <f>IFERROR(VLOOKUP($A139,'Semrush Import'!$A:$D,3,FALSE),"")</f>
        <v/>
      </c>
      <c r="M139">
        <f>IFERROR(VLOOKUP($A139,'Semrush Import'!$A:$D,4,FALSE),"")</f>
        <v/>
      </c>
      <c r="N139">
        <f>IFERROR(VLOOKUP($A139,'KP Import'!$A:$B,2,FALSE),"")</f>
        <v/>
      </c>
      <c r="O139">
        <f>IF(K139="","",ROUND(K139/(L139+10),1))</f>
        <v/>
      </c>
      <c r="P139">
        <f>IF(O139="","",IF(O139&gt;=20,"A - Go first",IF(O139&gt;=5,"B - Next","C - Later")))</f>
        <v/>
      </c>
      <c r="Q139" t="inlineStr">
        <is>
          <t>To research</t>
        </is>
      </c>
      <c r="R139" t="inlineStr"/>
    </row>
    <row r="140">
      <c r="A140" t="inlineStr">
        <is>
          <t>parboiled rice wholesale dubai</t>
        </is>
      </c>
      <c r="B140" t="inlineStr">
        <is>
          <t>Phase 1 - B2B now</t>
        </is>
      </c>
      <c r="C140" t="inlineStr">
        <is>
          <t>Wholesalers / bulk buyers</t>
        </is>
      </c>
      <c r="D140" t="inlineStr">
        <is>
          <t>Wholesale/B2B</t>
        </is>
      </c>
      <c r="E140" t="inlineStr">
        <is>
          <t>Indian staple</t>
        </is>
      </c>
      <c r="F140" t="inlineStr">
        <is>
          <t>Transactional (B2B)</t>
        </is>
      </c>
      <c r="G140" t="inlineStr">
        <is>
          <t>BOFU</t>
        </is>
      </c>
      <c r="H140" t="inlineStr">
        <is>
          <t>Dubai</t>
        </is>
      </c>
      <c r="I140" t="inlineStr">
        <is>
          <t>Wholesale landing page</t>
        </is>
      </c>
      <c r="J140" t="inlineStr">
        <is>
          <t>Landing</t>
        </is>
      </c>
      <c r="K140">
        <f>IFERROR(VLOOKUP($A140,'Semrush Import'!$A:$D,2,FALSE),"")</f>
        <v/>
      </c>
      <c r="L140">
        <f>IFERROR(VLOOKUP($A140,'Semrush Import'!$A:$D,3,FALSE),"")</f>
        <v/>
      </c>
      <c r="M140">
        <f>IFERROR(VLOOKUP($A140,'Semrush Import'!$A:$D,4,FALSE),"")</f>
        <v/>
      </c>
      <c r="N140">
        <f>IFERROR(VLOOKUP($A140,'KP Import'!$A:$B,2,FALSE),"")</f>
        <v/>
      </c>
      <c r="O140">
        <f>IF(K140="","",ROUND(K140/(L140+10),1))</f>
        <v/>
      </c>
      <c r="P140">
        <f>IF(O140="","",IF(O140&gt;=20,"A - Go first",IF(O140&gt;=5,"B - Next","C - Later")))</f>
        <v/>
      </c>
      <c r="Q140" t="inlineStr">
        <is>
          <t>To research</t>
        </is>
      </c>
      <c r="R140" t="inlineStr"/>
    </row>
    <row r="141">
      <c r="A141" t="inlineStr">
        <is>
          <t>parboiled rice supplier uae</t>
        </is>
      </c>
      <c r="B141" t="inlineStr">
        <is>
          <t>Phase 1 - B2B now</t>
        </is>
      </c>
      <c r="C141" t="inlineStr">
        <is>
          <t>Wholesalers / bulk buyers</t>
        </is>
      </c>
      <c r="D141" t="inlineStr">
        <is>
          <t>Wholesale/B2B</t>
        </is>
      </c>
      <c r="E141" t="inlineStr">
        <is>
          <t>Indian staple</t>
        </is>
      </c>
      <c r="F141" t="inlineStr">
        <is>
          <t>Transactional (B2B)</t>
        </is>
      </c>
      <c r="G141" t="inlineStr">
        <is>
          <t>BOFU</t>
        </is>
      </c>
      <c r="H141" t="inlineStr">
        <is>
          <t>UAE</t>
        </is>
      </c>
      <c r="I141" t="inlineStr">
        <is>
          <t>Wholesale landing page</t>
        </is>
      </c>
      <c r="J141" t="inlineStr">
        <is>
          <t>Landing</t>
        </is>
      </c>
      <c r="K141">
        <f>IFERROR(VLOOKUP($A141,'Semrush Import'!$A:$D,2,FALSE),"")</f>
        <v/>
      </c>
      <c r="L141">
        <f>IFERROR(VLOOKUP($A141,'Semrush Import'!$A:$D,3,FALSE),"")</f>
        <v/>
      </c>
      <c r="M141">
        <f>IFERROR(VLOOKUP($A141,'Semrush Import'!$A:$D,4,FALSE),"")</f>
        <v/>
      </c>
      <c r="N141">
        <f>IFERROR(VLOOKUP($A141,'KP Import'!$A:$B,2,FALSE),"")</f>
        <v/>
      </c>
      <c r="O141">
        <f>IF(K141="","",ROUND(K141/(L141+10),1))</f>
        <v/>
      </c>
      <c r="P141">
        <f>IF(O141="","",IF(O141&gt;=20,"A - Go first",IF(O141&gt;=5,"B - Next","C - Later")))</f>
        <v/>
      </c>
      <c r="Q141" t="inlineStr">
        <is>
          <t>To research</t>
        </is>
      </c>
      <c r="R141" t="inlineStr"/>
    </row>
    <row r="142">
      <c r="A142" t="inlineStr">
        <is>
          <t>long grain white rice</t>
        </is>
      </c>
      <c r="B142" t="inlineStr">
        <is>
          <t>Phase 1 - B2B now</t>
        </is>
      </c>
      <c r="C142" t="inlineStr">
        <is>
          <t>Wholesalers / bulk buyers</t>
        </is>
      </c>
      <c r="D142" t="inlineStr">
        <is>
          <t>Core product</t>
        </is>
      </c>
      <c r="E142" t="inlineStr">
        <is>
          <t>Non-Basmati</t>
        </is>
      </c>
      <c r="F142" t="inlineStr">
        <is>
          <t>Informational/Commercial</t>
        </is>
      </c>
      <c r="G142" t="inlineStr">
        <is>
          <t>TOFU</t>
        </is>
      </c>
      <c r="H142" t="inlineStr">
        <is>
          <t>UAE (generic)</t>
        </is>
      </c>
      <c r="I142" t="inlineStr">
        <is>
          <t>Non-Basmati Rice category</t>
        </is>
      </c>
      <c r="J142" t="inlineStr">
        <is>
          <t>Category</t>
        </is>
      </c>
      <c r="K142">
        <f>IFERROR(VLOOKUP($A142,'Semrush Import'!$A:$D,2,FALSE),"")</f>
        <v/>
      </c>
      <c r="L142">
        <f>IFERROR(VLOOKUP($A142,'Semrush Import'!$A:$D,3,FALSE),"")</f>
        <v/>
      </c>
      <c r="M142">
        <f>IFERROR(VLOOKUP($A142,'Semrush Import'!$A:$D,4,FALSE),"")</f>
        <v/>
      </c>
      <c r="N142">
        <f>IFERROR(VLOOKUP($A142,'KP Import'!$A:$B,2,FALSE),"")</f>
        <v/>
      </c>
      <c r="O142">
        <f>IF(K142="","",ROUND(K142/(L142+10),1))</f>
        <v/>
      </c>
      <c r="P142">
        <f>IF(O142="","",IF(O142&gt;=20,"A - Go first",IF(O142&gt;=5,"B - Next","C - Later")))</f>
        <v/>
      </c>
      <c r="Q142" t="inlineStr">
        <is>
          <t>To research</t>
        </is>
      </c>
      <c r="R142" t="inlineStr"/>
    </row>
    <row r="143">
      <c r="A143" t="inlineStr">
        <is>
          <t>buy long grain white rice online</t>
        </is>
      </c>
      <c r="B143" t="inlineStr">
        <is>
          <t>Phase 2 - B2C (later)</t>
        </is>
      </c>
      <c r="C143" t="inlineStr">
        <is>
          <t>Consumer / household</t>
        </is>
      </c>
      <c r="D143" t="inlineStr">
        <is>
          <t>Transactional</t>
        </is>
      </c>
      <c r="E143" t="inlineStr">
        <is>
          <t>Non-Basmati</t>
        </is>
      </c>
      <c r="F143" t="inlineStr">
        <is>
          <t>Transactional</t>
        </is>
      </c>
      <c r="G143" t="inlineStr">
        <is>
          <t>BOFU</t>
        </is>
      </c>
      <c r="H143" t="inlineStr">
        <is>
          <t>UAE (generic)</t>
        </is>
      </c>
      <c r="I143" t="inlineStr">
        <is>
          <t>Non-Basmati Rice category</t>
        </is>
      </c>
      <c r="J143" t="inlineStr">
        <is>
          <t>Category</t>
        </is>
      </c>
      <c r="K143">
        <f>IFERROR(VLOOKUP($A143,'Semrush Import'!$A:$D,2,FALSE),"")</f>
        <v/>
      </c>
      <c r="L143">
        <f>IFERROR(VLOOKUP($A143,'Semrush Import'!$A:$D,3,FALSE),"")</f>
        <v/>
      </c>
      <c r="M143">
        <f>IFERROR(VLOOKUP($A143,'Semrush Import'!$A:$D,4,FALSE),"")</f>
        <v/>
      </c>
      <c r="N143">
        <f>IFERROR(VLOOKUP($A143,'KP Import'!$A:$B,2,FALSE),"")</f>
        <v/>
      </c>
      <c r="O143">
        <f>IF(K143="","",ROUND(K143/(L143+10),1))</f>
        <v/>
      </c>
      <c r="P143">
        <f>IF(O143="","",IF(O143&gt;=20,"A - Go first",IF(O143&gt;=5,"B - Next","C - Later")))</f>
        <v/>
      </c>
      <c r="Q143" t="inlineStr">
        <is>
          <t>To research</t>
        </is>
      </c>
      <c r="R143" t="inlineStr"/>
    </row>
    <row r="144">
      <c r="A144" t="inlineStr">
        <is>
          <t>long grain white rice price in uae</t>
        </is>
      </c>
      <c r="B144" t="inlineStr">
        <is>
          <t>Phase 1 - B2B now</t>
        </is>
      </c>
      <c r="C144" t="inlineStr">
        <is>
          <t>Wholesalers / bulk buyers</t>
        </is>
      </c>
      <c r="D144" t="inlineStr">
        <is>
          <t>Price</t>
        </is>
      </c>
      <c r="E144" t="inlineStr">
        <is>
          <t>Non-Basmati</t>
        </is>
      </c>
      <c r="F144" t="inlineStr">
        <is>
          <t>Commercial/Transactional</t>
        </is>
      </c>
      <c r="G144" t="inlineStr">
        <is>
          <t>MOFU</t>
        </is>
      </c>
      <c r="H144" t="inlineStr">
        <is>
          <t>UAE</t>
        </is>
      </c>
      <c r="I144" t="inlineStr">
        <is>
          <t>Non-Basmati Rice category</t>
        </is>
      </c>
      <c r="J144" t="inlineStr">
        <is>
          <t>Category</t>
        </is>
      </c>
      <c r="K144">
        <f>IFERROR(VLOOKUP($A144,'Semrush Import'!$A:$D,2,FALSE),"")</f>
        <v/>
      </c>
      <c r="L144">
        <f>IFERROR(VLOOKUP($A144,'Semrush Import'!$A:$D,3,FALSE),"")</f>
        <v/>
      </c>
      <c r="M144">
        <f>IFERROR(VLOOKUP($A144,'Semrush Import'!$A:$D,4,FALSE),"")</f>
        <v/>
      </c>
      <c r="N144">
        <f>IFERROR(VLOOKUP($A144,'KP Import'!$A:$B,2,FALSE),"")</f>
        <v/>
      </c>
      <c r="O144">
        <f>IF(K144="","",ROUND(K144/(L144+10),1))</f>
        <v/>
      </c>
      <c r="P144">
        <f>IF(O144="","",IF(O144&gt;=20,"A - Go first",IF(O144&gt;=5,"B - Next","C - Later")))</f>
        <v/>
      </c>
      <c r="Q144" t="inlineStr">
        <is>
          <t>To research</t>
        </is>
      </c>
      <c r="R144" t="inlineStr"/>
    </row>
    <row r="145">
      <c r="A145" t="inlineStr">
        <is>
          <t>long grain white rice price in dubai</t>
        </is>
      </c>
      <c r="B145" t="inlineStr">
        <is>
          <t>Phase 1 - B2B now</t>
        </is>
      </c>
      <c r="C145" t="inlineStr">
        <is>
          <t>Wholesalers / bulk buyers</t>
        </is>
      </c>
      <c r="D145" t="inlineStr">
        <is>
          <t>Price</t>
        </is>
      </c>
      <c r="E145" t="inlineStr">
        <is>
          <t>Non-Basmati</t>
        </is>
      </c>
      <c r="F145" t="inlineStr">
        <is>
          <t>Commercial/Transactional</t>
        </is>
      </c>
      <c r="G145" t="inlineStr">
        <is>
          <t>MOFU</t>
        </is>
      </c>
      <c r="H145" t="inlineStr">
        <is>
          <t>Dubai</t>
        </is>
      </c>
      <c r="I145" t="inlineStr">
        <is>
          <t>Non-Basmati Rice category</t>
        </is>
      </c>
      <c r="J145" t="inlineStr">
        <is>
          <t>Category</t>
        </is>
      </c>
      <c r="K145">
        <f>IFERROR(VLOOKUP($A145,'Semrush Import'!$A:$D,2,FALSE),"")</f>
        <v/>
      </c>
      <c r="L145">
        <f>IFERROR(VLOOKUP($A145,'Semrush Import'!$A:$D,3,FALSE),"")</f>
        <v/>
      </c>
      <c r="M145">
        <f>IFERROR(VLOOKUP($A145,'Semrush Import'!$A:$D,4,FALSE),"")</f>
        <v/>
      </c>
      <c r="N145">
        <f>IFERROR(VLOOKUP($A145,'KP Import'!$A:$B,2,FALSE),"")</f>
        <v/>
      </c>
      <c r="O145">
        <f>IF(K145="","",ROUND(K145/(L145+10),1))</f>
        <v/>
      </c>
      <c r="P145">
        <f>IF(O145="","",IF(O145&gt;=20,"A - Go first",IF(O145&gt;=5,"B - Next","C - Later")))</f>
        <v/>
      </c>
      <c r="Q145" t="inlineStr">
        <is>
          <t>To research</t>
        </is>
      </c>
      <c r="R145" t="inlineStr"/>
    </row>
    <row r="146">
      <c r="A146" t="inlineStr">
        <is>
          <t>long grain white rice online dubai</t>
        </is>
      </c>
      <c r="B146" t="inlineStr">
        <is>
          <t>Phase 2 - B2C (later)</t>
        </is>
      </c>
      <c r="C146" t="inlineStr">
        <is>
          <t>Consumer / household</t>
        </is>
      </c>
      <c r="D146" t="inlineStr">
        <is>
          <t>Transactional</t>
        </is>
      </c>
      <c r="E146" t="inlineStr">
        <is>
          <t>Non-Basmati</t>
        </is>
      </c>
      <c r="F146" t="inlineStr">
        <is>
          <t>Transactional</t>
        </is>
      </c>
      <c r="G146" t="inlineStr">
        <is>
          <t>BOFU</t>
        </is>
      </c>
      <c r="H146" t="inlineStr">
        <is>
          <t>Dubai</t>
        </is>
      </c>
      <c r="I146" t="inlineStr">
        <is>
          <t>Non-Basmati Rice category</t>
        </is>
      </c>
      <c r="J146" t="inlineStr">
        <is>
          <t>Category</t>
        </is>
      </c>
      <c r="K146">
        <f>IFERROR(VLOOKUP($A146,'Semrush Import'!$A:$D,2,FALSE),"")</f>
        <v/>
      </c>
      <c r="L146">
        <f>IFERROR(VLOOKUP($A146,'Semrush Import'!$A:$D,3,FALSE),"")</f>
        <v/>
      </c>
      <c r="M146">
        <f>IFERROR(VLOOKUP($A146,'Semrush Import'!$A:$D,4,FALSE),"")</f>
        <v/>
      </c>
      <c r="N146">
        <f>IFERROR(VLOOKUP($A146,'KP Import'!$A:$B,2,FALSE),"")</f>
        <v/>
      </c>
      <c r="O146">
        <f>IF(K146="","",ROUND(K146/(L146+10),1))</f>
        <v/>
      </c>
      <c r="P146">
        <f>IF(O146="","",IF(O146&gt;=20,"A - Go first",IF(O146&gt;=5,"B - Next","C - Later")))</f>
        <v/>
      </c>
      <c r="Q146" t="inlineStr">
        <is>
          <t>To research</t>
        </is>
      </c>
      <c r="R146" t="inlineStr"/>
    </row>
    <row r="147">
      <c r="A147" t="inlineStr">
        <is>
          <t>long grain white rice wholesale dubai</t>
        </is>
      </c>
      <c r="B147" t="inlineStr">
        <is>
          <t>Phase 1 - B2B now</t>
        </is>
      </c>
      <c r="C147" t="inlineStr">
        <is>
          <t>Wholesalers / bulk buyers</t>
        </is>
      </c>
      <c r="D147" t="inlineStr">
        <is>
          <t>Wholesale/B2B</t>
        </is>
      </c>
      <c r="E147" t="inlineStr">
        <is>
          <t>Non-Basmati</t>
        </is>
      </c>
      <c r="F147" t="inlineStr">
        <is>
          <t>Transactional (B2B)</t>
        </is>
      </c>
      <c r="G147" t="inlineStr">
        <is>
          <t>BOFU</t>
        </is>
      </c>
      <c r="H147" t="inlineStr">
        <is>
          <t>Dubai</t>
        </is>
      </c>
      <c r="I147" t="inlineStr">
        <is>
          <t>Wholesale landing page</t>
        </is>
      </c>
      <c r="J147" t="inlineStr">
        <is>
          <t>Landing</t>
        </is>
      </c>
      <c r="K147">
        <f>IFERROR(VLOOKUP($A147,'Semrush Import'!$A:$D,2,FALSE),"")</f>
        <v/>
      </c>
      <c r="L147">
        <f>IFERROR(VLOOKUP($A147,'Semrush Import'!$A:$D,3,FALSE),"")</f>
        <v/>
      </c>
      <c r="M147">
        <f>IFERROR(VLOOKUP($A147,'Semrush Import'!$A:$D,4,FALSE),"")</f>
        <v/>
      </c>
      <c r="N147">
        <f>IFERROR(VLOOKUP($A147,'KP Import'!$A:$B,2,FALSE),"")</f>
        <v/>
      </c>
      <c r="O147">
        <f>IF(K147="","",ROUND(K147/(L147+10),1))</f>
        <v/>
      </c>
      <c r="P147">
        <f>IF(O147="","",IF(O147&gt;=20,"A - Go first",IF(O147&gt;=5,"B - Next","C - Later")))</f>
        <v/>
      </c>
      <c r="Q147" t="inlineStr">
        <is>
          <t>To research</t>
        </is>
      </c>
      <c r="R147" t="inlineStr"/>
    </row>
    <row r="148">
      <c r="A148" t="inlineStr">
        <is>
          <t>long grain white rice supplier uae</t>
        </is>
      </c>
      <c r="B148" t="inlineStr">
        <is>
          <t>Phase 1 - B2B now</t>
        </is>
      </c>
      <c r="C148" t="inlineStr">
        <is>
          <t>Wholesalers / bulk buyers</t>
        </is>
      </c>
      <c r="D148" t="inlineStr">
        <is>
          <t>Wholesale/B2B</t>
        </is>
      </c>
      <c r="E148" t="inlineStr">
        <is>
          <t>Non-Basmati</t>
        </is>
      </c>
      <c r="F148" t="inlineStr">
        <is>
          <t>Transactional (B2B)</t>
        </is>
      </c>
      <c r="G148" t="inlineStr">
        <is>
          <t>BOFU</t>
        </is>
      </c>
      <c r="H148" t="inlineStr">
        <is>
          <t>UAE</t>
        </is>
      </c>
      <c r="I148" t="inlineStr">
        <is>
          <t>Wholesale landing page</t>
        </is>
      </c>
      <c r="J148" t="inlineStr">
        <is>
          <t>Landing</t>
        </is>
      </c>
      <c r="K148">
        <f>IFERROR(VLOOKUP($A148,'Semrush Import'!$A:$D,2,FALSE),"")</f>
        <v/>
      </c>
      <c r="L148">
        <f>IFERROR(VLOOKUP($A148,'Semrush Import'!$A:$D,3,FALSE),"")</f>
        <v/>
      </c>
      <c r="M148">
        <f>IFERROR(VLOOKUP($A148,'Semrush Import'!$A:$D,4,FALSE),"")</f>
        <v/>
      </c>
      <c r="N148">
        <f>IFERROR(VLOOKUP($A148,'KP Import'!$A:$B,2,FALSE),"")</f>
        <v/>
      </c>
      <c r="O148">
        <f>IF(K148="","",ROUND(K148/(L148+10),1))</f>
        <v/>
      </c>
      <c r="P148">
        <f>IF(O148="","",IF(O148&gt;=20,"A - Go first",IF(O148&gt;=5,"B - Next","C - Later")))</f>
        <v/>
      </c>
      <c r="Q148" t="inlineStr">
        <is>
          <t>To research</t>
        </is>
      </c>
      <c r="R148" t="inlineStr"/>
    </row>
    <row r="149">
      <c r="A149" t="inlineStr">
        <is>
          <t>medium grain rice</t>
        </is>
      </c>
      <c r="B149" t="inlineStr">
        <is>
          <t>Phase 1 - B2B now</t>
        </is>
      </c>
      <c r="C149" t="inlineStr">
        <is>
          <t>Wholesalers / bulk buyers</t>
        </is>
      </c>
      <c r="D149" t="inlineStr">
        <is>
          <t>Core product</t>
        </is>
      </c>
      <c r="E149" t="inlineStr">
        <is>
          <t>Non-Basmati</t>
        </is>
      </c>
      <c r="F149" t="inlineStr">
        <is>
          <t>Informational/Commercial</t>
        </is>
      </c>
      <c r="G149" t="inlineStr">
        <is>
          <t>TOFU</t>
        </is>
      </c>
      <c r="H149" t="inlineStr">
        <is>
          <t>UAE (generic)</t>
        </is>
      </c>
      <c r="I149" t="inlineStr">
        <is>
          <t>Non-Basmati Rice category</t>
        </is>
      </c>
      <c r="J149" t="inlineStr">
        <is>
          <t>Category</t>
        </is>
      </c>
      <c r="K149">
        <f>IFERROR(VLOOKUP($A149,'Semrush Import'!$A:$D,2,FALSE),"")</f>
        <v/>
      </c>
      <c r="L149">
        <f>IFERROR(VLOOKUP($A149,'Semrush Import'!$A:$D,3,FALSE),"")</f>
        <v/>
      </c>
      <c r="M149">
        <f>IFERROR(VLOOKUP($A149,'Semrush Import'!$A:$D,4,FALSE),"")</f>
        <v/>
      </c>
      <c r="N149">
        <f>IFERROR(VLOOKUP($A149,'KP Import'!$A:$B,2,FALSE),"")</f>
        <v/>
      </c>
      <c r="O149">
        <f>IF(K149="","",ROUND(K149/(L149+10),1))</f>
        <v/>
      </c>
      <c r="P149">
        <f>IF(O149="","",IF(O149&gt;=20,"A - Go first",IF(O149&gt;=5,"B - Next","C - Later")))</f>
        <v/>
      </c>
      <c r="Q149" t="inlineStr">
        <is>
          <t>To research</t>
        </is>
      </c>
      <c r="R149" t="inlineStr"/>
    </row>
    <row r="150">
      <c r="A150" t="inlineStr">
        <is>
          <t>buy medium grain rice online</t>
        </is>
      </c>
      <c r="B150" t="inlineStr">
        <is>
          <t>Phase 2 - B2C (later)</t>
        </is>
      </c>
      <c r="C150" t="inlineStr">
        <is>
          <t>Consumer / household</t>
        </is>
      </c>
      <c r="D150" t="inlineStr">
        <is>
          <t>Transactional</t>
        </is>
      </c>
      <c r="E150" t="inlineStr">
        <is>
          <t>Non-Basmati</t>
        </is>
      </c>
      <c r="F150" t="inlineStr">
        <is>
          <t>Transactional</t>
        </is>
      </c>
      <c r="G150" t="inlineStr">
        <is>
          <t>BOFU</t>
        </is>
      </c>
      <c r="H150" t="inlineStr">
        <is>
          <t>UAE (generic)</t>
        </is>
      </c>
      <c r="I150" t="inlineStr">
        <is>
          <t>Non-Basmati Rice category</t>
        </is>
      </c>
      <c r="J150" t="inlineStr">
        <is>
          <t>Category</t>
        </is>
      </c>
      <c r="K150">
        <f>IFERROR(VLOOKUP($A150,'Semrush Import'!$A:$D,2,FALSE),"")</f>
        <v/>
      </c>
      <c r="L150">
        <f>IFERROR(VLOOKUP($A150,'Semrush Import'!$A:$D,3,FALSE),"")</f>
        <v/>
      </c>
      <c r="M150">
        <f>IFERROR(VLOOKUP($A150,'Semrush Import'!$A:$D,4,FALSE),"")</f>
        <v/>
      </c>
      <c r="N150">
        <f>IFERROR(VLOOKUP($A150,'KP Import'!$A:$B,2,FALSE),"")</f>
        <v/>
      </c>
      <c r="O150">
        <f>IF(K150="","",ROUND(K150/(L150+10),1))</f>
        <v/>
      </c>
      <c r="P150">
        <f>IF(O150="","",IF(O150&gt;=20,"A - Go first",IF(O150&gt;=5,"B - Next","C - Later")))</f>
        <v/>
      </c>
      <c r="Q150" t="inlineStr">
        <is>
          <t>To research</t>
        </is>
      </c>
      <c r="R150" t="inlineStr"/>
    </row>
    <row r="151">
      <c r="A151" t="inlineStr">
        <is>
          <t>medium grain rice price in uae</t>
        </is>
      </c>
      <c r="B151" t="inlineStr">
        <is>
          <t>Phase 1 - B2B now</t>
        </is>
      </c>
      <c r="C151" t="inlineStr">
        <is>
          <t>Wholesalers / bulk buyers</t>
        </is>
      </c>
      <c r="D151" t="inlineStr">
        <is>
          <t>Price</t>
        </is>
      </c>
      <c r="E151" t="inlineStr">
        <is>
          <t>Non-Basmati</t>
        </is>
      </c>
      <c r="F151" t="inlineStr">
        <is>
          <t>Commercial/Transactional</t>
        </is>
      </c>
      <c r="G151" t="inlineStr">
        <is>
          <t>MOFU</t>
        </is>
      </c>
      <c r="H151" t="inlineStr">
        <is>
          <t>UAE</t>
        </is>
      </c>
      <c r="I151" t="inlineStr">
        <is>
          <t>Non-Basmati Rice category</t>
        </is>
      </c>
      <c r="J151" t="inlineStr">
        <is>
          <t>Category</t>
        </is>
      </c>
      <c r="K151">
        <f>IFERROR(VLOOKUP($A151,'Semrush Import'!$A:$D,2,FALSE),"")</f>
        <v/>
      </c>
      <c r="L151">
        <f>IFERROR(VLOOKUP($A151,'Semrush Import'!$A:$D,3,FALSE),"")</f>
        <v/>
      </c>
      <c r="M151">
        <f>IFERROR(VLOOKUP($A151,'Semrush Import'!$A:$D,4,FALSE),"")</f>
        <v/>
      </c>
      <c r="N151">
        <f>IFERROR(VLOOKUP($A151,'KP Import'!$A:$B,2,FALSE),"")</f>
        <v/>
      </c>
      <c r="O151">
        <f>IF(K151="","",ROUND(K151/(L151+10),1))</f>
        <v/>
      </c>
      <c r="P151">
        <f>IF(O151="","",IF(O151&gt;=20,"A - Go first",IF(O151&gt;=5,"B - Next","C - Later")))</f>
        <v/>
      </c>
      <c r="Q151" t="inlineStr">
        <is>
          <t>To research</t>
        </is>
      </c>
      <c r="R151" t="inlineStr"/>
    </row>
    <row r="152">
      <c r="A152" t="inlineStr">
        <is>
          <t>medium grain rice price in dubai</t>
        </is>
      </c>
      <c r="B152" t="inlineStr">
        <is>
          <t>Phase 1 - B2B now</t>
        </is>
      </c>
      <c r="C152" t="inlineStr">
        <is>
          <t>Wholesalers / bulk buyers</t>
        </is>
      </c>
      <c r="D152" t="inlineStr">
        <is>
          <t>Price</t>
        </is>
      </c>
      <c r="E152" t="inlineStr">
        <is>
          <t>Non-Basmati</t>
        </is>
      </c>
      <c r="F152" t="inlineStr">
        <is>
          <t>Commercial/Transactional</t>
        </is>
      </c>
      <c r="G152" t="inlineStr">
        <is>
          <t>MOFU</t>
        </is>
      </c>
      <c r="H152" t="inlineStr">
        <is>
          <t>Dubai</t>
        </is>
      </c>
      <c r="I152" t="inlineStr">
        <is>
          <t>Non-Basmati Rice category</t>
        </is>
      </c>
      <c r="J152" t="inlineStr">
        <is>
          <t>Category</t>
        </is>
      </c>
      <c r="K152">
        <f>IFERROR(VLOOKUP($A152,'Semrush Import'!$A:$D,2,FALSE),"")</f>
        <v/>
      </c>
      <c r="L152">
        <f>IFERROR(VLOOKUP($A152,'Semrush Import'!$A:$D,3,FALSE),"")</f>
        <v/>
      </c>
      <c r="M152">
        <f>IFERROR(VLOOKUP($A152,'Semrush Import'!$A:$D,4,FALSE),"")</f>
        <v/>
      </c>
      <c r="N152">
        <f>IFERROR(VLOOKUP($A152,'KP Import'!$A:$B,2,FALSE),"")</f>
        <v/>
      </c>
      <c r="O152">
        <f>IF(K152="","",ROUND(K152/(L152+10),1))</f>
        <v/>
      </c>
      <c r="P152">
        <f>IF(O152="","",IF(O152&gt;=20,"A - Go first",IF(O152&gt;=5,"B - Next","C - Later")))</f>
        <v/>
      </c>
      <c r="Q152" t="inlineStr">
        <is>
          <t>To research</t>
        </is>
      </c>
      <c r="R152" t="inlineStr"/>
    </row>
    <row r="153">
      <c r="A153" t="inlineStr">
        <is>
          <t>medium grain rice online dubai</t>
        </is>
      </c>
      <c r="B153" t="inlineStr">
        <is>
          <t>Phase 2 - B2C (later)</t>
        </is>
      </c>
      <c r="C153" t="inlineStr">
        <is>
          <t>Consumer / household</t>
        </is>
      </c>
      <c r="D153" t="inlineStr">
        <is>
          <t>Transactional</t>
        </is>
      </c>
      <c r="E153" t="inlineStr">
        <is>
          <t>Non-Basmati</t>
        </is>
      </c>
      <c r="F153" t="inlineStr">
        <is>
          <t>Transactional</t>
        </is>
      </c>
      <c r="G153" t="inlineStr">
        <is>
          <t>BOFU</t>
        </is>
      </c>
      <c r="H153" t="inlineStr">
        <is>
          <t>Dubai</t>
        </is>
      </c>
      <c r="I153" t="inlineStr">
        <is>
          <t>Non-Basmati Rice category</t>
        </is>
      </c>
      <c r="J153" t="inlineStr">
        <is>
          <t>Category</t>
        </is>
      </c>
      <c r="K153">
        <f>IFERROR(VLOOKUP($A153,'Semrush Import'!$A:$D,2,FALSE),"")</f>
        <v/>
      </c>
      <c r="L153">
        <f>IFERROR(VLOOKUP($A153,'Semrush Import'!$A:$D,3,FALSE),"")</f>
        <v/>
      </c>
      <c r="M153">
        <f>IFERROR(VLOOKUP($A153,'Semrush Import'!$A:$D,4,FALSE),"")</f>
        <v/>
      </c>
      <c r="N153">
        <f>IFERROR(VLOOKUP($A153,'KP Import'!$A:$B,2,FALSE),"")</f>
        <v/>
      </c>
      <c r="O153">
        <f>IF(K153="","",ROUND(K153/(L153+10),1))</f>
        <v/>
      </c>
      <c r="P153">
        <f>IF(O153="","",IF(O153&gt;=20,"A - Go first",IF(O153&gt;=5,"B - Next","C - Later")))</f>
        <v/>
      </c>
      <c r="Q153" t="inlineStr">
        <is>
          <t>To research</t>
        </is>
      </c>
      <c r="R153" t="inlineStr"/>
    </row>
    <row r="154">
      <c r="A154" t="inlineStr">
        <is>
          <t>medium grain rice wholesale dubai</t>
        </is>
      </c>
      <c r="B154" t="inlineStr">
        <is>
          <t>Phase 1 - B2B now</t>
        </is>
      </c>
      <c r="C154" t="inlineStr">
        <is>
          <t>Wholesalers / bulk buyers</t>
        </is>
      </c>
      <c r="D154" t="inlineStr">
        <is>
          <t>Wholesale/B2B</t>
        </is>
      </c>
      <c r="E154" t="inlineStr">
        <is>
          <t>Non-Basmati</t>
        </is>
      </c>
      <c r="F154" t="inlineStr">
        <is>
          <t>Transactional (B2B)</t>
        </is>
      </c>
      <c r="G154" t="inlineStr">
        <is>
          <t>BOFU</t>
        </is>
      </c>
      <c r="H154" t="inlineStr">
        <is>
          <t>Dubai</t>
        </is>
      </c>
      <c r="I154" t="inlineStr">
        <is>
          <t>Wholesale landing page</t>
        </is>
      </c>
      <c r="J154" t="inlineStr">
        <is>
          <t>Landing</t>
        </is>
      </c>
      <c r="K154">
        <f>IFERROR(VLOOKUP($A154,'Semrush Import'!$A:$D,2,FALSE),"")</f>
        <v/>
      </c>
      <c r="L154">
        <f>IFERROR(VLOOKUP($A154,'Semrush Import'!$A:$D,3,FALSE),"")</f>
        <v/>
      </c>
      <c r="M154">
        <f>IFERROR(VLOOKUP($A154,'Semrush Import'!$A:$D,4,FALSE),"")</f>
        <v/>
      </c>
      <c r="N154">
        <f>IFERROR(VLOOKUP($A154,'KP Import'!$A:$B,2,FALSE),"")</f>
        <v/>
      </c>
      <c r="O154">
        <f>IF(K154="","",ROUND(K154/(L154+10),1))</f>
        <v/>
      </c>
      <c r="P154">
        <f>IF(O154="","",IF(O154&gt;=20,"A - Go first",IF(O154&gt;=5,"B - Next","C - Later")))</f>
        <v/>
      </c>
      <c r="Q154" t="inlineStr">
        <is>
          <t>To research</t>
        </is>
      </c>
      <c r="R154" t="inlineStr"/>
    </row>
    <row r="155">
      <c r="A155" t="inlineStr">
        <is>
          <t>medium grain rice supplier uae</t>
        </is>
      </c>
      <c r="B155" t="inlineStr">
        <is>
          <t>Phase 1 - B2B now</t>
        </is>
      </c>
      <c r="C155" t="inlineStr">
        <is>
          <t>Wholesalers / bulk buyers</t>
        </is>
      </c>
      <c r="D155" t="inlineStr">
        <is>
          <t>Wholesale/B2B</t>
        </is>
      </c>
      <c r="E155" t="inlineStr">
        <is>
          <t>Non-Basmati</t>
        </is>
      </c>
      <c r="F155" t="inlineStr">
        <is>
          <t>Transactional (B2B)</t>
        </is>
      </c>
      <c r="G155" t="inlineStr">
        <is>
          <t>BOFU</t>
        </is>
      </c>
      <c r="H155" t="inlineStr">
        <is>
          <t>UAE</t>
        </is>
      </c>
      <c r="I155" t="inlineStr">
        <is>
          <t>Wholesale landing page</t>
        </is>
      </c>
      <c r="J155" t="inlineStr">
        <is>
          <t>Landing</t>
        </is>
      </c>
      <c r="K155">
        <f>IFERROR(VLOOKUP($A155,'Semrush Import'!$A:$D,2,FALSE),"")</f>
        <v/>
      </c>
      <c r="L155">
        <f>IFERROR(VLOOKUP($A155,'Semrush Import'!$A:$D,3,FALSE),"")</f>
        <v/>
      </c>
      <c r="M155">
        <f>IFERROR(VLOOKUP($A155,'Semrush Import'!$A:$D,4,FALSE),"")</f>
        <v/>
      </c>
      <c r="N155">
        <f>IFERROR(VLOOKUP($A155,'KP Import'!$A:$B,2,FALSE),"")</f>
        <v/>
      </c>
      <c r="O155">
        <f>IF(K155="","",ROUND(K155/(L155+10),1))</f>
        <v/>
      </c>
      <c r="P155">
        <f>IF(O155="","",IF(O155&gt;=20,"A - Go first",IF(O155&gt;=5,"B - Next","C - Later")))</f>
        <v/>
      </c>
      <c r="Q155" t="inlineStr">
        <is>
          <t>To research</t>
        </is>
      </c>
      <c r="R155" t="inlineStr"/>
    </row>
    <row r="156">
      <c r="A156" t="inlineStr">
        <is>
          <t>short grain rice</t>
        </is>
      </c>
      <c r="B156" t="inlineStr">
        <is>
          <t>Phase 1 - B2B now</t>
        </is>
      </c>
      <c r="C156" t="inlineStr">
        <is>
          <t>Wholesalers / bulk buyers</t>
        </is>
      </c>
      <c r="D156" t="inlineStr">
        <is>
          <t>Core product</t>
        </is>
      </c>
      <c r="E156" t="inlineStr">
        <is>
          <t>Non-Basmati</t>
        </is>
      </c>
      <c r="F156" t="inlineStr">
        <is>
          <t>Informational/Commercial</t>
        </is>
      </c>
      <c r="G156" t="inlineStr">
        <is>
          <t>TOFU</t>
        </is>
      </c>
      <c r="H156" t="inlineStr">
        <is>
          <t>UAE (generic)</t>
        </is>
      </c>
      <c r="I156" t="inlineStr">
        <is>
          <t>Non-Basmati Rice category</t>
        </is>
      </c>
      <c r="J156" t="inlineStr">
        <is>
          <t>Category</t>
        </is>
      </c>
      <c r="K156">
        <f>IFERROR(VLOOKUP($A156,'Semrush Import'!$A:$D,2,FALSE),"")</f>
        <v/>
      </c>
      <c r="L156">
        <f>IFERROR(VLOOKUP($A156,'Semrush Import'!$A:$D,3,FALSE),"")</f>
        <v/>
      </c>
      <c r="M156">
        <f>IFERROR(VLOOKUP($A156,'Semrush Import'!$A:$D,4,FALSE),"")</f>
        <v/>
      </c>
      <c r="N156">
        <f>IFERROR(VLOOKUP($A156,'KP Import'!$A:$B,2,FALSE),"")</f>
        <v/>
      </c>
      <c r="O156">
        <f>IF(K156="","",ROUND(K156/(L156+10),1))</f>
        <v/>
      </c>
      <c r="P156">
        <f>IF(O156="","",IF(O156&gt;=20,"A - Go first",IF(O156&gt;=5,"B - Next","C - Later")))</f>
        <v/>
      </c>
      <c r="Q156" t="inlineStr">
        <is>
          <t>To research</t>
        </is>
      </c>
      <c r="R156" t="inlineStr"/>
    </row>
    <row r="157">
      <c r="A157" t="inlineStr">
        <is>
          <t>buy short grain rice online</t>
        </is>
      </c>
      <c r="B157" t="inlineStr">
        <is>
          <t>Phase 2 - B2C (later)</t>
        </is>
      </c>
      <c r="C157" t="inlineStr">
        <is>
          <t>Consumer / household</t>
        </is>
      </c>
      <c r="D157" t="inlineStr">
        <is>
          <t>Transactional</t>
        </is>
      </c>
      <c r="E157" t="inlineStr">
        <is>
          <t>Non-Basmati</t>
        </is>
      </c>
      <c r="F157" t="inlineStr">
        <is>
          <t>Transactional</t>
        </is>
      </c>
      <c r="G157" t="inlineStr">
        <is>
          <t>BOFU</t>
        </is>
      </c>
      <c r="H157" t="inlineStr">
        <is>
          <t>UAE (generic)</t>
        </is>
      </c>
      <c r="I157" t="inlineStr">
        <is>
          <t>Non-Basmati Rice category</t>
        </is>
      </c>
      <c r="J157" t="inlineStr">
        <is>
          <t>Category</t>
        </is>
      </c>
      <c r="K157">
        <f>IFERROR(VLOOKUP($A157,'Semrush Import'!$A:$D,2,FALSE),"")</f>
        <v/>
      </c>
      <c r="L157">
        <f>IFERROR(VLOOKUP($A157,'Semrush Import'!$A:$D,3,FALSE),"")</f>
        <v/>
      </c>
      <c r="M157">
        <f>IFERROR(VLOOKUP($A157,'Semrush Import'!$A:$D,4,FALSE),"")</f>
        <v/>
      </c>
      <c r="N157">
        <f>IFERROR(VLOOKUP($A157,'KP Import'!$A:$B,2,FALSE),"")</f>
        <v/>
      </c>
      <c r="O157">
        <f>IF(K157="","",ROUND(K157/(L157+10),1))</f>
        <v/>
      </c>
      <c r="P157">
        <f>IF(O157="","",IF(O157&gt;=20,"A - Go first",IF(O157&gt;=5,"B - Next","C - Later")))</f>
        <v/>
      </c>
      <c r="Q157" t="inlineStr">
        <is>
          <t>To research</t>
        </is>
      </c>
      <c r="R157" t="inlineStr"/>
    </row>
    <row r="158">
      <c r="A158" t="inlineStr">
        <is>
          <t>short grain rice price in uae</t>
        </is>
      </c>
      <c r="B158" t="inlineStr">
        <is>
          <t>Phase 1 - B2B now</t>
        </is>
      </c>
      <c r="C158" t="inlineStr">
        <is>
          <t>Wholesalers / bulk buyers</t>
        </is>
      </c>
      <c r="D158" t="inlineStr">
        <is>
          <t>Price</t>
        </is>
      </c>
      <c r="E158" t="inlineStr">
        <is>
          <t>Non-Basmati</t>
        </is>
      </c>
      <c r="F158" t="inlineStr">
        <is>
          <t>Commercial/Transactional</t>
        </is>
      </c>
      <c r="G158" t="inlineStr">
        <is>
          <t>MOFU</t>
        </is>
      </c>
      <c r="H158" t="inlineStr">
        <is>
          <t>UAE</t>
        </is>
      </c>
      <c r="I158" t="inlineStr">
        <is>
          <t>Non-Basmati Rice category</t>
        </is>
      </c>
      <c r="J158" t="inlineStr">
        <is>
          <t>Category</t>
        </is>
      </c>
      <c r="K158">
        <f>IFERROR(VLOOKUP($A158,'Semrush Import'!$A:$D,2,FALSE),"")</f>
        <v/>
      </c>
      <c r="L158">
        <f>IFERROR(VLOOKUP($A158,'Semrush Import'!$A:$D,3,FALSE),"")</f>
        <v/>
      </c>
      <c r="M158">
        <f>IFERROR(VLOOKUP($A158,'Semrush Import'!$A:$D,4,FALSE),"")</f>
        <v/>
      </c>
      <c r="N158">
        <f>IFERROR(VLOOKUP($A158,'KP Import'!$A:$B,2,FALSE),"")</f>
        <v/>
      </c>
      <c r="O158">
        <f>IF(K158="","",ROUND(K158/(L158+10),1))</f>
        <v/>
      </c>
      <c r="P158">
        <f>IF(O158="","",IF(O158&gt;=20,"A - Go first",IF(O158&gt;=5,"B - Next","C - Later")))</f>
        <v/>
      </c>
      <c r="Q158" t="inlineStr">
        <is>
          <t>To research</t>
        </is>
      </c>
      <c r="R158" t="inlineStr"/>
    </row>
    <row r="159">
      <c r="A159" t="inlineStr">
        <is>
          <t>short grain rice price in dubai</t>
        </is>
      </c>
      <c r="B159" t="inlineStr">
        <is>
          <t>Phase 1 - B2B now</t>
        </is>
      </c>
      <c r="C159" t="inlineStr">
        <is>
          <t>Wholesalers / bulk buyers</t>
        </is>
      </c>
      <c r="D159" t="inlineStr">
        <is>
          <t>Price</t>
        </is>
      </c>
      <c r="E159" t="inlineStr">
        <is>
          <t>Non-Basmati</t>
        </is>
      </c>
      <c r="F159" t="inlineStr">
        <is>
          <t>Commercial/Transactional</t>
        </is>
      </c>
      <c r="G159" t="inlineStr">
        <is>
          <t>MOFU</t>
        </is>
      </c>
      <c r="H159" t="inlineStr">
        <is>
          <t>Dubai</t>
        </is>
      </c>
      <c r="I159" t="inlineStr">
        <is>
          <t>Non-Basmati Rice category</t>
        </is>
      </c>
      <c r="J159" t="inlineStr">
        <is>
          <t>Category</t>
        </is>
      </c>
      <c r="K159">
        <f>IFERROR(VLOOKUP($A159,'Semrush Import'!$A:$D,2,FALSE),"")</f>
        <v/>
      </c>
      <c r="L159">
        <f>IFERROR(VLOOKUP($A159,'Semrush Import'!$A:$D,3,FALSE),"")</f>
        <v/>
      </c>
      <c r="M159">
        <f>IFERROR(VLOOKUP($A159,'Semrush Import'!$A:$D,4,FALSE),"")</f>
        <v/>
      </c>
      <c r="N159">
        <f>IFERROR(VLOOKUP($A159,'KP Import'!$A:$B,2,FALSE),"")</f>
        <v/>
      </c>
      <c r="O159">
        <f>IF(K159="","",ROUND(K159/(L159+10),1))</f>
        <v/>
      </c>
      <c r="P159">
        <f>IF(O159="","",IF(O159&gt;=20,"A - Go first",IF(O159&gt;=5,"B - Next","C - Later")))</f>
        <v/>
      </c>
      <c r="Q159" t="inlineStr">
        <is>
          <t>To research</t>
        </is>
      </c>
      <c r="R159" t="inlineStr"/>
    </row>
    <row r="160">
      <c r="A160" t="inlineStr">
        <is>
          <t>short grain rice online dubai</t>
        </is>
      </c>
      <c r="B160" t="inlineStr">
        <is>
          <t>Phase 2 - B2C (later)</t>
        </is>
      </c>
      <c r="C160" t="inlineStr">
        <is>
          <t>Consumer / household</t>
        </is>
      </c>
      <c r="D160" t="inlineStr">
        <is>
          <t>Transactional</t>
        </is>
      </c>
      <c r="E160" t="inlineStr">
        <is>
          <t>Non-Basmati</t>
        </is>
      </c>
      <c r="F160" t="inlineStr">
        <is>
          <t>Transactional</t>
        </is>
      </c>
      <c r="G160" t="inlineStr">
        <is>
          <t>BOFU</t>
        </is>
      </c>
      <c r="H160" t="inlineStr">
        <is>
          <t>Dubai</t>
        </is>
      </c>
      <c r="I160" t="inlineStr">
        <is>
          <t>Non-Basmati Rice category</t>
        </is>
      </c>
      <c r="J160" t="inlineStr">
        <is>
          <t>Category</t>
        </is>
      </c>
      <c r="K160">
        <f>IFERROR(VLOOKUP($A160,'Semrush Import'!$A:$D,2,FALSE),"")</f>
        <v/>
      </c>
      <c r="L160">
        <f>IFERROR(VLOOKUP($A160,'Semrush Import'!$A:$D,3,FALSE),"")</f>
        <v/>
      </c>
      <c r="M160">
        <f>IFERROR(VLOOKUP($A160,'Semrush Import'!$A:$D,4,FALSE),"")</f>
        <v/>
      </c>
      <c r="N160">
        <f>IFERROR(VLOOKUP($A160,'KP Import'!$A:$B,2,FALSE),"")</f>
        <v/>
      </c>
      <c r="O160">
        <f>IF(K160="","",ROUND(K160/(L160+10),1))</f>
        <v/>
      </c>
      <c r="P160">
        <f>IF(O160="","",IF(O160&gt;=20,"A - Go first",IF(O160&gt;=5,"B - Next","C - Later")))</f>
        <v/>
      </c>
      <c r="Q160" t="inlineStr">
        <is>
          <t>To research</t>
        </is>
      </c>
      <c r="R160" t="inlineStr"/>
    </row>
    <row r="161">
      <c r="A161" t="inlineStr">
        <is>
          <t>short grain rice wholesale dubai</t>
        </is>
      </c>
      <c r="B161" t="inlineStr">
        <is>
          <t>Phase 1 - B2B now</t>
        </is>
      </c>
      <c r="C161" t="inlineStr">
        <is>
          <t>Wholesalers / bulk buyers</t>
        </is>
      </c>
      <c r="D161" t="inlineStr">
        <is>
          <t>Wholesale/B2B</t>
        </is>
      </c>
      <c r="E161" t="inlineStr">
        <is>
          <t>Non-Basmati</t>
        </is>
      </c>
      <c r="F161" t="inlineStr">
        <is>
          <t>Transactional (B2B)</t>
        </is>
      </c>
      <c r="G161" t="inlineStr">
        <is>
          <t>BOFU</t>
        </is>
      </c>
      <c r="H161" t="inlineStr">
        <is>
          <t>Dubai</t>
        </is>
      </c>
      <c r="I161" t="inlineStr">
        <is>
          <t>Wholesale landing page</t>
        </is>
      </c>
      <c r="J161" t="inlineStr">
        <is>
          <t>Landing</t>
        </is>
      </c>
      <c r="K161">
        <f>IFERROR(VLOOKUP($A161,'Semrush Import'!$A:$D,2,FALSE),"")</f>
        <v/>
      </c>
      <c r="L161">
        <f>IFERROR(VLOOKUP($A161,'Semrush Import'!$A:$D,3,FALSE),"")</f>
        <v/>
      </c>
      <c r="M161">
        <f>IFERROR(VLOOKUP($A161,'Semrush Import'!$A:$D,4,FALSE),"")</f>
        <v/>
      </c>
      <c r="N161">
        <f>IFERROR(VLOOKUP($A161,'KP Import'!$A:$B,2,FALSE),"")</f>
        <v/>
      </c>
      <c r="O161">
        <f>IF(K161="","",ROUND(K161/(L161+10),1))</f>
        <v/>
      </c>
      <c r="P161">
        <f>IF(O161="","",IF(O161&gt;=20,"A - Go first",IF(O161&gt;=5,"B - Next","C - Later")))</f>
        <v/>
      </c>
      <c r="Q161" t="inlineStr">
        <is>
          <t>To research</t>
        </is>
      </c>
      <c r="R161" t="inlineStr"/>
    </row>
    <row r="162">
      <c r="A162" t="inlineStr">
        <is>
          <t>short grain rice supplier uae</t>
        </is>
      </c>
      <c r="B162" t="inlineStr">
        <is>
          <t>Phase 1 - B2B now</t>
        </is>
      </c>
      <c r="C162" t="inlineStr">
        <is>
          <t>Wholesalers / bulk buyers</t>
        </is>
      </c>
      <c r="D162" t="inlineStr">
        <is>
          <t>Wholesale/B2B</t>
        </is>
      </c>
      <c r="E162" t="inlineStr">
        <is>
          <t>Non-Basmati</t>
        </is>
      </c>
      <c r="F162" t="inlineStr">
        <is>
          <t>Transactional (B2B)</t>
        </is>
      </c>
      <c r="G162" t="inlineStr">
        <is>
          <t>BOFU</t>
        </is>
      </c>
      <c r="H162" t="inlineStr">
        <is>
          <t>UAE</t>
        </is>
      </c>
      <c r="I162" t="inlineStr">
        <is>
          <t>Wholesale landing page</t>
        </is>
      </c>
      <c r="J162" t="inlineStr">
        <is>
          <t>Landing</t>
        </is>
      </c>
      <c r="K162">
        <f>IFERROR(VLOOKUP($A162,'Semrush Import'!$A:$D,2,FALSE),"")</f>
        <v/>
      </c>
      <c r="L162">
        <f>IFERROR(VLOOKUP($A162,'Semrush Import'!$A:$D,3,FALSE),"")</f>
        <v/>
      </c>
      <c r="M162">
        <f>IFERROR(VLOOKUP($A162,'Semrush Import'!$A:$D,4,FALSE),"")</f>
        <v/>
      </c>
      <c r="N162">
        <f>IFERROR(VLOOKUP($A162,'KP Import'!$A:$B,2,FALSE),"")</f>
        <v/>
      </c>
      <c r="O162">
        <f>IF(K162="","",ROUND(K162/(L162+10),1))</f>
        <v/>
      </c>
      <c r="P162">
        <f>IF(O162="","",IF(O162&gt;=20,"A - Go first",IF(O162&gt;=5,"B - Next","C - Later")))</f>
        <v/>
      </c>
      <c r="Q162" t="inlineStr">
        <is>
          <t>To research</t>
        </is>
      </c>
      <c r="R162" t="inlineStr"/>
    </row>
    <row r="163">
      <c r="A163" t="inlineStr">
        <is>
          <t>sushi rice</t>
        </is>
      </c>
      <c r="B163" t="inlineStr">
        <is>
          <t>Phase 1 - B2B now</t>
        </is>
      </c>
      <c r="C163" t="inlineStr">
        <is>
          <t>Wholesalers / bulk buyers</t>
        </is>
      </c>
      <c r="D163" t="inlineStr">
        <is>
          <t>Core product</t>
        </is>
      </c>
      <c r="E163" t="inlineStr">
        <is>
          <t>Specialty</t>
        </is>
      </c>
      <c r="F163" t="inlineStr">
        <is>
          <t>Informational/Commercial</t>
        </is>
      </c>
      <c r="G163" t="inlineStr">
        <is>
          <t>TOFU</t>
        </is>
      </c>
      <c r="H163" t="inlineStr">
        <is>
          <t>UAE (generic)</t>
        </is>
      </c>
      <c r="I163" t="inlineStr">
        <is>
          <t>Specialty Rice category</t>
        </is>
      </c>
      <c r="J163" t="inlineStr">
        <is>
          <t>Category</t>
        </is>
      </c>
      <c r="K163">
        <f>IFERROR(VLOOKUP($A163,'Semrush Import'!$A:$D,2,FALSE),"")</f>
        <v/>
      </c>
      <c r="L163">
        <f>IFERROR(VLOOKUP($A163,'Semrush Import'!$A:$D,3,FALSE),"")</f>
        <v/>
      </c>
      <c r="M163">
        <f>IFERROR(VLOOKUP($A163,'Semrush Import'!$A:$D,4,FALSE),"")</f>
        <v/>
      </c>
      <c r="N163">
        <f>IFERROR(VLOOKUP($A163,'KP Import'!$A:$B,2,FALSE),"")</f>
        <v/>
      </c>
      <c r="O163">
        <f>IF(K163="","",ROUND(K163/(L163+10),1))</f>
        <v/>
      </c>
      <c r="P163">
        <f>IF(O163="","",IF(O163&gt;=20,"A - Go first",IF(O163&gt;=5,"B - Next","C - Later")))</f>
        <v/>
      </c>
      <c r="Q163" t="inlineStr">
        <is>
          <t>To research</t>
        </is>
      </c>
      <c r="R163" t="inlineStr"/>
    </row>
    <row r="164">
      <c r="A164" t="inlineStr">
        <is>
          <t>buy sushi rice online</t>
        </is>
      </c>
      <c r="B164" t="inlineStr">
        <is>
          <t>Phase 2 - B2C (later)</t>
        </is>
      </c>
      <c r="C164" t="inlineStr">
        <is>
          <t>Consumer / household</t>
        </is>
      </c>
      <c r="D164" t="inlineStr">
        <is>
          <t>Transactional</t>
        </is>
      </c>
      <c r="E164" t="inlineStr">
        <is>
          <t>Specialty</t>
        </is>
      </c>
      <c r="F164" t="inlineStr">
        <is>
          <t>Transactional</t>
        </is>
      </c>
      <c r="G164" t="inlineStr">
        <is>
          <t>BOFU</t>
        </is>
      </c>
      <c r="H164" t="inlineStr">
        <is>
          <t>UAE (generic)</t>
        </is>
      </c>
      <c r="I164" t="inlineStr">
        <is>
          <t>Specialty Rice category</t>
        </is>
      </c>
      <c r="J164" t="inlineStr">
        <is>
          <t>Category</t>
        </is>
      </c>
      <c r="K164">
        <f>IFERROR(VLOOKUP($A164,'Semrush Import'!$A:$D,2,FALSE),"")</f>
        <v/>
      </c>
      <c r="L164">
        <f>IFERROR(VLOOKUP($A164,'Semrush Import'!$A:$D,3,FALSE),"")</f>
        <v/>
      </c>
      <c r="M164">
        <f>IFERROR(VLOOKUP($A164,'Semrush Import'!$A:$D,4,FALSE),"")</f>
        <v/>
      </c>
      <c r="N164">
        <f>IFERROR(VLOOKUP($A164,'KP Import'!$A:$B,2,FALSE),"")</f>
        <v/>
      </c>
      <c r="O164">
        <f>IF(K164="","",ROUND(K164/(L164+10),1))</f>
        <v/>
      </c>
      <c r="P164">
        <f>IF(O164="","",IF(O164&gt;=20,"A - Go first",IF(O164&gt;=5,"B - Next","C - Later")))</f>
        <v/>
      </c>
      <c r="Q164" t="inlineStr">
        <is>
          <t>To research</t>
        </is>
      </c>
      <c r="R164" t="inlineStr"/>
    </row>
    <row r="165">
      <c r="A165" t="inlineStr">
        <is>
          <t>sushi rice price in uae</t>
        </is>
      </c>
      <c r="B165" t="inlineStr">
        <is>
          <t>Phase 1 - B2B now</t>
        </is>
      </c>
      <c r="C165" t="inlineStr">
        <is>
          <t>Wholesalers / bulk buyers</t>
        </is>
      </c>
      <c r="D165" t="inlineStr">
        <is>
          <t>Price</t>
        </is>
      </c>
      <c r="E165" t="inlineStr">
        <is>
          <t>Specialty</t>
        </is>
      </c>
      <c r="F165" t="inlineStr">
        <is>
          <t>Commercial/Transactional</t>
        </is>
      </c>
      <c r="G165" t="inlineStr">
        <is>
          <t>MOFU</t>
        </is>
      </c>
      <c r="H165" t="inlineStr">
        <is>
          <t>UAE</t>
        </is>
      </c>
      <c r="I165" t="inlineStr">
        <is>
          <t>Specialty Rice category</t>
        </is>
      </c>
      <c r="J165" t="inlineStr">
        <is>
          <t>Category</t>
        </is>
      </c>
      <c r="K165">
        <f>IFERROR(VLOOKUP($A165,'Semrush Import'!$A:$D,2,FALSE),"")</f>
        <v/>
      </c>
      <c r="L165">
        <f>IFERROR(VLOOKUP($A165,'Semrush Import'!$A:$D,3,FALSE),"")</f>
        <v/>
      </c>
      <c r="M165">
        <f>IFERROR(VLOOKUP($A165,'Semrush Import'!$A:$D,4,FALSE),"")</f>
        <v/>
      </c>
      <c r="N165">
        <f>IFERROR(VLOOKUP($A165,'KP Import'!$A:$B,2,FALSE),"")</f>
        <v/>
      </c>
      <c r="O165">
        <f>IF(K165="","",ROUND(K165/(L165+10),1))</f>
        <v/>
      </c>
      <c r="P165">
        <f>IF(O165="","",IF(O165&gt;=20,"A - Go first",IF(O165&gt;=5,"B - Next","C - Later")))</f>
        <v/>
      </c>
      <c r="Q165" t="inlineStr">
        <is>
          <t>To research</t>
        </is>
      </c>
      <c r="R165" t="inlineStr"/>
    </row>
    <row r="166">
      <c r="A166" t="inlineStr">
        <is>
          <t>sushi rice price in dubai</t>
        </is>
      </c>
      <c r="B166" t="inlineStr">
        <is>
          <t>Phase 1 - B2B now</t>
        </is>
      </c>
      <c r="C166" t="inlineStr">
        <is>
          <t>Wholesalers / bulk buyers</t>
        </is>
      </c>
      <c r="D166" t="inlineStr">
        <is>
          <t>Price</t>
        </is>
      </c>
      <c r="E166" t="inlineStr">
        <is>
          <t>Specialty</t>
        </is>
      </c>
      <c r="F166" t="inlineStr">
        <is>
          <t>Commercial/Transactional</t>
        </is>
      </c>
      <c r="G166" t="inlineStr">
        <is>
          <t>MOFU</t>
        </is>
      </c>
      <c r="H166" t="inlineStr">
        <is>
          <t>Dubai</t>
        </is>
      </c>
      <c r="I166" t="inlineStr">
        <is>
          <t>Specialty Rice category</t>
        </is>
      </c>
      <c r="J166" t="inlineStr">
        <is>
          <t>Category</t>
        </is>
      </c>
      <c r="K166">
        <f>IFERROR(VLOOKUP($A166,'Semrush Import'!$A:$D,2,FALSE),"")</f>
        <v/>
      </c>
      <c r="L166">
        <f>IFERROR(VLOOKUP($A166,'Semrush Import'!$A:$D,3,FALSE),"")</f>
        <v/>
      </c>
      <c r="M166">
        <f>IFERROR(VLOOKUP($A166,'Semrush Import'!$A:$D,4,FALSE),"")</f>
        <v/>
      </c>
      <c r="N166">
        <f>IFERROR(VLOOKUP($A166,'KP Import'!$A:$B,2,FALSE),"")</f>
        <v/>
      </c>
      <c r="O166">
        <f>IF(K166="","",ROUND(K166/(L166+10),1))</f>
        <v/>
      </c>
      <c r="P166">
        <f>IF(O166="","",IF(O166&gt;=20,"A - Go first",IF(O166&gt;=5,"B - Next","C - Later")))</f>
        <v/>
      </c>
      <c r="Q166" t="inlineStr">
        <is>
          <t>To research</t>
        </is>
      </c>
      <c r="R166" t="inlineStr"/>
    </row>
    <row r="167">
      <c r="A167" t="inlineStr">
        <is>
          <t>sushi rice online dubai</t>
        </is>
      </c>
      <c r="B167" t="inlineStr">
        <is>
          <t>Phase 2 - B2C (later)</t>
        </is>
      </c>
      <c r="C167" t="inlineStr">
        <is>
          <t>Consumer / household</t>
        </is>
      </c>
      <c r="D167" t="inlineStr">
        <is>
          <t>Transactional</t>
        </is>
      </c>
      <c r="E167" t="inlineStr">
        <is>
          <t>Specialty</t>
        </is>
      </c>
      <c r="F167" t="inlineStr">
        <is>
          <t>Transactional</t>
        </is>
      </c>
      <c r="G167" t="inlineStr">
        <is>
          <t>BOFU</t>
        </is>
      </c>
      <c r="H167" t="inlineStr">
        <is>
          <t>Dubai</t>
        </is>
      </c>
      <c r="I167" t="inlineStr">
        <is>
          <t>Specialty Rice category</t>
        </is>
      </c>
      <c r="J167" t="inlineStr">
        <is>
          <t>Category</t>
        </is>
      </c>
      <c r="K167">
        <f>IFERROR(VLOOKUP($A167,'Semrush Import'!$A:$D,2,FALSE),"")</f>
        <v/>
      </c>
      <c r="L167">
        <f>IFERROR(VLOOKUP($A167,'Semrush Import'!$A:$D,3,FALSE),"")</f>
        <v/>
      </c>
      <c r="M167">
        <f>IFERROR(VLOOKUP($A167,'Semrush Import'!$A:$D,4,FALSE),"")</f>
        <v/>
      </c>
      <c r="N167">
        <f>IFERROR(VLOOKUP($A167,'KP Import'!$A:$B,2,FALSE),"")</f>
        <v/>
      </c>
      <c r="O167">
        <f>IF(K167="","",ROUND(K167/(L167+10),1))</f>
        <v/>
      </c>
      <c r="P167">
        <f>IF(O167="","",IF(O167&gt;=20,"A - Go first",IF(O167&gt;=5,"B - Next","C - Later")))</f>
        <v/>
      </c>
      <c r="Q167" t="inlineStr">
        <is>
          <t>To research</t>
        </is>
      </c>
      <c r="R167" t="inlineStr"/>
    </row>
    <row r="168">
      <c r="A168" t="inlineStr">
        <is>
          <t>sushi rice wholesale dubai</t>
        </is>
      </c>
      <c r="B168" t="inlineStr">
        <is>
          <t>Phase 1 - B2B now</t>
        </is>
      </c>
      <c r="C168" t="inlineStr">
        <is>
          <t>Wholesalers / bulk buyers</t>
        </is>
      </c>
      <c r="D168" t="inlineStr">
        <is>
          <t>Wholesale/B2B</t>
        </is>
      </c>
      <c r="E168" t="inlineStr">
        <is>
          <t>Specialty</t>
        </is>
      </c>
      <c r="F168" t="inlineStr">
        <is>
          <t>Transactional (B2B)</t>
        </is>
      </c>
      <c r="G168" t="inlineStr">
        <is>
          <t>BOFU</t>
        </is>
      </c>
      <c r="H168" t="inlineStr">
        <is>
          <t>Dubai</t>
        </is>
      </c>
      <c r="I168" t="inlineStr">
        <is>
          <t>Wholesale landing page</t>
        </is>
      </c>
      <c r="J168" t="inlineStr">
        <is>
          <t>Landing</t>
        </is>
      </c>
      <c r="K168">
        <f>IFERROR(VLOOKUP($A168,'Semrush Import'!$A:$D,2,FALSE),"")</f>
        <v/>
      </c>
      <c r="L168">
        <f>IFERROR(VLOOKUP($A168,'Semrush Import'!$A:$D,3,FALSE),"")</f>
        <v/>
      </c>
      <c r="M168">
        <f>IFERROR(VLOOKUP($A168,'Semrush Import'!$A:$D,4,FALSE),"")</f>
        <v/>
      </c>
      <c r="N168">
        <f>IFERROR(VLOOKUP($A168,'KP Import'!$A:$B,2,FALSE),"")</f>
        <v/>
      </c>
      <c r="O168">
        <f>IF(K168="","",ROUND(K168/(L168+10),1))</f>
        <v/>
      </c>
      <c r="P168">
        <f>IF(O168="","",IF(O168&gt;=20,"A - Go first",IF(O168&gt;=5,"B - Next","C - Later")))</f>
        <v/>
      </c>
      <c r="Q168" t="inlineStr">
        <is>
          <t>To research</t>
        </is>
      </c>
      <c r="R168" t="inlineStr"/>
    </row>
    <row r="169">
      <c r="A169" t="inlineStr">
        <is>
          <t>sushi rice supplier uae</t>
        </is>
      </c>
      <c r="B169" t="inlineStr">
        <is>
          <t>Phase 1 - B2B now</t>
        </is>
      </c>
      <c r="C169" t="inlineStr">
        <is>
          <t>Wholesalers / bulk buyers</t>
        </is>
      </c>
      <c r="D169" t="inlineStr">
        <is>
          <t>Wholesale/B2B</t>
        </is>
      </c>
      <c r="E169" t="inlineStr">
        <is>
          <t>Specialty</t>
        </is>
      </c>
      <c r="F169" t="inlineStr">
        <is>
          <t>Transactional (B2B)</t>
        </is>
      </c>
      <c r="G169" t="inlineStr">
        <is>
          <t>BOFU</t>
        </is>
      </c>
      <c r="H169" t="inlineStr">
        <is>
          <t>UAE</t>
        </is>
      </c>
      <c r="I169" t="inlineStr">
        <is>
          <t>Wholesale landing page</t>
        </is>
      </c>
      <c r="J169" t="inlineStr">
        <is>
          <t>Landing</t>
        </is>
      </c>
      <c r="K169">
        <f>IFERROR(VLOOKUP($A169,'Semrush Import'!$A:$D,2,FALSE),"")</f>
        <v/>
      </c>
      <c r="L169">
        <f>IFERROR(VLOOKUP($A169,'Semrush Import'!$A:$D,3,FALSE),"")</f>
        <v/>
      </c>
      <c r="M169">
        <f>IFERROR(VLOOKUP($A169,'Semrush Import'!$A:$D,4,FALSE),"")</f>
        <v/>
      </c>
      <c r="N169">
        <f>IFERROR(VLOOKUP($A169,'KP Import'!$A:$B,2,FALSE),"")</f>
        <v/>
      </c>
      <c r="O169">
        <f>IF(K169="","",ROUND(K169/(L169+10),1))</f>
        <v/>
      </c>
      <c r="P169">
        <f>IF(O169="","",IF(O169&gt;=20,"A - Go first",IF(O169&gt;=5,"B - Next","C - Later")))</f>
        <v/>
      </c>
      <c r="Q169" t="inlineStr">
        <is>
          <t>To research</t>
        </is>
      </c>
      <c r="R169" t="inlineStr"/>
    </row>
    <row r="170">
      <c r="A170" t="inlineStr">
        <is>
          <t>arborio rice</t>
        </is>
      </c>
      <c r="B170" t="inlineStr">
        <is>
          <t>Phase 1 - B2B now</t>
        </is>
      </c>
      <c r="C170" t="inlineStr">
        <is>
          <t>Wholesalers / bulk buyers</t>
        </is>
      </c>
      <c r="D170" t="inlineStr">
        <is>
          <t>Core product</t>
        </is>
      </c>
      <c r="E170" t="inlineStr">
        <is>
          <t>Specialty</t>
        </is>
      </c>
      <c r="F170" t="inlineStr">
        <is>
          <t>Informational/Commercial</t>
        </is>
      </c>
      <c r="G170" t="inlineStr">
        <is>
          <t>TOFU</t>
        </is>
      </c>
      <c r="H170" t="inlineStr">
        <is>
          <t>UAE (generic)</t>
        </is>
      </c>
      <c r="I170" t="inlineStr">
        <is>
          <t>Specialty Rice category</t>
        </is>
      </c>
      <c r="J170" t="inlineStr">
        <is>
          <t>Category</t>
        </is>
      </c>
      <c r="K170">
        <f>IFERROR(VLOOKUP($A170,'Semrush Import'!$A:$D,2,FALSE),"")</f>
        <v/>
      </c>
      <c r="L170">
        <f>IFERROR(VLOOKUP($A170,'Semrush Import'!$A:$D,3,FALSE),"")</f>
        <v/>
      </c>
      <c r="M170">
        <f>IFERROR(VLOOKUP($A170,'Semrush Import'!$A:$D,4,FALSE),"")</f>
        <v/>
      </c>
      <c r="N170">
        <f>IFERROR(VLOOKUP($A170,'KP Import'!$A:$B,2,FALSE),"")</f>
        <v/>
      </c>
      <c r="O170">
        <f>IF(K170="","",ROUND(K170/(L170+10),1))</f>
        <v/>
      </c>
      <c r="P170">
        <f>IF(O170="","",IF(O170&gt;=20,"A - Go first",IF(O170&gt;=5,"B - Next","C - Later")))</f>
        <v/>
      </c>
      <c r="Q170" t="inlineStr">
        <is>
          <t>To research</t>
        </is>
      </c>
      <c r="R170" t="inlineStr"/>
    </row>
    <row r="171">
      <c r="A171" t="inlineStr">
        <is>
          <t>buy arborio rice online</t>
        </is>
      </c>
      <c r="B171" t="inlineStr">
        <is>
          <t>Phase 2 - B2C (later)</t>
        </is>
      </c>
      <c r="C171" t="inlineStr">
        <is>
          <t>Consumer / household</t>
        </is>
      </c>
      <c r="D171" t="inlineStr">
        <is>
          <t>Transactional</t>
        </is>
      </c>
      <c r="E171" t="inlineStr">
        <is>
          <t>Specialty</t>
        </is>
      </c>
      <c r="F171" t="inlineStr">
        <is>
          <t>Transactional</t>
        </is>
      </c>
      <c r="G171" t="inlineStr">
        <is>
          <t>BOFU</t>
        </is>
      </c>
      <c r="H171" t="inlineStr">
        <is>
          <t>UAE (generic)</t>
        </is>
      </c>
      <c r="I171" t="inlineStr">
        <is>
          <t>Specialty Rice category</t>
        </is>
      </c>
      <c r="J171" t="inlineStr">
        <is>
          <t>Category</t>
        </is>
      </c>
      <c r="K171">
        <f>IFERROR(VLOOKUP($A171,'Semrush Import'!$A:$D,2,FALSE),"")</f>
        <v/>
      </c>
      <c r="L171">
        <f>IFERROR(VLOOKUP($A171,'Semrush Import'!$A:$D,3,FALSE),"")</f>
        <v/>
      </c>
      <c r="M171">
        <f>IFERROR(VLOOKUP($A171,'Semrush Import'!$A:$D,4,FALSE),"")</f>
        <v/>
      </c>
      <c r="N171">
        <f>IFERROR(VLOOKUP($A171,'KP Import'!$A:$B,2,FALSE),"")</f>
        <v/>
      </c>
      <c r="O171">
        <f>IF(K171="","",ROUND(K171/(L171+10),1))</f>
        <v/>
      </c>
      <c r="P171">
        <f>IF(O171="","",IF(O171&gt;=20,"A - Go first",IF(O171&gt;=5,"B - Next","C - Later")))</f>
        <v/>
      </c>
      <c r="Q171" t="inlineStr">
        <is>
          <t>To research</t>
        </is>
      </c>
      <c r="R171" t="inlineStr"/>
    </row>
    <row r="172">
      <c r="A172" t="inlineStr">
        <is>
          <t>arborio rice price in uae</t>
        </is>
      </c>
      <c r="B172" t="inlineStr">
        <is>
          <t>Phase 1 - B2B now</t>
        </is>
      </c>
      <c r="C172" t="inlineStr">
        <is>
          <t>Wholesalers / bulk buyers</t>
        </is>
      </c>
      <c r="D172" t="inlineStr">
        <is>
          <t>Price</t>
        </is>
      </c>
      <c r="E172" t="inlineStr">
        <is>
          <t>Specialty</t>
        </is>
      </c>
      <c r="F172" t="inlineStr">
        <is>
          <t>Commercial/Transactional</t>
        </is>
      </c>
      <c r="G172" t="inlineStr">
        <is>
          <t>MOFU</t>
        </is>
      </c>
      <c r="H172" t="inlineStr">
        <is>
          <t>UAE</t>
        </is>
      </c>
      <c r="I172" t="inlineStr">
        <is>
          <t>Specialty Rice category</t>
        </is>
      </c>
      <c r="J172" t="inlineStr">
        <is>
          <t>Category</t>
        </is>
      </c>
      <c r="K172">
        <f>IFERROR(VLOOKUP($A172,'Semrush Import'!$A:$D,2,FALSE),"")</f>
        <v/>
      </c>
      <c r="L172">
        <f>IFERROR(VLOOKUP($A172,'Semrush Import'!$A:$D,3,FALSE),"")</f>
        <v/>
      </c>
      <c r="M172">
        <f>IFERROR(VLOOKUP($A172,'Semrush Import'!$A:$D,4,FALSE),"")</f>
        <v/>
      </c>
      <c r="N172">
        <f>IFERROR(VLOOKUP($A172,'KP Import'!$A:$B,2,FALSE),"")</f>
        <v/>
      </c>
      <c r="O172">
        <f>IF(K172="","",ROUND(K172/(L172+10),1))</f>
        <v/>
      </c>
      <c r="P172">
        <f>IF(O172="","",IF(O172&gt;=20,"A - Go first",IF(O172&gt;=5,"B - Next","C - Later")))</f>
        <v/>
      </c>
      <c r="Q172" t="inlineStr">
        <is>
          <t>To research</t>
        </is>
      </c>
      <c r="R172" t="inlineStr"/>
    </row>
    <row r="173">
      <c r="A173" t="inlineStr">
        <is>
          <t>arborio rice price in dubai</t>
        </is>
      </c>
      <c r="B173" t="inlineStr">
        <is>
          <t>Phase 1 - B2B now</t>
        </is>
      </c>
      <c r="C173" t="inlineStr">
        <is>
          <t>Wholesalers / bulk buyers</t>
        </is>
      </c>
      <c r="D173" t="inlineStr">
        <is>
          <t>Price</t>
        </is>
      </c>
      <c r="E173" t="inlineStr">
        <is>
          <t>Specialty</t>
        </is>
      </c>
      <c r="F173" t="inlineStr">
        <is>
          <t>Commercial/Transactional</t>
        </is>
      </c>
      <c r="G173" t="inlineStr">
        <is>
          <t>MOFU</t>
        </is>
      </c>
      <c r="H173" t="inlineStr">
        <is>
          <t>Dubai</t>
        </is>
      </c>
      <c r="I173" t="inlineStr">
        <is>
          <t>Specialty Rice category</t>
        </is>
      </c>
      <c r="J173" t="inlineStr">
        <is>
          <t>Category</t>
        </is>
      </c>
      <c r="K173">
        <f>IFERROR(VLOOKUP($A173,'Semrush Import'!$A:$D,2,FALSE),"")</f>
        <v/>
      </c>
      <c r="L173">
        <f>IFERROR(VLOOKUP($A173,'Semrush Import'!$A:$D,3,FALSE),"")</f>
        <v/>
      </c>
      <c r="M173">
        <f>IFERROR(VLOOKUP($A173,'Semrush Import'!$A:$D,4,FALSE),"")</f>
        <v/>
      </c>
      <c r="N173">
        <f>IFERROR(VLOOKUP($A173,'KP Import'!$A:$B,2,FALSE),"")</f>
        <v/>
      </c>
      <c r="O173">
        <f>IF(K173="","",ROUND(K173/(L173+10),1))</f>
        <v/>
      </c>
      <c r="P173">
        <f>IF(O173="","",IF(O173&gt;=20,"A - Go first",IF(O173&gt;=5,"B - Next","C - Later")))</f>
        <v/>
      </c>
      <c r="Q173" t="inlineStr">
        <is>
          <t>To research</t>
        </is>
      </c>
      <c r="R173" t="inlineStr"/>
    </row>
    <row r="174">
      <c r="A174" t="inlineStr">
        <is>
          <t>arborio rice online dubai</t>
        </is>
      </c>
      <c r="B174" t="inlineStr">
        <is>
          <t>Phase 2 - B2C (later)</t>
        </is>
      </c>
      <c r="C174" t="inlineStr">
        <is>
          <t>Consumer / household</t>
        </is>
      </c>
      <c r="D174" t="inlineStr">
        <is>
          <t>Transactional</t>
        </is>
      </c>
      <c r="E174" t="inlineStr">
        <is>
          <t>Specialty</t>
        </is>
      </c>
      <c r="F174" t="inlineStr">
        <is>
          <t>Transactional</t>
        </is>
      </c>
      <c r="G174" t="inlineStr">
        <is>
          <t>BOFU</t>
        </is>
      </c>
      <c r="H174" t="inlineStr">
        <is>
          <t>Dubai</t>
        </is>
      </c>
      <c r="I174" t="inlineStr">
        <is>
          <t>Specialty Rice category</t>
        </is>
      </c>
      <c r="J174" t="inlineStr">
        <is>
          <t>Category</t>
        </is>
      </c>
      <c r="K174">
        <f>IFERROR(VLOOKUP($A174,'Semrush Import'!$A:$D,2,FALSE),"")</f>
        <v/>
      </c>
      <c r="L174">
        <f>IFERROR(VLOOKUP($A174,'Semrush Import'!$A:$D,3,FALSE),"")</f>
        <v/>
      </c>
      <c r="M174">
        <f>IFERROR(VLOOKUP($A174,'Semrush Import'!$A:$D,4,FALSE),"")</f>
        <v/>
      </c>
      <c r="N174">
        <f>IFERROR(VLOOKUP($A174,'KP Import'!$A:$B,2,FALSE),"")</f>
        <v/>
      </c>
      <c r="O174">
        <f>IF(K174="","",ROUND(K174/(L174+10),1))</f>
        <v/>
      </c>
      <c r="P174">
        <f>IF(O174="","",IF(O174&gt;=20,"A - Go first",IF(O174&gt;=5,"B - Next","C - Later")))</f>
        <v/>
      </c>
      <c r="Q174" t="inlineStr">
        <is>
          <t>To research</t>
        </is>
      </c>
      <c r="R174" t="inlineStr"/>
    </row>
    <row r="175">
      <c r="A175" t="inlineStr">
        <is>
          <t>arborio rice wholesale dubai</t>
        </is>
      </c>
      <c r="B175" t="inlineStr">
        <is>
          <t>Phase 1 - B2B now</t>
        </is>
      </c>
      <c r="C175" t="inlineStr">
        <is>
          <t>Wholesalers / bulk buyers</t>
        </is>
      </c>
      <c r="D175" t="inlineStr">
        <is>
          <t>Wholesale/B2B</t>
        </is>
      </c>
      <c r="E175" t="inlineStr">
        <is>
          <t>Specialty</t>
        </is>
      </c>
      <c r="F175" t="inlineStr">
        <is>
          <t>Transactional (B2B)</t>
        </is>
      </c>
      <c r="G175" t="inlineStr">
        <is>
          <t>BOFU</t>
        </is>
      </c>
      <c r="H175" t="inlineStr">
        <is>
          <t>Dubai</t>
        </is>
      </c>
      <c r="I175" t="inlineStr">
        <is>
          <t>Wholesale landing page</t>
        </is>
      </c>
      <c r="J175" t="inlineStr">
        <is>
          <t>Landing</t>
        </is>
      </c>
      <c r="K175">
        <f>IFERROR(VLOOKUP($A175,'Semrush Import'!$A:$D,2,FALSE),"")</f>
        <v/>
      </c>
      <c r="L175">
        <f>IFERROR(VLOOKUP($A175,'Semrush Import'!$A:$D,3,FALSE),"")</f>
        <v/>
      </c>
      <c r="M175">
        <f>IFERROR(VLOOKUP($A175,'Semrush Import'!$A:$D,4,FALSE),"")</f>
        <v/>
      </c>
      <c r="N175">
        <f>IFERROR(VLOOKUP($A175,'KP Import'!$A:$B,2,FALSE),"")</f>
        <v/>
      </c>
      <c r="O175">
        <f>IF(K175="","",ROUND(K175/(L175+10),1))</f>
        <v/>
      </c>
      <c r="P175">
        <f>IF(O175="","",IF(O175&gt;=20,"A - Go first",IF(O175&gt;=5,"B - Next","C - Later")))</f>
        <v/>
      </c>
      <c r="Q175" t="inlineStr">
        <is>
          <t>To research</t>
        </is>
      </c>
      <c r="R175" t="inlineStr"/>
    </row>
    <row r="176">
      <c r="A176" t="inlineStr">
        <is>
          <t>arborio rice supplier uae</t>
        </is>
      </c>
      <c r="B176" t="inlineStr">
        <is>
          <t>Phase 1 - B2B now</t>
        </is>
      </c>
      <c r="C176" t="inlineStr">
        <is>
          <t>Wholesalers / bulk buyers</t>
        </is>
      </c>
      <c r="D176" t="inlineStr">
        <is>
          <t>Wholesale/B2B</t>
        </is>
      </c>
      <c r="E176" t="inlineStr">
        <is>
          <t>Specialty</t>
        </is>
      </c>
      <c r="F176" t="inlineStr">
        <is>
          <t>Transactional (B2B)</t>
        </is>
      </c>
      <c r="G176" t="inlineStr">
        <is>
          <t>BOFU</t>
        </is>
      </c>
      <c r="H176" t="inlineStr">
        <is>
          <t>UAE</t>
        </is>
      </c>
      <c r="I176" t="inlineStr">
        <is>
          <t>Wholesale landing page</t>
        </is>
      </c>
      <c r="J176" t="inlineStr">
        <is>
          <t>Landing</t>
        </is>
      </c>
      <c r="K176">
        <f>IFERROR(VLOOKUP($A176,'Semrush Import'!$A:$D,2,FALSE),"")</f>
        <v/>
      </c>
      <c r="L176">
        <f>IFERROR(VLOOKUP($A176,'Semrush Import'!$A:$D,3,FALSE),"")</f>
        <v/>
      </c>
      <c r="M176">
        <f>IFERROR(VLOOKUP($A176,'Semrush Import'!$A:$D,4,FALSE),"")</f>
        <v/>
      </c>
      <c r="N176">
        <f>IFERROR(VLOOKUP($A176,'KP Import'!$A:$B,2,FALSE),"")</f>
        <v/>
      </c>
      <c r="O176">
        <f>IF(K176="","",ROUND(K176/(L176+10),1))</f>
        <v/>
      </c>
      <c r="P176">
        <f>IF(O176="","",IF(O176&gt;=20,"A - Go first",IF(O176&gt;=5,"B - Next","C - Later")))</f>
        <v/>
      </c>
      <c r="Q176" t="inlineStr">
        <is>
          <t>To research</t>
        </is>
      </c>
      <c r="R176" t="inlineStr"/>
    </row>
    <row r="177">
      <c r="A177" t="inlineStr">
        <is>
          <t>brown rice</t>
        </is>
      </c>
      <c r="B177" t="inlineStr">
        <is>
          <t>Phase 1 - B2B now</t>
        </is>
      </c>
      <c r="C177" t="inlineStr">
        <is>
          <t>Wholesalers / bulk buyers</t>
        </is>
      </c>
      <c r="D177" t="inlineStr">
        <is>
          <t>Core product</t>
        </is>
      </c>
      <c r="E177" t="inlineStr">
        <is>
          <t>Healthy</t>
        </is>
      </c>
      <c r="F177" t="inlineStr">
        <is>
          <t>Informational/Commercial</t>
        </is>
      </c>
      <c r="G177" t="inlineStr">
        <is>
          <t>TOFU</t>
        </is>
      </c>
      <c r="H177" t="inlineStr">
        <is>
          <t>UAE (generic)</t>
        </is>
      </c>
      <c r="I177" t="inlineStr">
        <is>
          <t>Brown Rice category</t>
        </is>
      </c>
      <c r="J177" t="inlineStr">
        <is>
          <t>Category</t>
        </is>
      </c>
      <c r="K177">
        <f>IFERROR(VLOOKUP($A177,'Semrush Import'!$A:$D,2,FALSE),"")</f>
        <v/>
      </c>
      <c r="L177">
        <f>IFERROR(VLOOKUP($A177,'Semrush Import'!$A:$D,3,FALSE),"")</f>
        <v/>
      </c>
      <c r="M177">
        <f>IFERROR(VLOOKUP($A177,'Semrush Import'!$A:$D,4,FALSE),"")</f>
        <v/>
      </c>
      <c r="N177">
        <f>IFERROR(VLOOKUP($A177,'KP Import'!$A:$B,2,FALSE),"")</f>
        <v/>
      </c>
      <c r="O177">
        <f>IF(K177="","",ROUND(K177/(L177+10),1))</f>
        <v/>
      </c>
      <c r="P177">
        <f>IF(O177="","",IF(O177&gt;=20,"A - Go first",IF(O177&gt;=5,"B - Next","C - Later")))</f>
        <v/>
      </c>
      <c r="Q177" t="inlineStr">
        <is>
          <t>To research</t>
        </is>
      </c>
      <c r="R177" t="inlineStr"/>
    </row>
    <row r="178">
      <c r="A178" t="inlineStr">
        <is>
          <t>buy brown rice online</t>
        </is>
      </c>
      <c r="B178" t="inlineStr">
        <is>
          <t>Phase 2 - B2C (later)</t>
        </is>
      </c>
      <c r="C178" t="inlineStr">
        <is>
          <t>Consumer / household</t>
        </is>
      </c>
      <c r="D178" t="inlineStr">
        <is>
          <t>Transactional</t>
        </is>
      </c>
      <c r="E178" t="inlineStr">
        <is>
          <t>Healthy</t>
        </is>
      </c>
      <c r="F178" t="inlineStr">
        <is>
          <t>Transactional</t>
        </is>
      </c>
      <c r="G178" t="inlineStr">
        <is>
          <t>BOFU</t>
        </is>
      </c>
      <c r="H178" t="inlineStr">
        <is>
          <t>UAE (generic)</t>
        </is>
      </c>
      <c r="I178" t="inlineStr">
        <is>
          <t>Brown Rice category</t>
        </is>
      </c>
      <c r="J178" t="inlineStr">
        <is>
          <t>Category</t>
        </is>
      </c>
      <c r="K178">
        <f>IFERROR(VLOOKUP($A178,'Semrush Import'!$A:$D,2,FALSE),"")</f>
        <v/>
      </c>
      <c r="L178">
        <f>IFERROR(VLOOKUP($A178,'Semrush Import'!$A:$D,3,FALSE),"")</f>
        <v/>
      </c>
      <c r="M178">
        <f>IFERROR(VLOOKUP($A178,'Semrush Import'!$A:$D,4,FALSE),"")</f>
        <v/>
      </c>
      <c r="N178">
        <f>IFERROR(VLOOKUP($A178,'KP Import'!$A:$B,2,FALSE),"")</f>
        <v/>
      </c>
      <c r="O178">
        <f>IF(K178="","",ROUND(K178/(L178+10),1))</f>
        <v/>
      </c>
      <c r="P178">
        <f>IF(O178="","",IF(O178&gt;=20,"A - Go first",IF(O178&gt;=5,"B - Next","C - Later")))</f>
        <v/>
      </c>
      <c r="Q178" t="inlineStr">
        <is>
          <t>To research</t>
        </is>
      </c>
      <c r="R178" t="inlineStr"/>
    </row>
    <row r="179">
      <c r="A179" t="inlineStr">
        <is>
          <t>brown rice price in uae</t>
        </is>
      </c>
      <c r="B179" t="inlineStr">
        <is>
          <t>Phase 1 - B2B now</t>
        </is>
      </c>
      <c r="C179" t="inlineStr">
        <is>
          <t>Wholesalers / bulk buyers</t>
        </is>
      </c>
      <c r="D179" t="inlineStr">
        <is>
          <t>Price</t>
        </is>
      </c>
      <c r="E179" t="inlineStr">
        <is>
          <t>Healthy</t>
        </is>
      </c>
      <c r="F179" t="inlineStr">
        <is>
          <t>Commercial/Transactional</t>
        </is>
      </c>
      <c r="G179" t="inlineStr">
        <is>
          <t>MOFU</t>
        </is>
      </c>
      <c r="H179" t="inlineStr">
        <is>
          <t>UAE</t>
        </is>
      </c>
      <c r="I179" t="inlineStr">
        <is>
          <t>Brown Rice category</t>
        </is>
      </c>
      <c r="J179" t="inlineStr">
        <is>
          <t>Category</t>
        </is>
      </c>
      <c r="K179">
        <f>IFERROR(VLOOKUP($A179,'Semrush Import'!$A:$D,2,FALSE),"")</f>
        <v/>
      </c>
      <c r="L179">
        <f>IFERROR(VLOOKUP($A179,'Semrush Import'!$A:$D,3,FALSE),"")</f>
        <v/>
      </c>
      <c r="M179">
        <f>IFERROR(VLOOKUP($A179,'Semrush Import'!$A:$D,4,FALSE),"")</f>
        <v/>
      </c>
      <c r="N179">
        <f>IFERROR(VLOOKUP($A179,'KP Import'!$A:$B,2,FALSE),"")</f>
        <v/>
      </c>
      <c r="O179">
        <f>IF(K179="","",ROUND(K179/(L179+10),1))</f>
        <v/>
      </c>
      <c r="P179">
        <f>IF(O179="","",IF(O179&gt;=20,"A - Go first",IF(O179&gt;=5,"B - Next","C - Later")))</f>
        <v/>
      </c>
      <c r="Q179" t="inlineStr">
        <is>
          <t>To research</t>
        </is>
      </c>
      <c r="R179" t="inlineStr"/>
    </row>
    <row r="180">
      <c r="A180" t="inlineStr">
        <is>
          <t>brown rice price in dubai</t>
        </is>
      </c>
      <c r="B180" t="inlineStr">
        <is>
          <t>Phase 1 - B2B now</t>
        </is>
      </c>
      <c r="C180" t="inlineStr">
        <is>
          <t>Wholesalers / bulk buyers</t>
        </is>
      </c>
      <c r="D180" t="inlineStr">
        <is>
          <t>Price</t>
        </is>
      </c>
      <c r="E180" t="inlineStr">
        <is>
          <t>Healthy</t>
        </is>
      </c>
      <c r="F180" t="inlineStr">
        <is>
          <t>Commercial/Transactional</t>
        </is>
      </c>
      <c r="G180" t="inlineStr">
        <is>
          <t>MOFU</t>
        </is>
      </c>
      <c r="H180" t="inlineStr">
        <is>
          <t>Dubai</t>
        </is>
      </c>
      <c r="I180" t="inlineStr">
        <is>
          <t>Brown Rice category</t>
        </is>
      </c>
      <c r="J180" t="inlineStr">
        <is>
          <t>Category</t>
        </is>
      </c>
      <c r="K180">
        <f>IFERROR(VLOOKUP($A180,'Semrush Import'!$A:$D,2,FALSE),"")</f>
        <v/>
      </c>
      <c r="L180">
        <f>IFERROR(VLOOKUP($A180,'Semrush Import'!$A:$D,3,FALSE),"")</f>
        <v/>
      </c>
      <c r="M180">
        <f>IFERROR(VLOOKUP($A180,'Semrush Import'!$A:$D,4,FALSE),"")</f>
        <v/>
      </c>
      <c r="N180">
        <f>IFERROR(VLOOKUP($A180,'KP Import'!$A:$B,2,FALSE),"")</f>
        <v/>
      </c>
      <c r="O180">
        <f>IF(K180="","",ROUND(K180/(L180+10),1))</f>
        <v/>
      </c>
      <c r="P180">
        <f>IF(O180="","",IF(O180&gt;=20,"A - Go first",IF(O180&gt;=5,"B - Next","C - Later")))</f>
        <v/>
      </c>
      <c r="Q180" t="inlineStr">
        <is>
          <t>To research</t>
        </is>
      </c>
      <c r="R180" t="inlineStr"/>
    </row>
    <row r="181">
      <c r="A181" t="inlineStr">
        <is>
          <t>brown rice online dubai</t>
        </is>
      </c>
      <c r="B181" t="inlineStr">
        <is>
          <t>Phase 2 - B2C (later)</t>
        </is>
      </c>
      <c r="C181" t="inlineStr">
        <is>
          <t>Consumer / household</t>
        </is>
      </c>
      <c r="D181" t="inlineStr">
        <is>
          <t>Transactional</t>
        </is>
      </c>
      <c r="E181" t="inlineStr">
        <is>
          <t>Healthy</t>
        </is>
      </c>
      <c r="F181" t="inlineStr">
        <is>
          <t>Transactional</t>
        </is>
      </c>
      <c r="G181" t="inlineStr">
        <is>
          <t>BOFU</t>
        </is>
      </c>
      <c r="H181" t="inlineStr">
        <is>
          <t>Dubai</t>
        </is>
      </c>
      <c r="I181" t="inlineStr">
        <is>
          <t>Brown Rice category</t>
        </is>
      </c>
      <c r="J181" t="inlineStr">
        <is>
          <t>Category</t>
        </is>
      </c>
      <c r="K181">
        <f>IFERROR(VLOOKUP($A181,'Semrush Import'!$A:$D,2,FALSE),"")</f>
        <v/>
      </c>
      <c r="L181">
        <f>IFERROR(VLOOKUP($A181,'Semrush Import'!$A:$D,3,FALSE),"")</f>
        <v/>
      </c>
      <c r="M181">
        <f>IFERROR(VLOOKUP($A181,'Semrush Import'!$A:$D,4,FALSE),"")</f>
        <v/>
      </c>
      <c r="N181">
        <f>IFERROR(VLOOKUP($A181,'KP Import'!$A:$B,2,FALSE),"")</f>
        <v/>
      </c>
      <c r="O181">
        <f>IF(K181="","",ROUND(K181/(L181+10),1))</f>
        <v/>
      </c>
      <c r="P181">
        <f>IF(O181="","",IF(O181&gt;=20,"A - Go first",IF(O181&gt;=5,"B - Next","C - Later")))</f>
        <v/>
      </c>
      <c r="Q181" t="inlineStr">
        <is>
          <t>To research</t>
        </is>
      </c>
      <c r="R181" t="inlineStr"/>
    </row>
    <row r="182">
      <c r="A182" t="inlineStr">
        <is>
          <t>brown rice wholesale dubai</t>
        </is>
      </c>
      <c r="B182" t="inlineStr">
        <is>
          <t>Phase 1 - B2B now</t>
        </is>
      </c>
      <c r="C182" t="inlineStr">
        <is>
          <t>Wholesalers / bulk buyers</t>
        </is>
      </c>
      <c r="D182" t="inlineStr">
        <is>
          <t>Wholesale/B2B</t>
        </is>
      </c>
      <c r="E182" t="inlineStr">
        <is>
          <t>Healthy</t>
        </is>
      </c>
      <c r="F182" t="inlineStr">
        <is>
          <t>Transactional (B2B)</t>
        </is>
      </c>
      <c r="G182" t="inlineStr">
        <is>
          <t>BOFU</t>
        </is>
      </c>
      <c r="H182" t="inlineStr">
        <is>
          <t>Dubai</t>
        </is>
      </c>
      <c r="I182" t="inlineStr">
        <is>
          <t>Wholesale landing page</t>
        </is>
      </c>
      <c r="J182" t="inlineStr">
        <is>
          <t>Landing</t>
        </is>
      </c>
      <c r="K182">
        <f>IFERROR(VLOOKUP($A182,'Semrush Import'!$A:$D,2,FALSE),"")</f>
        <v/>
      </c>
      <c r="L182">
        <f>IFERROR(VLOOKUP($A182,'Semrush Import'!$A:$D,3,FALSE),"")</f>
        <v/>
      </c>
      <c r="M182">
        <f>IFERROR(VLOOKUP($A182,'Semrush Import'!$A:$D,4,FALSE),"")</f>
        <v/>
      </c>
      <c r="N182">
        <f>IFERROR(VLOOKUP($A182,'KP Import'!$A:$B,2,FALSE),"")</f>
        <v/>
      </c>
      <c r="O182">
        <f>IF(K182="","",ROUND(K182/(L182+10),1))</f>
        <v/>
      </c>
      <c r="P182">
        <f>IF(O182="","",IF(O182&gt;=20,"A - Go first",IF(O182&gt;=5,"B - Next","C - Later")))</f>
        <v/>
      </c>
      <c r="Q182" t="inlineStr">
        <is>
          <t>To research</t>
        </is>
      </c>
      <c r="R182" t="inlineStr"/>
    </row>
    <row r="183">
      <c r="A183" t="inlineStr">
        <is>
          <t>brown rice supplier uae</t>
        </is>
      </c>
      <c r="B183" t="inlineStr">
        <is>
          <t>Phase 1 - B2B now</t>
        </is>
      </c>
      <c r="C183" t="inlineStr">
        <is>
          <t>Wholesalers / bulk buyers</t>
        </is>
      </c>
      <c r="D183" t="inlineStr">
        <is>
          <t>Wholesale/B2B</t>
        </is>
      </c>
      <c r="E183" t="inlineStr">
        <is>
          <t>Healthy</t>
        </is>
      </c>
      <c r="F183" t="inlineStr">
        <is>
          <t>Transactional (B2B)</t>
        </is>
      </c>
      <c r="G183" t="inlineStr">
        <is>
          <t>BOFU</t>
        </is>
      </c>
      <c r="H183" t="inlineStr">
        <is>
          <t>UAE</t>
        </is>
      </c>
      <c r="I183" t="inlineStr">
        <is>
          <t>Wholesale landing page</t>
        </is>
      </c>
      <c r="J183" t="inlineStr">
        <is>
          <t>Landing</t>
        </is>
      </c>
      <c r="K183">
        <f>IFERROR(VLOOKUP($A183,'Semrush Import'!$A:$D,2,FALSE),"")</f>
        <v/>
      </c>
      <c r="L183">
        <f>IFERROR(VLOOKUP($A183,'Semrush Import'!$A:$D,3,FALSE),"")</f>
        <v/>
      </c>
      <c r="M183">
        <f>IFERROR(VLOOKUP($A183,'Semrush Import'!$A:$D,4,FALSE),"")</f>
        <v/>
      </c>
      <c r="N183">
        <f>IFERROR(VLOOKUP($A183,'KP Import'!$A:$B,2,FALSE),"")</f>
        <v/>
      </c>
      <c r="O183">
        <f>IF(K183="","",ROUND(K183/(L183+10),1))</f>
        <v/>
      </c>
      <c r="P183">
        <f>IF(O183="","",IF(O183&gt;=20,"A - Go first",IF(O183&gt;=5,"B - Next","C - Later")))</f>
        <v/>
      </c>
      <c r="Q183" t="inlineStr">
        <is>
          <t>To research</t>
        </is>
      </c>
      <c r="R183" t="inlineStr"/>
    </row>
    <row r="184">
      <c r="A184" t="inlineStr">
        <is>
          <t>red rice</t>
        </is>
      </c>
      <c r="B184" t="inlineStr">
        <is>
          <t>Phase 1 - B2B now</t>
        </is>
      </c>
      <c r="C184" t="inlineStr">
        <is>
          <t>Wholesalers / bulk buyers</t>
        </is>
      </c>
      <c r="D184" t="inlineStr">
        <is>
          <t>Core product</t>
        </is>
      </c>
      <c r="E184" t="inlineStr">
        <is>
          <t>Healthy</t>
        </is>
      </c>
      <c r="F184" t="inlineStr">
        <is>
          <t>Informational/Commercial</t>
        </is>
      </c>
      <c r="G184" t="inlineStr">
        <is>
          <t>TOFU</t>
        </is>
      </c>
      <c r="H184" t="inlineStr">
        <is>
          <t>UAE (generic)</t>
        </is>
      </c>
      <c r="I184" t="inlineStr">
        <is>
          <t>Healthy Rice category</t>
        </is>
      </c>
      <c r="J184" t="inlineStr">
        <is>
          <t>Category</t>
        </is>
      </c>
      <c r="K184">
        <f>IFERROR(VLOOKUP($A184,'Semrush Import'!$A:$D,2,FALSE),"")</f>
        <v/>
      </c>
      <c r="L184">
        <f>IFERROR(VLOOKUP($A184,'Semrush Import'!$A:$D,3,FALSE),"")</f>
        <v/>
      </c>
      <c r="M184">
        <f>IFERROR(VLOOKUP($A184,'Semrush Import'!$A:$D,4,FALSE),"")</f>
        <v/>
      </c>
      <c r="N184">
        <f>IFERROR(VLOOKUP($A184,'KP Import'!$A:$B,2,FALSE),"")</f>
        <v/>
      </c>
      <c r="O184">
        <f>IF(K184="","",ROUND(K184/(L184+10),1))</f>
        <v/>
      </c>
      <c r="P184">
        <f>IF(O184="","",IF(O184&gt;=20,"A - Go first",IF(O184&gt;=5,"B - Next","C - Later")))</f>
        <v/>
      </c>
      <c r="Q184" t="inlineStr">
        <is>
          <t>To research</t>
        </is>
      </c>
      <c r="R184" t="inlineStr"/>
    </row>
    <row r="185">
      <c r="A185" t="inlineStr">
        <is>
          <t>buy red rice online</t>
        </is>
      </c>
      <c r="B185" t="inlineStr">
        <is>
          <t>Phase 2 - B2C (later)</t>
        </is>
      </c>
      <c r="C185" t="inlineStr">
        <is>
          <t>Consumer / household</t>
        </is>
      </c>
      <c r="D185" t="inlineStr">
        <is>
          <t>Transactional</t>
        </is>
      </c>
      <c r="E185" t="inlineStr">
        <is>
          <t>Healthy</t>
        </is>
      </c>
      <c r="F185" t="inlineStr">
        <is>
          <t>Transactional</t>
        </is>
      </c>
      <c r="G185" t="inlineStr">
        <is>
          <t>BOFU</t>
        </is>
      </c>
      <c r="H185" t="inlineStr">
        <is>
          <t>UAE (generic)</t>
        </is>
      </c>
      <c r="I185" t="inlineStr">
        <is>
          <t>Healthy Rice category</t>
        </is>
      </c>
      <c r="J185" t="inlineStr">
        <is>
          <t>Category</t>
        </is>
      </c>
      <c r="K185">
        <f>IFERROR(VLOOKUP($A185,'Semrush Import'!$A:$D,2,FALSE),"")</f>
        <v/>
      </c>
      <c r="L185">
        <f>IFERROR(VLOOKUP($A185,'Semrush Import'!$A:$D,3,FALSE),"")</f>
        <v/>
      </c>
      <c r="M185">
        <f>IFERROR(VLOOKUP($A185,'Semrush Import'!$A:$D,4,FALSE),"")</f>
        <v/>
      </c>
      <c r="N185">
        <f>IFERROR(VLOOKUP($A185,'KP Import'!$A:$B,2,FALSE),"")</f>
        <v/>
      </c>
      <c r="O185">
        <f>IF(K185="","",ROUND(K185/(L185+10),1))</f>
        <v/>
      </c>
      <c r="P185">
        <f>IF(O185="","",IF(O185&gt;=20,"A - Go first",IF(O185&gt;=5,"B - Next","C - Later")))</f>
        <v/>
      </c>
      <c r="Q185" t="inlineStr">
        <is>
          <t>To research</t>
        </is>
      </c>
      <c r="R185" t="inlineStr"/>
    </row>
    <row r="186">
      <c r="A186" t="inlineStr">
        <is>
          <t>red rice price in uae</t>
        </is>
      </c>
      <c r="B186" t="inlineStr">
        <is>
          <t>Phase 1 - B2B now</t>
        </is>
      </c>
      <c r="C186" t="inlineStr">
        <is>
          <t>Wholesalers / bulk buyers</t>
        </is>
      </c>
      <c r="D186" t="inlineStr">
        <is>
          <t>Price</t>
        </is>
      </c>
      <c r="E186" t="inlineStr">
        <is>
          <t>Healthy</t>
        </is>
      </c>
      <c r="F186" t="inlineStr">
        <is>
          <t>Commercial/Transactional</t>
        </is>
      </c>
      <c r="G186" t="inlineStr">
        <is>
          <t>MOFU</t>
        </is>
      </c>
      <c r="H186" t="inlineStr">
        <is>
          <t>UAE</t>
        </is>
      </c>
      <c r="I186" t="inlineStr">
        <is>
          <t>Healthy Rice category</t>
        </is>
      </c>
      <c r="J186" t="inlineStr">
        <is>
          <t>Category</t>
        </is>
      </c>
      <c r="K186">
        <f>IFERROR(VLOOKUP($A186,'Semrush Import'!$A:$D,2,FALSE),"")</f>
        <v/>
      </c>
      <c r="L186">
        <f>IFERROR(VLOOKUP($A186,'Semrush Import'!$A:$D,3,FALSE),"")</f>
        <v/>
      </c>
      <c r="M186">
        <f>IFERROR(VLOOKUP($A186,'Semrush Import'!$A:$D,4,FALSE),"")</f>
        <v/>
      </c>
      <c r="N186">
        <f>IFERROR(VLOOKUP($A186,'KP Import'!$A:$B,2,FALSE),"")</f>
        <v/>
      </c>
      <c r="O186">
        <f>IF(K186="","",ROUND(K186/(L186+10),1))</f>
        <v/>
      </c>
      <c r="P186">
        <f>IF(O186="","",IF(O186&gt;=20,"A - Go first",IF(O186&gt;=5,"B - Next","C - Later")))</f>
        <v/>
      </c>
      <c r="Q186" t="inlineStr">
        <is>
          <t>To research</t>
        </is>
      </c>
      <c r="R186" t="inlineStr"/>
    </row>
    <row r="187">
      <c r="A187" t="inlineStr">
        <is>
          <t>red rice price in dubai</t>
        </is>
      </c>
      <c r="B187" t="inlineStr">
        <is>
          <t>Phase 1 - B2B now</t>
        </is>
      </c>
      <c r="C187" t="inlineStr">
        <is>
          <t>Wholesalers / bulk buyers</t>
        </is>
      </c>
      <c r="D187" t="inlineStr">
        <is>
          <t>Price</t>
        </is>
      </c>
      <c r="E187" t="inlineStr">
        <is>
          <t>Healthy</t>
        </is>
      </c>
      <c r="F187" t="inlineStr">
        <is>
          <t>Commercial/Transactional</t>
        </is>
      </c>
      <c r="G187" t="inlineStr">
        <is>
          <t>MOFU</t>
        </is>
      </c>
      <c r="H187" t="inlineStr">
        <is>
          <t>Dubai</t>
        </is>
      </c>
      <c r="I187" t="inlineStr">
        <is>
          <t>Healthy Rice category</t>
        </is>
      </c>
      <c r="J187" t="inlineStr">
        <is>
          <t>Category</t>
        </is>
      </c>
      <c r="K187">
        <f>IFERROR(VLOOKUP($A187,'Semrush Import'!$A:$D,2,FALSE),"")</f>
        <v/>
      </c>
      <c r="L187">
        <f>IFERROR(VLOOKUP($A187,'Semrush Import'!$A:$D,3,FALSE),"")</f>
        <v/>
      </c>
      <c r="M187">
        <f>IFERROR(VLOOKUP($A187,'Semrush Import'!$A:$D,4,FALSE),"")</f>
        <v/>
      </c>
      <c r="N187">
        <f>IFERROR(VLOOKUP($A187,'KP Import'!$A:$B,2,FALSE),"")</f>
        <v/>
      </c>
      <c r="O187">
        <f>IF(K187="","",ROUND(K187/(L187+10),1))</f>
        <v/>
      </c>
      <c r="P187">
        <f>IF(O187="","",IF(O187&gt;=20,"A - Go first",IF(O187&gt;=5,"B - Next","C - Later")))</f>
        <v/>
      </c>
      <c r="Q187" t="inlineStr">
        <is>
          <t>To research</t>
        </is>
      </c>
      <c r="R187" t="inlineStr"/>
    </row>
    <row r="188">
      <c r="A188" t="inlineStr">
        <is>
          <t>red rice online dubai</t>
        </is>
      </c>
      <c r="B188" t="inlineStr">
        <is>
          <t>Phase 2 - B2C (later)</t>
        </is>
      </c>
      <c r="C188" t="inlineStr">
        <is>
          <t>Consumer / household</t>
        </is>
      </c>
      <c r="D188" t="inlineStr">
        <is>
          <t>Transactional</t>
        </is>
      </c>
      <c r="E188" t="inlineStr">
        <is>
          <t>Healthy</t>
        </is>
      </c>
      <c r="F188" t="inlineStr">
        <is>
          <t>Transactional</t>
        </is>
      </c>
      <c r="G188" t="inlineStr">
        <is>
          <t>BOFU</t>
        </is>
      </c>
      <c r="H188" t="inlineStr">
        <is>
          <t>Dubai</t>
        </is>
      </c>
      <c r="I188" t="inlineStr">
        <is>
          <t>Healthy Rice category</t>
        </is>
      </c>
      <c r="J188" t="inlineStr">
        <is>
          <t>Category</t>
        </is>
      </c>
      <c r="K188">
        <f>IFERROR(VLOOKUP($A188,'Semrush Import'!$A:$D,2,FALSE),"")</f>
        <v/>
      </c>
      <c r="L188">
        <f>IFERROR(VLOOKUP($A188,'Semrush Import'!$A:$D,3,FALSE),"")</f>
        <v/>
      </c>
      <c r="M188">
        <f>IFERROR(VLOOKUP($A188,'Semrush Import'!$A:$D,4,FALSE),"")</f>
        <v/>
      </c>
      <c r="N188">
        <f>IFERROR(VLOOKUP($A188,'KP Import'!$A:$B,2,FALSE),"")</f>
        <v/>
      </c>
      <c r="O188">
        <f>IF(K188="","",ROUND(K188/(L188+10),1))</f>
        <v/>
      </c>
      <c r="P188">
        <f>IF(O188="","",IF(O188&gt;=20,"A - Go first",IF(O188&gt;=5,"B - Next","C - Later")))</f>
        <v/>
      </c>
      <c r="Q188" t="inlineStr">
        <is>
          <t>To research</t>
        </is>
      </c>
      <c r="R188" t="inlineStr"/>
    </row>
    <row r="189">
      <c r="A189" t="inlineStr">
        <is>
          <t>red rice wholesale dubai</t>
        </is>
      </c>
      <c r="B189" t="inlineStr">
        <is>
          <t>Phase 1 - B2B now</t>
        </is>
      </c>
      <c r="C189" t="inlineStr">
        <is>
          <t>Wholesalers / bulk buyers</t>
        </is>
      </c>
      <c r="D189" t="inlineStr">
        <is>
          <t>Wholesale/B2B</t>
        </is>
      </c>
      <c r="E189" t="inlineStr">
        <is>
          <t>Healthy</t>
        </is>
      </c>
      <c r="F189" t="inlineStr">
        <is>
          <t>Transactional (B2B)</t>
        </is>
      </c>
      <c r="G189" t="inlineStr">
        <is>
          <t>BOFU</t>
        </is>
      </c>
      <c r="H189" t="inlineStr">
        <is>
          <t>Dubai</t>
        </is>
      </c>
      <c r="I189" t="inlineStr">
        <is>
          <t>Wholesale landing page</t>
        </is>
      </c>
      <c r="J189" t="inlineStr">
        <is>
          <t>Landing</t>
        </is>
      </c>
      <c r="K189">
        <f>IFERROR(VLOOKUP($A189,'Semrush Import'!$A:$D,2,FALSE),"")</f>
        <v/>
      </c>
      <c r="L189">
        <f>IFERROR(VLOOKUP($A189,'Semrush Import'!$A:$D,3,FALSE),"")</f>
        <v/>
      </c>
      <c r="M189">
        <f>IFERROR(VLOOKUP($A189,'Semrush Import'!$A:$D,4,FALSE),"")</f>
        <v/>
      </c>
      <c r="N189">
        <f>IFERROR(VLOOKUP($A189,'KP Import'!$A:$B,2,FALSE),"")</f>
        <v/>
      </c>
      <c r="O189">
        <f>IF(K189="","",ROUND(K189/(L189+10),1))</f>
        <v/>
      </c>
      <c r="P189">
        <f>IF(O189="","",IF(O189&gt;=20,"A - Go first",IF(O189&gt;=5,"B - Next","C - Later")))</f>
        <v/>
      </c>
      <c r="Q189" t="inlineStr">
        <is>
          <t>To research</t>
        </is>
      </c>
      <c r="R189" t="inlineStr"/>
    </row>
    <row r="190">
      <c r="A190" t="inlineStr">
        <is>
          <t>red rice supplier uae</t>
        </is>
      </c>
      <c r="B190" t="inlineStr">
        <is>
          <t>Phase 1 - B2B now</t>
        </is>
      </c>
      <c r="C190" t="inlineStr">
        <is>
          <t>Wholesalers / bulk buyers</t>
        </is>
      </c>
      <c r="D190" t="inlineStr">
        <is>
          <t>Wholesale/B2B</t>
        </is>
      </c>
      <c r="E190" t="inlineStr">
        <is>
          <t>Healthy</t>
        </is>
      </c>
      <c r="F190" t="inlineStr">
        <is>
          <t>Transactional (B2B)</t>
        </is>
      </c>
      <c r="G190" t="inlineStr">
        <is>
          <t>BOFU</t>
        </is>
      </c>
      <c r="H190" t="inlineStr">
        <is>
          <t>UAE</t>
        </is>
      </c>
      <c r="I190" t="inlineStr">
        <is>
          <t>Wholesale landing page</t>
        </is>
      </c>
      <c r="J190" t="inlineStr">
        <is>
          <t>Landing</t>
        </is>
      </c>
      <c r="K190">
        <f>IFERROR(VLOOKUP($A190,'Semrush Import'!$A:$D,2,FALSE),"")</f>
        <v/>
      </c>
      <c r="L190">
        <f>IFERROR(VLOOKUP($A190,'Semrush Import'!$A:$D,3,FALSE),"")</f>
        <v/>
      </c>
      <c r="M190">
        <f>IFERROR(VLOOKUP($A190,'Semrush Import'!$A:$D,4,FALSE),"")</f>
        <v/>
      </c>
      <c r="N190">
        <f>IFERROR(VLOOKUP($A190,'KP Import'!$A:$B,2,FALSE),"")</f>
        <v/>
      </c>
      <c r="O190">
        <f>IF(K190="","",ROUND(K190/(L190+10),1))</f>
        <v/>
      </c>
      <c r="P190">
        <f>IF(O190="","",IF(O190&gt;=20,"A - Go first",IF(O190&gt;=5,"B - Next","C - Later")))</f>
        <v/>
      </c>
      <c r="Q190" t="inlineStr">
        <is>
          <t>To research</t>
        </is>
      </c>
      <c r="R190" t="inlineStr"/>
    </row>
    <row r="191">
      <c r="A191" t="inlineStr">
        <is>
          <t>black rice</t>
        </is>
      </c>
      <c r="B191" t="inlineStr">
        <is>
          <t>Phase 1 - B2B now</t>
        </is>
      </c>
      <c r="C191" t="inlineStr">
        <is>
          <t>Wholesalers / bulk buyers</t>
        </is>
      </c>
      <c r="D191" t="inlineStr">
        <is>
          <t>Core product</t>
        </is>
      </c>
      <c r="E191" t="inlineStr">
        <is>
          <t>Healthy</t>
        </is>
      </c>
      <c r="F191" t="inlineStr">
        <is>
          <t>Informational/Commercial</t>
        </is>
      </c>
      <c r="G191" t="inlineStr">
        <is>
          <t>TOFU</t>
        </is>
      </c>
      <c r="H191" t="inlineStr">
        <is>
          <t>UAE (generic)</t>
        </is>
      </c>
      <c r="I191" t="inlineStr">
        <is>
          <t>Healthy Rice category</t>
        </is>
      </c>
      <c r="J191" t="inlineStr">
        <is>
          <t>Category</t>
        </is>
      </c>
      <c r="K191">
        <f>IFERROR(VLOOKUP($A191,'Semrush Import'!$A:$D,2,FALSE),"")</f>
        <v/>
      </c>
      <c r="L191">
        <f>IFERROR(VLOOKUP($A191,'Semrush Import'!$A:$D,3,FALSE),"")</f>
        <v/>
      </c>
      <c r="M191">
        <f>IFERROR(VLOOKUP($A191,'Semrush Import'!$A:$D,4,FALSE),"")</f>
        <v/>
      </c>
      <c r="N191">
        <f>IFERROR(VLOOKUP($A191,'KP Import'!$A:$B,2,FALSE),"")</f>
        <v/>
      </c>
      <c r="O191">
        <f>IF(K191="","",ROUND(K191/(L191+10),1))</f>
        <v/>
      </c>
      <c r="P191">
        <f>IF(O191="","",IF(O191&gt;=20,"A - Go first",IF(O191&gt;=5,"B - Next","C - Later")))</f>
        <v/>
      </c>
      <c r="Q191" t="inlineStr">
        <is>
          <t>To research</t>
        </is>
      </c>
      <c r="R191" t="inlineStr"/>
    </row>
    <row r="192">
      <c r="A192" t="inlineStr">
        <is>
          <t>buy black rice online</t>
        </is>
      </c>
      <c r="B192" t="inlineStr">
        <is>
          <t>Phase 2 - B2C (later)</t>
        </is>
      </c>
      <c r="C192" t="inlineStr">
        <is>
          <t>Consumer / household</t>
        </is>
      </c>
      <c r="D192" t="inlineStr">
        <is>
          <t>Transactional</t>
        </is>
      </c>
      <c r="E192" t="inlineStr">
        <is>
          <t>Healthy</t>
        </is>
      </c>
      <c r="F192" t="inlineStr">
        <is>
          <t>Transactional</t>
        </is>
      </c>
      <c r="G192" t="inlineStr">
        <is>
          <t>BOFU</t>
        </is>
      </c>
      <c r="H192" t="inlineStr">
        <is>
          <t>UAE (generic)</t>
        </is>
      </c>
      <c r="I192" t="inlineStr">
        <is>
          <t>Healthy Rice category</t>
        </is>
      </c>
      <c r="J192" t="inlineStr">
        <is>
          <t>Category</t>
        </is>
      </c>
      <c r="K192">
        <f>IFERROR(VLOOKUP($A192,'Semrush Import'!$A:$D,2,FALSE),"")</f>
        <v/>
      </c>
      <c r="L192">
        <f>IFERROR(VLOOKUP($A192,'Semrush Import'!$A:$D,3,FALSE),"")</f>
        <v/>
      </c>
      <c r="M192">
        <f>IFERROR(VLOOKUP($A192,'Semrush Import'!$A:$D,4,FALSE),"")</f>
        <v/>
      </c>
      <c r="N192">
        <f>IFERROR(VLOOKUP($A192,'KP Import'!$A:$B,2,FALSE),"")</f>
        <v/>
      </c>
      <c r="O192">
        <f>IF(K192="","",ROUND(K192/(L192+10),1))</f>
        <v/>
      </c>
      <c r="P192">
        <f>IF(O192="","",IF(O192&gt;=20,"A - Go first",IF(O192&gt;=5,"B - Next","C - Later")))</f>
        <v/>
      </c>
      <c r="Q192" t="inlineStr">
        <is>
          <t>To research</t>
        </is>
      </c>
      <c r="R192" t="inlineStr"/>
    </row>
    <row r="193">
      <c r="A193" t="inlineStr">
        <is>
          <t>black rice price in uae</t>
        </is>
      </c>
      <c r="B193" t="inlineStr">
        <is>
          <t>Phase 1 - B2B now</t>
        </is>
      </c>
      <c r="C193" t="inlineStr">
        <is>
          <t>Wholesalers / bulk buyers</t>
        </is>
      </c>
      <c r="D193" t="inlineStr">
        <is>
          <t>Price</t>
        </is>
      </c>
      <c r="E193" t="inlineStr">
        <is>
          <t>Healthy</t>
        </is>
      </c>
      <c r="F193" t="inlineStr">
        <is>
          <t>Commercial/Transactional</t>
        </is>
      </c>
      <c r="G193" t="inlineStr">
        <is>
          <t>MOFU</t>
        </is>
      </c>
      <c r="H193" t="inlineStr">
        <is>
          <t>UAE</t>
        </is>
      </c>
      <c r="I193" t="inlineStr">
        <is>
          <t>Healthy Rice category</t>
        </is>
      </c>
      <c r="J193" t="inlineStr">
        <is>
          <t>Category</t>
        </is>
      </c>
      <c r="K193">
        <f>IFERROR(VLOOKUP($A193,'Semrush Import'!$A:$D,2,FALSE),"")</f>
        <v/>
      </c>
      <c r="L193">
        <f>IFERROR(VLOOKUP($A193,'Semrush Import'!$A:$D,3,FALSE),"")</f>
        <v/>
      </c>
      <c r="M193">
        <f>IFERROR(VLOOKUP($A193,'Semrush Import'!$A:$D,4,FALSE),"")</f>
        <v/>
      </c>
      <c r="N193">
        <f>IFERROR(VLOOKUP($A193,'KP Import'!$A:$B,2,FALSE),"")</f>
        <v/>
      </c>
      <c r="O193">
        <f>IF(K193="","",ROUND(K193/(L193+10),1))</f>
        <v/>
      </c>
      <c r="P193">
        <f>IF(O193="","",IF(O193&gt;=20,"A - Go first",IF(O193&gt;=5,"B - Next","C - Later")))</f>
        <v/>
      </c>
      <c r="Q193" t="inlineStr">
        <is>
          <t>To research</t>
        </is>
      </c>
      <c r="R193" t="inlineStr"/>
    </row>
    <row r="194">
      <c r="A194" t="inlineStr">
        <is>
          <t>black rice price in dubai</t>
        </is>
      </c>
      <c r="B194" t="inlineStr">
        <is>
          <t>Phase 1 - B2B now</t>
        </is>
      </c>
      <c r="C194" t="inlineStr">
        <is>
          <t>Wholesalers / bulk buyers</t>
        </is>
      </c>
      <c r="D194" t="inlineStr">
        <is>
          <t>Price</t>
        </is>
      </c>
      <c r="E194" t="inlineStr">
        <is>
          <t>Healthy</t>
        </is>
      </c>
      <c r="F194" t="inlineStr">
        <is>
          <t>Commercial/Transactional</t>
        </is>
      </c>
      <c r="G194" t="inlineStr">
        <is>
          <t>MOFU</t>
        </is>
      </c>
      <c r="H194" t="inlineStr">
        <is>
          <t>Dubai</t>
        </is>
      </c>
      <c r="I194" t="inlineStr">
        <is>
          <t>Healthy Rice category</t>
        </is>
      </c>
      <c r="J194" t="inlineStr">
        <is>
          <t>Category</t>
        </is>
      </c>
      <c r="K194">
        <f>IFERROR(VLOOKUP($A194,'Semrush Import'!$A:$D,2,FALSE),"")</f>
        <v/>
      </c>
      <c r="L194">
        <f>IFERROR(VLOOKUP($A194,'Semrush Import'!$A:$D,3,FALSE),"")</f>
        <v/>
      </c>
      <c r="M194">
        <f>IFERROR(VLOOKUP($A194,'Semrush Import'!$A:$D,4,FALSE),"")</f>
        <v/>
      </c>
      <c r="N194">
        <f>IFERROR(VLOOKUP($A194,'KP Import'!$A:$B,2,FALSE),"")</f>
        <v/>
      </c>
      <c r="O194">
        <f>IF(K194="","",ROUND(K194/(L194+10),1))</f>
        <v/>
      </c>
      <c r="P194">
        <f>IF(O194="","",IF(O194&gt;=20,"A - Go first",IF(O194&gt;=5,"B - Next","C - Later")))</f>
        <v/>
      </c>
      <c r="Q194" t="inlineStr">
        <is>
          <t>To research</t>
        </is>
      </c>
      <c r="R194" t="inlineStr"/>
    </row>
    <row r="195">
      <c r="A195" t="inlineStr">
        <is>
          <t>black rice online dubai</t>
        </is>
      </c>
      <c r="B195" t="inlineStr">
        <is>
          <t>Phase 2 - B2C (later)</t>
        </is>
      </c>
      <c r="C195" t="inlineStr">
        <is>
          <t>Consumer / household</t>
        </is>
      </c>
      <c r="D195" t="inlineStr">
        <is>
          <t>Transactional</t>
        </is>
      </c>
      <c r="E195" t="inlineStr">
        <is>
          <t>Healthy</t>
        </is>
      </c>
      <c r="F195" t="inlineStr">
        <is>
          <t>Transactional</t>
        </is>
      </c>
      <c r="G195" t="inlineStr">
        <is>
          <t>BOFU</t>
        </is>
      </c>
      <c r="H195" t="inlineStr">
        <is>
          <t>Dubai</t>
        </is>
      </c>
      <c r="I195" t="inlineStr">
        <is>
          <t>Healthy Rice category</t>
        </is>
      </c>
      <c r="J195" t="inlineStr">
        <is>
          <t>Category</t>
        </is>
      </c>
      <c r="K195">
        <f>IFERROR(VLOOKUP($A195,'Semrush Import'!$A:$D,2,FALSE),"")</f>
        <v/>
      </c>
      <c r="L195">
        <f>IFERROR(VLOOKUP($A195,'Semrush Import'!$A:$D,3,FALSE),"")</f>
        <v/>
      </c>
      <c r="M195">
        <f>IFERROR(VLOOKUP($A195,'Semrush Import'!$A:$D,4,FALSE),"")</f>
        <v/>
      </c>
      <c r="N195">
        <f>IFERROR(VLOOKUP($A195,'KP Import'!$A:$B,2,FALSE),"")</f>
        <v/>
      </c>
      <c r="O195">
        <f>IF(K195="","",ROUND(K195/(L195+10),1))</f>
        <v/>
      </c>
      <c r="P195">
        <f>IF(O195="","",IF(O195&gt;=20,"A - Go first",IF(O195&gt;=5,"B - Next","C - Later")))</f>
        <v/>
      </c>
      <c r="Q195" t="inlineStr">
        <is>
          <t>To research</t>
        </is>
      </c>
      <c r="R195" t="inlineStr"/>
    </row>
    <row r="196">
      <c r="A196" t="inlineStr">
        <is>
          <t>black rice wholesale dubai</t>
        </is>
      </c>
      <c r="B196" t="inlineStr">
        <is>
          <t>Phase 1 - B2B now</t>
        </is>
      </c>
      <c r="C196" t="inlineStr">
        <is>
          <t>Wholesalers / bulk buyers</t>
        </is>
      </c>
      <c r="D196" t="inlineStr">
        <is>
          <t>Wholesale/B2B</t>
        </is>
      </c>
      <c r="E196" t="inlineStr">
        <is>
          <t>Healthy</t>
        </is>
      </c>
      <c r="F196" t="inlineStr">
        <is>
          <t>Transactional (B2B)</t>
        </is>
      </c>
      <c r="G196" t="inlineStr">
        <is>
          <t>BOFU</t>
        </is>
      </c>
      <c r="H196" t="inlineStr">
        <is>
          <t>Dubai</t>
        </is>
      </c>
      <c r="I196" t="inlineStr">
        <is>
          <t>Wholesale landing page</t>
        </is>
      </c>
      <c r="J196" t="inlineStr">
        <is>
          <t>Landing</t>
        </is>
      </c>
      <c r="K196">
        <f>IFERROR(VLOOKUP($A196,'Semrush Import'!$A:$D,2,FALSE),"")</f>
        <v/>
      </c>
      <c r="L196">
        <f>IFERROR(VLOOKUP($A196,'Semrush Import'!$A:$D,3,FALSE),"")</f>
        <v/>
      </c>
      <c r="M196">
        <f>IFERROR(VLOOKUP($A196,'Semrush Import'!$A:$D,4,FALSE),"")</f>
        <v/>
      </c>
      <c r="N196">
        <f>IFERROR(VLOOKUP($A196,'KP Import'!$A:$B,2,FALSE),"")</f>
        <v/>
      </c>
      <c r="O196">
        <f>IF(K196="","",ROUND(K196/(L196+10),1))</f>
        <v/>
      </c>
      <c r="P196">
        <f>IF(O196="","",IF(O196&gt;=20,"A - Go first",IF(O196&gt;=5,"B - Next","C - Later")))</f>
        <v/>
      </c>
      <c r="Q196" t="inlineStr">
        <is>
          <t>To research</t>
        </is>
      </c>
      <c r="R196" t="inlineStr"/>
    </row>
    <row r="197">
      <c r="A197" t="inlineStr">
        <is>
          <t>black rice supplier uae</t>
        </is>
      </c>
      <c r="B197" t="inlineStr">
        <is>
          <t>Phase 1 - B2B now</t>
        </is>
      </c>
      <c r="C197" t="inlineStr">
        <is>
          <t>Wholesalers / bulk buyers</t>
        </is>
      </c>
      <c r="D197" t="inlineStr">
        <is>
          <t>Wholesale/B2B</t>
        </is>
      </c>
      <c r="E197" t="inlineStr">
        <is>
          <t>Healthy</t>
        </is>
      </c>
      <c r="F197" t="inlineStr">
        <is>
          <t>Transactional (B2B)</t>
        </is>
      </c>
      <c r="G197" t="inlineStr">
        <is>
          <t>BOFU</t>
        </is>
      </c>
      <c r="H197" t="inlineStr">
        <is>
          <t>UAE</t>
        </is>
      </c>
      <c r="I197" t="inlineStr">
        <is>
          <t>Wholesale landing page</t>
        </is>
      </c>
      <c r="J197" t="inlineStr">
        <is>
          <t>Landing</t>
        </is>
      </c>
      <c r="K197">
        <f>IFERROR(VLOOKUP($A197,'Semrush Import'!$A:$D,2,FALSE),"")</f>
        <v/>
      </c>
      <c r="L197">
        <f>IFERROR(VLOOKUP($A197,'Semrush Import'!$A:$D,3,FALSE),"")</f>
        <v/>
      </c>
      <c r="M197">
        <f>IFERROR(VLOOKUP($A197,'Semrush Import'!$A:$D,4,FALSE),"")</f>
        <v/>
      </c>
      <c r="N197">
        <f>IFERROR(VLOOKUP($A197,'KP Import'!$A:$B,2,FALSE),"")</f>
        <v/>
      </c>
      <c r="O197">
        <f>IF(K197="","",ROUND(K197/(L197+10),1))</f>
        <v/>
      </c>
      <c r="P197">
        <f>IF(O197="","",IF(O197&gt;=20,"A - Go first",IF(O197&gt;=5,"B - Next","C - Later")))</f>
        <v/>
      </c>
      <c r="Q197" t="inlineStr">
        <is>
          <t>To research</t>
        </is>
      </c>
      <c r="R197" t="inlineStr"/>
    </row>
    <row r="198">
      <c r="A198" t="inlineStr">
        <is>
          <t>wild rice</t>
        </is>
      </c>
      <c r="B198" t="inlineStr">
        <is>
          <t>Phase 1 - B2B now</t>
        </is>
      </c>
      <c r="C198" t="inlineStr">
        <is>
          <t>Wholesalers / bulk buyers</t>
        </is>
      </c>
      <c r="D198" t="inlineStr">
        <is>
          <t>Core product</t>
        </is>
      </c>
      <c r="E198" t="inlineStr">
        <is>
          <t>Healthy</t>
        </is>
      </c>
      <c r="F198" t="inlineStr">
        <is>
          <t>Informational/Commercial</t>
        </is>
      </c>
      <c r="G198" t="inlineStr">
        <is>
          <t>TOFU</t>
        </is>
      </c>
      <c r="H198" t="inlineStr">
        <is>
          <t>UAE (generic)</t>
        </is>
      </c>
      <c r="I198" t="inlineStr">
        <is>
          <t>Healthy Rice category</t>
        </is>
      </c>
      <c r="J198" t="inlineStr">
        <is>
          <t>Category</t>
        </is>
      </c>
      <c r="K198">
        <f>IFERROR(VLOOKUP($A198,'Semrush Import'!$A:$D,2,FALSE),"")</f>
        <v/>
      </c>
      <c r="L198">
        <f>IFERROR(VLOOKUP($A198,'Semrush Import'!$A:$D,3,FALSE),"")</f>
        <v/>
      </c>
      <c r="M198">
        <f>IFERROR(VLOOKUP($A198,'Semrush Import'!$A:$D,4,FALSE),"")</f>
        <v/>
      </c>
      <c r="N198">
        <f>IFERROR(VLOOKUP($A198,'KP Import'!$A:$B,2,FALSE),"")</f>
        <v/>
      </c>
      <c r="O198">
        <f>IF(K198="","",ROUND(K198/(L198+10),1))</f>
        <v/>
      </c>
      <c r="P198">
        <f>IF(O198="","",IF(O198&gt;=20,"A - Go first",IF(O198&gt;=5,"B - Next","C - Later")))</f>
        <v/>
      </c>
      <c r="Q198" t="inlineStr">
        <is>
          <t>To research</t>
        </is>
      </c>
      <c r="R198" t="inlineStr"/>
    </row>
    <row r="199">
      <c r="A199" t="inlineStr">
        <is>
          <t>buy wild rice online</t>
        </is>
      </c>
      <c r="B199" t="inlineStr">
        <is>
          <t>Phase 2 - B2C (later)</t>
        </is>
      </c>
      <c r="C199" t="inlineStr">
        <is>
          <t>Consumer / household</t>
        </is>
      </c>
      <c r="D199" t="inlineStr">
        <is>
          <t>Transactional</t>
        </is>
      </c>
      <c r="E199" t="inlineStr">
        <is>
          <t>Healthy</t>
        </is>
      </c>
      <c r="F199" t="inlineStr">
        <is>
          <t>Transactional</t>
        </is>
      </c>
      <c r="G199" t="inlineStr">
        <is>
          <t>BOFU</t>
        </is>
      </c>
      <c r="H199" t="inlineStr">
        <is>
          <t>UAE (generic)</t>
        </is>
      </c>
      <c r="I199" t="inlineStr">
        <is>
          <t>Healthy Rice category</t>
        </is>
      </c>
      <c r="J199" t="inlineStr">
        <is>
          <t>Category</t>
        </is>
      </c>
      <c r="K199">
        <f>IFERROR(VLOOKUP($A199,'Semrush Import'!$A:$D,2,FALSE),"")</f>
        <v/>
      </c>
      <c r="L199">
        <f>IFERROR(VLOOKUP($A199,'Semrush Import'!$A:$D,3,FALSE),"")</f>
        <v/>
      </c>
      <c r="M199">
        <f>IFERROR(VLOOKUP($A199,'Semrush Import'!$A:$D,4,FALSE),"")</f>
        <v/>
      </c>
      <c r="N199">
        <f>IFERROR(VLOOKUP($A199,'KP Import'!$A:$B,2,FALSE),"")</f>
        <v/>
      </c>
      <c r="O199">
        <f>IF(K199="","",ROUND(K199/(L199+10),1))</f>
        <v/>
      </c>
      <c r="P199">
        <f>IF(O199="","",IF(O199&gt;=20,"A - Go first",IF(O199&gt;=5,"B - Next","C - Later")))</f>
        <v/>
      </c>
      <c r="Q199" t="inlineStr">
        <is>
          <t>To research</t>
        </is>
      </c>
      <c r="R199" t="inlineStr"/>
    </row>
    <row r="200">
      <c r="A200" t="inlineStr">
        <is>
          <t>wild rice price in uae</t>
        </is>
      </c>
      <c r="B200" t="inlineStr">
        <is>
          <t>Phase 1 - B2B now</t>
        </is>
      </c>
      <c r="C200" t="inlineStr">
        <is>
          <t>Wholesalers / bulk buyers</t>
        </is>
      </c>
      <c r="D200" t="inlineStr">
        <is>
          <t>Price</t>
        </is>
      </c>
      <c r="E200" t="inlineStr">
        <is>
          <t>Healthy</t>
        </is>
      </c>
      <c r="F200" t="inlineStr">
        <is>
          <t>Commercial/Transactional</t>
        </is>
      </c>
      <c r="G200" t="inlineStr">
        <is>
          <t>MOFU</t>
        </is>
      </c>
      <c r="H200" t="inlineStr">
        <is>
          <t>UAE</t>
        </is>
      </c>
      <c r="I200" t="inlineStr">
        <is>
          <t>Healthy Rice category</t>
        </is>
      </c>
      <c r="J200" t="inlineStr">
        <is>
          <t>Category</t>
        </is>
      </c>
      <c r="K200">
        <f>IFERROR(VLOOKUP($A200,'Semrush Import'!$A:$D,2,FALSE),"")</f>
        <v/>
      </c>
      <c r="L200">
        <f>IFERROR(VLOOKUP($A200,'Semrush Import'!$A:$D,3,FALSE),"")</f>
        <v/>
      </c>
      <c r="M200">
        <f>IFERROR(VLOOKUP($A200,'Semrush Import'!$A:$D,4,FALSE),"")</f>
        <v/>
      </c>
      <c r="N200">
        <f>IFERROR(VLOOKUP($A200,'KP Import'!$A:$B,2,FALSE),"")</f>
        <v/>
      </c>
      <c r="O200">
        <f>IF(K200="","",ROUND(K200/(L200+10),1))</f>
        <v/>
      </c>
      <c r="P200">
        <f>IF(O200="","",IF(O200&gt;=20,"A - Go first",IF(O200&gt;=5,"B - Next","C - Later")))</f>
        <v/>
      </c>
      <c r="Q200" t="inlineStr">
        <is>
          <t>To research</t>
        </is>
      </c>
      <c r="R200" t="inlineStr"/>
    </row>
    <row r="201">
      <c r="A201" t="inlineStr">
        <is>
          <t>wild rice price in dubai</t>
        </is>
      </c>
      <c r="B201" t="inlineStr">
        <is>
          <t>Phase 1 - B2B now</t>
        </is>
      </c>
      <c r="C201" t="inlineStr">
        <is>
          <t>Wholesalers / bulk buyers</t>
        </is>
      </c>
      <c r="D201" t="inlineStr">
        <is>
          <t>Price</t>
        </is>
      </c>
      <c r="E201" t="inlineStr">
        <is>
          <t>Healthy</t>
        </is>
      </c>
      <c r="F201" t="inlineStr">
        <is>
          <t>Commercial/Transactional</t>
        </is>
      </c>
      <c r="G201" t="inlineStr">
        <is>
          <t>MOFU</t>
        </is>
      </c>
      <c r="H201" t="inlineStr">
        <is>
          <t>Dubai</t>
        </is>
      </c>
      <c r="I201" t="inlineStr">
        <is>
          <t>Healthy Rice category</t>
        </is>
      </c>
      <c r="J201" t="inlineStr">
        <is>
          <t>Category</t>
        </is>
      </c>
      <c r="K201">
        <f>IFERROR(VLOOKUP($A201,'Semrush Import'!$A:$D,2,FALSE),"")</f>
        <v/>
      </c>
      <c r="L201">
        <f>IFERROR(VLOOKUP($A201,'Semrush Import'!$A:$D,3,FALSE),"")</f>
        <v/>
      </c>
      <c r="M201">
        <f>IFERROR(VLOOKUP($A201,'Semrush Import'!$A:$D,4,FALSE),"")</f>
        <v/>
      </c>
      <c r="N201">
        <f>IFERROR(VLOOKUP($A201,'KP Import'!$A:$B,2,FALSE),"")</f>
        <v/>
      </c>
      <c r="O201">
        <f>IF(K201="","",ROUND(K201/(L201+10),1))</f>
        <v/>
      </c>
      <c r="P201">
        <f>IF(O201="","",IF(O201&gt;=20,"A - Go first",IF(O201&gt;=5,"B - Next","C - Later")))</f>
        <v/>
      </c>
      <c r="Q201" t="inlineStr">
        <is>
          <t>To research</t>
        </is>
      </c>
      <c r="R201" t="inlineStr"/>
    </row>
    <row r="202">
      <c r="A202" t="inlineStr">
        <is>
          <t>wild rice online dubai</t>
        </is>
      </c>
      <c r="B202" t="inlineStr">
        <is>
          <t>Phase 2 - B2C (later)</t>
        </is>
      </c>
      <c r="C202" t="inlineStr">
        <is>
          <t>Consumer / household</t>
        </is>
      </c>
      <c r="D202" t="inlineStr">
        <is>
          <t>Transactional</t>
        </is>
      </c>
      <c r="E202" t="inlineStr">
        <is>
          <t>Healthy</t>
        </is>
      </c>
      <c r="F202" t="inlineStr">
        <is>
          <t>Transactional</t>
        </is>
      </c>
      <c r="G202" t="inlineStr">
        <is>
          <t>BOFU</t>
        </is>
      </c>
      <c r="H202" t="inlineStr">
        <is>
          <t>Dubai</t>
        </is>
      </c>
      <c r="I202" t="inlineStr">
        <is>
          <t>Healthy Rice category</t>
        </is>
      </c>
      <c r="J202" t="inlineStr">
        <is>
          <t>Category</t>
        </is>
      </c>
      <c r="K202">
        <f>IFERROR(VLOOKUP($A202,'Semrush Import'!$A:$D,2,FALSE),"")</f>
        <v/>
      </c>
      <c r="L202">
        <f>IFERROR(VLOOKUP($A202,'Semrush Import'!$A:$D,3,FALSE),"")</f>
        <v/>
      </c>
      <c r="M202">
        <f>IFERROR(VLOOKUP($A202,'Semrush Import'!$A:$D,4,FALSE),"")</f>
        <v/>
      </c>
      <c r="N202">
        <f>IFERROR(VLOOKUP($A202,'KP Import'!$A:$B,2,FALSE),"")</f>
        <v/>
      </c>
      <c r="O202">
        <f>IF(K202="","",ROUND(K202/(L202+10),1))</f>
        <v/>
      </c>
      <c r="P202">
        <f>IF(O202="","",IF(O202&gt;=20,"A - Go first",IF(O202&gt;=5,"B - Next","C - Later")))</f>
        <v/>
      </c>
      <c r="Q202" t="inlineStr">
        <is>
          <t>To research</t>
        </is>
      </c>
      <c r="R202" t="inlineStr"/>
    </row>
    <row r="203">
      <c r="A203" t="inlineStr">
        <is>
          <t>wild rice wholesale dubai</t>
        </is>
      </c>
      <c r="B203" t="inlineStr">
        <is>
          <t>Phase 1 - B2B now</t>
        </is>
      </c>
      <c r="C203" t="inlineStr">
        <is>
          <t>Wholesalers / bulk buyers</t>
        </is>
      </c>
      <c r="D203" t="inlineStr">
        <is>
          <t>Wholesale/B2B</t>
        </is>
      </c>
      <c r="E203" t="inlineStr">
        <is>
          <t>Healthy</t>
        </is>
      </c>
      <c r="F203" t="inlineStr">
        <is>
          <t>Transactional (B2B)</t>
        </is>
      </c>
      <c r="G203" t="inlineStr">
        <is>
          <t>BOFU</t>
        </is>
      </c>
      <c r="H203" t="inlineStr">
        <is>
          <t>Dubai</t>
        </is>
      </c>
      <c r="I203" t="inlineStr">
        <is>
          <t>Wholesale landing page</t>
        </is>
      </c>
      <c r="J203" t="inlineStr">
        <is>
          <t>Landing</t>
        </is>
      </c>
      <c r="K203">
        <f>IFERROR(VLOOKUP($A203,'Semrush Import'!$A:$D,2,FALSE),"")</f>
        <v/>
      </c>
      <c r="L203">
        <f>IFERROR(VLOOKUP($A203,'Semrush Import'!$A:$D,3,FALSE),"")</f>
        <v/>
      </c>
      <c r="M203">
        <f>IFERROR(VLOOKUP($A203,'Semrush Import'!$A:$D,4,FALSE),"")</f>
        <v/>
      </c>
      <c r="N203">
        <f>IFERROR(VLOOKUP($A203,'KP Import'!$A:$B,2,FALSE),"")</f>
        <v/>
      </c>
      <c r="O203">
        <f>IF(K203="","",ROUND(K203/(L203+10),1))</f>
        <v/>
      </c>
      <c r="P203">
        <f>IF(O203="","",IF(O203&gt;=20,"A - Go first",IF(O203&gt;=5,"B - Next","C - Later")))</f>
        <v/>
      </c>
      <c r="Q203" t="inlineStr">
        <is>
          <t>To research</t>
        </is>
      </c>
      <c r="R203" t="inlineStr"/>
    </row>
    <row r="204">
      <c r="A204" t="inlineStr">
        <is>
          <t>wild rice supplier uae</t>
        </is>
      </c>
      <c r="B204" t="inlineStr">
        <is>
          <t>Phase 1 - B2B now</t>
        </is>
      </c>
      <c r="C204" t="inlineStr">
        <is>
          <t>Wholesalers / bulk buyers</t>
        </is>
      </c>
      <c r="D204" t="inlineStr">
        <is>
          <t>Wholesale/B2B</t>
        </is>
      </c>
      <c r="E204" t="inlineStr">
        <is>
          <t>Healthy</t>
        </is>
      </c>
      <c r="F204" t="inlineStr">
        <is>
          <t>Transactional (B2B)</t>
        </is>
      </c>
      <c r="G204" t="inlineStr">
        <is>
          <t>BOFU</t>
        </is>
      </c>
      <c r="H204" t="inlineStr">
        <is>
          <t>UAE</t>
        </is>
      </c>
      <c r="I204" t="inlineStr">
        <is>
          <t>Wholesale landing page</t>
        </is>
      </c>
      <c r="J204" t="inlineStr">
        <is>
          <t>Landing</t>
        </is>
      </c>
      <c r="K204">
        <f>IFERROR(VLOOKUP($A204,'Semrush Import'!$A:$D,2,FALSE),"")</f>
        <v/>
      </c>
      <c r="L204">
        <f>IFERROR(VLOOKUP($A204,'Semrush Import'!$A:$D,3,FALSE),"")</f>
        <v/>
      </c>
      <c r="M204">
        <f>IFERROR(VLOOKUP($A204,'Semrush Import'!$A:$D,4,FALSE),"")</f>
        <v/>
      </c>
      <c r="N204">
        <f>IFERROR(VLOOKUP($A204,'KP Import'!$A:$B,2,FALSE),"")</f>
        <v/>
      </c>
      <c r="O204">
        <f>IF(K204="","",ROUND(K204/(L204+10),1))</f>
        <v/>
      </c>
      <c r="P204">
        <f>IF(O204="","",IF(O204&gt;=20,"A - Go first",IF(O204&gt;=5,"B - Next","C - Later")))</f>
        <v/>
      </c>
      <c r="Q204" t="inlineStr">
        <is>
          <t>To research</t>
        </is>
      </c>
      <c r="R204" t="inlineStr"/>
    </row>
    <row r="205">
      <c r="A205" t="inlineStr">
        <is>
          <t>low gi rice</t>
        </is>
      </c>
      <c r="B205" t="inlineStr">
        <is>
          <t>Phase 1 - B2B now</t>
        </is>
      </c>
      <c r="C205" t="inlineStr">
        <is>
          <t>Wholesalers / bulk buyers</t>
        </is>
      </c>
      <c r="D205" t="inlineStr">
        <is>
          <t>Core product</t>
        </is>
      </c>
      <c r="E205" t="inlineStr">
        <is>
          <t>Healthy</t>
        </is>
      </c>
      <c r="F205" t="inlineStr">
        <is>
          <t>Informational/Commercial</t>
        </is>
      </c>
      <c r="G205" t="inlineStr">
        <is>
          <t>TOFU</t>
        </is>
      </c>
      <c r="H205" t="inlineStr">
        <is>
          <t>UAE (generic)</t>
        </is>
      </c>
      <c r="I205" t="inlineStr">
        <is>
          <t>Healthy Rice category</t>
        </is>
      </c>
      <c r="J205" t="inlineStr">
        <is>
          <t>Category</t>
        </is>
      </c>
      <c r="K205">
        <f>IFERROR(VLOOKUP($A205,'Semrush Import'!$A:$D,2,FALSE),"")</f>
        <v/>
      </c>
      <c r="L205">
        <f>IFERROR(VLOOKUP($A205,'Semrush Import'!$A:$D,3,FALSE),"")</f>
        <v/>
      </c>
      <c r="M205">
        <f>IFERROR(VLOOKUP($A205,'Semrush Import'!$A:$D,4,FALSE),"")</f>
        <v/>
      </c>
      <c r="N205">
        <f>IFERROR(VLOOKUP($A205,'KP Import'!$A:$B,2,FALSE),"")</f>
        <v/>
      </c>
      <c r="O205">
        <f>IF(K205="","",ROUND(K205/(L205+10),1))</f>
        <v/>
      </c>
      <c r="P205">
        <f>IF(O205="","",IF(O205&gt;=20,"A - Go first",IF(O205&gt;=5,"B - Next","C - Later")))</f>
        <v/>
      </c>
      <c r="Q205" t="inlineStr">
        <is>
          <t>To research</t>
        </is>
      </c>
      <c r="R205" t="inlineStr"/>
    </row>
    <row r="206">
      <c r="A206" t="inlineStr">
        <is>
          <t>buy low gi rice online</t>
        </is>
      </c>
      <c r="B206" t="inlineStr">
        <is>
          <t>Phase 2 - B2C (later)</t>
        </is>
      </c>
      <c r="C206" t="inlineStr">
        <is>
          <t>Consumer / household</t>
        </is>
      </c>
      <c r="D206" t="inlineStr">
        <is>
          <t>Transactional</t>
        </is>
      </c>
      <c r="E206" t="inlineStr">
        <is>
          <t>Healthy</t>
        </is>
      </c>
      <c r="F206" t="inlineStr">
        <is>
          <t>Transactional</t>
        </is>
      </c>
      <c r="G206" t="inlineStr">
        <is>
          <t>BOFU</t>
        </is>
      </c>
      <c r="H206" t="inlineStr">
        <is>
          <t>UAE (generic)</t>
        </is>
      </c>
      <c r="I206" t="inlineStr">
        <is>
          <t>Healthy Rice category</t>
        </is>
      </c>
      <c r="J206" t="inlineStr">
        <is>
          <t>Category</t>
        </is>
      </c>
      <c r="K206">
        <f>IFERROR(VLOOKUP($A206,'Semrush Import'!$A:$D,2,FALSE),"")</f>
        <v/>
      </c>
      <c r="L206">
        <f>IFERROR(VLOOKUP($A206,'Semrush Import'!$A:$D,3,FALSE),"")</f>
        <v/>
      </c>
      <c r="M206">
        <f>IFERROR(VLOOKUP($A206,'Semrush Import'!$A:$D,4,FALSE),"")</f>
        <v/>
      </c>
      <c r="N206">
        <f>IFERROR(VLOOKUP($A206,'KP Import'!$A:$B,2,FALSE),"")</f>
        <v/>
      </c>
      <c r="O206">
        <f>IF(K206="","",ROUND(K206/(L206+10),1))</f>
        <v/>
      </c>
      <c r="P206">
        <f>IF(O206="","",IF(O206&gt;=20,"A - Go first",IF(O206&gt;=5,"B - Next","C - Later")))</f>
        <v/>
      </c>
      <c r="Q206" t="inlineStr">
        <is>
          <t>To research</t>
        </is>
      </c>
      <c r="R206" t="inlineStr"/>
    </row>
    <row r="207">
      <c r="A207" t="inlineStr">
        <is>
          <t>low gi rice price in uae</t>
        </is>
      </c>
      <c r="B207" t="inlineStr">
        <is>
          <t>Phase 1 - B2B now</t>
        </is>
      </c>
      <c r="C207" t="inlineStr">
        <is>
          <t>Wholesalers / bulk buyers</t>
        </is>
      </c>
      <c r="D207" t="inlineStr">
        <is>
          <t>Price</t>
        </is>
      </c>
      <c r="E207" t="inlineStr">
        <is>
          <t>Healthy</t>
        </is>
      </c>
      <c r="F207" t="inlineStr">
        <is>
          <t>Commercial/Transactional</t>
        </is>
      </c>
      <c r="G207" t="inlineStr">
        <is>
          <t>MOFU</t>
        </is>
      </c>
      <c r="H207" t="inlineStr">
        <is>
          <t>UAE</t>
        </is>
      </c>
      <c r="I207" t="inlineStr">
        <is>
          <t>Healthy Rice category</t>
        </is>
      </c>
      <c r="J207" t="inlineStr">
        <is>
          <t>Category</t>
        </is>
      </c>
      <c r="K207">
        <f>IFERROR(VLOOKUP($A207,'Semrush Import'!$A:$D,2,FALSE),"")</f>
        <v/>
      </c>
      <c r="L207">
        <f>IFERROR(VLOOKUP($A207,'Semrush Import'!$A:$D,3,FALSE),"")</f>
        <v/>
      </c>
      <c r="M207">
        <f>IFERROR(VLOOKUP($A207,'Semrush Import'!$A:$D,4,FALSE),"")</f>
        <v/>
      </c>
      <c r="N207">
        <f>IFERROR(VLOOKUP($A207,'KP Import'!$A:$B,2,FALSE),"")</f>
        <v/>
      </c>
      <c r="O207">
        <f>IF(K207="","",ROUND(K207/(L207+10),1))</f>
        <v/>
      </c>
      <c r="P207">
        <f>IF(O207="","",IF(O207&gt;=20,"A - Go first",IF(O207&gt;=5,"B - Next","C - Later")))</f>
        <v/>
      </c>
      <c r="Q207" t="inlineStr">
        <is>
          <t>To research</t>
        </is>
      </c>
      <c r="R207" t="inlineStr"/>
    </row>
    <row r="208">
      <c r="A208" t="inlineStr">
        <is>
          <t>low gi rice price in dubai</t>
        </is>
      </c>
      <c r="B208" t="inlineStr">
        <is>
          <t>Phase 1 - B2B now</t>
        </is>
      </c>
      <c r="C208" t="inlineStr">
        <is>
          <t>Wholesalers / bulk buyers</t>
        </is>
      </c>
      <c r="D208" t="inlineStr">
        <is>
          <t>Price</t>
        </is>
      </c>
      <c r="E208" t="inlineStr">
        <is>
          <t>Healthy</t>
        </is>
      </c>
      <c r="F208" t="inlineStr">
        <is>
          <t>Commercial/Transactional</t>
        </is>
      </c>
      <c r="G208" t="inlineStr">
        <is>
          <t>MOFU</t>
        </is>
      </c>
      <c r="H208" t="inlineStr">
        <is>
          <t>Dubai</t>
        </is>
      </c>
      <c r="I208" t="inlineStr">
        <is>
          <t>Healthy Rice category</t>
        </is>
      </c>
      <c r="J208" t="inlineStr">
        <is>
          <t>Category</t>
        </is>
      </c>
      <c r="K208">
        <f>IFERROR(VLOOKUP($A208,'Semrush Import'!$A:$D,2,FALSE),"")</f>
        <v/>
      </c>
      <c r="L208">
        <f>IFERROR(VLOOKUP($A208,'Semrush Import'!$A:$D,3,FALSE),"")</f>
        <v/>
      </c>
      <c r="M208">
        <f>IFERROR(VLOOKUP($A208,'Semrush Import'!$A:$D,4,FALSE),"")</f>
        <v/>
      </c>
      <c r="N208">
        <f>IFERROR(VLOOKUP($A208,'KP Import'!$A:$B,2,FALSE),"")</f>
        <v/>
      </c>
      <c r="O208">
        <f>IF(K208="","",ROUND(K208/(L208+10),1))</f>
        <v/>
      </c>
      <c r="P208">
        <f>IF(O208="","",IF(O208&gt;=20,"A - Go first",IF(O208&gt;=5,"B - Next","C - Later")))</f>
        <v/>
      </c>
      <c r="Q208" t="inlineStr">
        <is>
          <t>To research</t>
        </is>
      </c>
      <c r="R208" t="inlineStr"/>
    </row>
    <row r="209">
      <c r="A209" t="inlineStr">
        <is>
          <t>low gi rice online dubai</t>
        </is>
      </c>
      <c r="B209" t="inlineStr">
        <is>
          <t>Phase 2 - B2C (later)</t>
        </is>
      </c>
      <c r="C209" t="inlineStr">
        <is>
          <t>Consumer / household</t>
        </is>
      </c>
      <c r="D209" t="inlineStr">
        <is>
          <t>Transactional</t>
        </is>
      </c>
      <c r="E209" t="inlineStr">
        <is>
          <t>Healthy</t>
        </is>
      </c>
      <c r="F209" t="inlineStr">
        <is>
          <t>Transactional</t>
        </is>
      </c>
      <c r="G209" t="inlineStr">
        <is>
          <t>BOFU</t>
        </is>
      </c>
      <c r="H209" t="inlineStr">
        <is>
          <t>Dubai</t>
        </is>
      </c>
      <c r="I209" t="inlineStr">
        <is>
          <t>Healthy Rice category</t>
        </is>
      </c>
      <c r="J209" t="inlineStr">
        <is>
          <t>Category</t>
        </is>
      </c>
      <c r="K209">
        <f>IFERROR(VLOOKUP($A209,'Semrush Import'!$A:$D,2,FALSE),"")</f>
        <v/>
      </c>
      <c r="L209">
        <f>IFERROR(VLOOKUP($A209,'Semrush Import'!$A:$D,3,FALSE),"")</f>
        <v/>
      </c>
      <c r="M209">
        <f>IFERROR(VLOOKUP($A209,'Semrush Import'!$A:$D,4,FALSE),"")</f>
        <v/>
      </c>
      <c r="N209">
        <f>IFERROR(VLOOKUP($A209,'KP Import'!$A:$B,2,FALSE),"")</f>
        <v/>
      </c>
      <c r="O209">
        <f>IF(K209="","",ROUND(K209/(L209+10),1))</f>
        <v/>
      </c>
      <c r="P209">
        <f>IF(O209="","",IF(O209&gt;=20,"A - Go first",IF(O209&gt;=5,"B - Next","C - Later")))</f>
        <v/>
      </c>
      <c r="Q209" t="inlineStr">
        <is>
          <t>To research</t>
        </is>
      </c>
      <c r="R209" t="inlineStr"/>
    </row>
    <row r="210">
      <c r="A210" t="inlineStr">
        <is>
          <t>low gi rice wholesale dubai</t>
        </is>
      </c>
      <c r="B210" t="inlineStr">
        <is>
          <t>Phase 1 - B2B now</t>
        </is>
      </c>
      <c r="C210" t="inlineStr">
        <is>
          <t>Wholesalers / bulk buyers</t>
        </is>
      </c>
      <c r="D210" t="inlineStr">
        <is>
          <t>Wholesale/B2B</t>
        </is>
      </c>
      <c r="E210" t="inlineStr">
        <is>
          <t>Healthy</t>
        </is>
      </c>
      <c r="F210" t="inlineStr">
        <is>
          <t>Transactional (B2B)</t>
        </is>
      </c>
      <c r="G210" t="inlineStr">
        <is>
          <t>BOFU</t>
        </is>
      </c>
      <c r="H210" t="inlineStr">
        <is>
          <t>Dubai</t>
        </is>
      </c>
      <c r="I210" t="inlineStr">
        <is>
          <t>Wholesale landing page</t>
        </is>
      </c>
      <c r="J210" t="inlineStr">
        <is>
          <t>Landing</t>
        </is>
      </c>
      <c r="K210">
        <f>IFERROR(VLOOKUP($A210,'Semrush Import'!$A:$D,2,FALSE),"")</f>
        <v/>
      </c>
      <c r="L210">
        <f>IFERROR(VLOOKUP($A210,'Semrush Import'!$A:$D,3,FALSE),"")</f>
        <v/>
      </c>
      <c r="M210">
        <f>IFERROR(VLOOKUP($A210,'Semrush Import'!$A:$D,4,FALSE),"")</f>
        <v/>
      </c>
      <c r="N210">
        <f>IFERROR(VLOOKUP($A210,'KP Import'!$A:$B,2,FALSE),"")</f>
        <v/>
      </c>
      <c r="O210">
        <f>IF(K210="","",ROUND(K210/(L210+10),1))</f>
        <v/>
      </c>
      <c r="P210">
        <f>IF(O210="","",IF(O210&gt;=20,"A - Go first",IF(O210&gt;=5,"B - Next","C - Later")))</f>
        <v/>
      </c>
      <c r="Q210" t="inlineStr">
        <is>
          <t>To research</t>
        </is>
      </c>
      <c r="R210" t="inlineStr"/>
    </row>
    <row r="211">
      <c r="A211" t="inlineStr">
        <is>
          <t>low gi rice supplier uae</t>
        </is>
      </c>
      <c r="B211" t="inlineStr">
        <is>
          <t>Phase 1 - B2B now</t>
        </is>
      </c>
      <c r="C211" t="inlineStr">
        <is>
          <t>Wholesalers / bulk buyers</t>
        </is>
      </c>
      <c r="D211" t="inlineStr">
        <is>
          <t>Wholesale/B2B</t>
        </is>
      </c>
      <c r="E211" t="inlineStr">
        <is>
          <t>Healthy</t>
        </is>
      </c>
      <c r="F211" t="inlineStr">
        <is>
          <t>Transactional (B2B)</t>
        </is>
      </c>
      <c r="G211" t="inlineStr">
        <is>
          <t>BOFU</t>
        </is>
      </c>
      <c r="H211" t="inlineStr">
        <is>
          <t>UAE</t>
        </is>
      </c>
      <c r="I211" t="inlineStr">
        <is>
          <t>Wholesale landing page</t>
        </is>
      </c>
      <c r="J211" t="inlineStr">
        <is>
          <t>Landing</t>
        </is>
      </c>
      <c r="K211">
        <f>IFERROR(VLOOKUP($A211,'Semrush Import'!$A:$D,2,FALSE),"")</f>
        <v/>
      </c>
      <c r="L211">
        <f>IFERROR(VLOOKUP($A211,'Semrush Import'!$A:$D,3,FALSE),"")</f>
        <v/>
      </c>
      <c r="M211">
        <f>IFERROR(VLOOKUP($A211,'Semrush Import'!$A:$D,4,FALSE),"")</f>
        <v/>
      </c>
      <c r="N211">
        <f>IFERROR(VLOOKUP($A211,'KP Import'!$A:$B,2,FALSE),"")</f>
        <v/>
      </c>
      <c r="O211">
        <f>IF(K211="","",ROUND(K211/(L211+10),1))</f>
        <v/>
      </c>
      <c r="P211">
        <f>IF(O211="","",IF(O211&gt;=20,"A - Go first",IF(O211&gt;=5,"B - Next","C - Later")))</f>
        <v/>
      </c>
      <c r="Q211" t="inlineStr">
        <is>
          <t>To research</t>
        </is>
      </c>
      <c r="R211" t="inlineStr"/>
    </row>
    <row r="212">
      <c r="A212" t="inlineStr">
        <is>
          <t>biryani rice</t>
        </is>
      </c>
      <c r="B212" t="inlineStr">
        <is>
          <t>Phase 1 - B2B now</t>
        </is>
      </c>
      <c r="C212" t="inlineStr">
        <is>
          <t>Wholesalers / bulk buyers</t>
        </is>
      </c>
      <c r="D212" t="inlineStr">
        <is>
          <t>Core product</t>
        </is>
      </c>
      <c r="E212" t="inlineStr">
        <is>
          <t>Use-case</t>
        </is>
      </c>
      <c r="F212" t="inlineStr">
        <is>
          <t>Informational/Commercial</t>
        </is>
      </c>
      <c r="G212" t="inlineStr">
        <is>
          <t>TOFU</t>
        </is>
      </c>
      <c r="H212" t="inlineStr">
        <is>
          <t>UAE (generic)</t>
        </is>
      </c>
      <c r="I212" t="inlineStr">
        <is>
          <t>Biryani Rice page</t>
        </is>
      </c>
      <c r="J212" t="inlineStr">
        <is>
          <t>Landing/Blog</t>
        </is>
      </c>
      <c r="K212">
        <f>IFERROR(VLOOKUP($A212,'Semrush Import'!$A:$D,2,FALSE),"")</f>
        <v/>
      </c>
      <c r="L212">
        <f>IFERROR(VLOOKUP($A212,'Semrush Import'!$A:$D,3,FALSE),"")</f>
        <v/>
      </c>
      <c r="M212">
        <f>IFERROR(VLOOKUP($A212,'Semrush Import'!$A:$D,4,FALSE),"")</f>
        <v/>
      </c>
      <c r="N212">
        <f>IFERROR(VLOOKUP($A212,'KP Import'!$A:$B,2,FALSE),"")</f>
        <v/>
      </c>
      <c r="O212">
        <f>IF(K212="","",ROUND(K212/(L212+10),1))</f>
        <v/>
      </c>
      <c r="P212">
        <f>IF(O212="","",IF(O212&gt;=20,"A - Go first",IF(O212&gt;=5,"B - Next","C - Later")))</f>
        <v/>
      </c>
      <c r="Q212" t="inlineStr">
        <is>
          <t>To research</t>
        </is>
      </c>
      <c r="R212" t="inlineStr"/>
    </row>
    <row r="213">
      <c r="A213" t="inlineStr">
        <is>
          <t>buy biryani rice online</t>
        </is>
      </c>
      <c r="B213" t="inlineStr">
        <is>
          <t>Phase 2 - B2C (later)</t>
        </is>
      </c>
      <c r="C213" t="inlineStr">
        <is>
          <t>Consumer / household</t>
        </is>
      </c>
      <c r="D213" t="inlineStr">
        <is>
          <t>Transactional</t>
        </is>
      </c>
      <c r="E213" t="inlineStr">
        <is>
          <t>Use-case</t>
        </is>
      </c>
      <c r="F213" t="inlineStr">
        <is>
          <t>Transactional</t>
        </is>
      </c>
      <c r="G213" t="inlineStr">
        <is>
          <t>BOFU</t>
        </is>
      </c>
      <c r="H213" t="inlineStr">
        <is>
          <t>UAE (generic)</t>
        </is>
      </c>
      <c r="I213" t="inlineStr">
        <is>
          <t>Biryani Rice page</t>
        </is>
      </c>
      <c r="J213" t="inlineStr">
        <is>
          <t>Landing/Blog</t>
        </is>
      </c>
      <c r="K213">
        <f>IFERROR(VLOOKUP($A213,'Semrush Import'!$A:$D,2,FALSE),"")</f>
        <v/>
      </c>
      <c r="L213">
        <f>IFERROR(VLOOKUP($A213,'Semrush Import'!$A:$D,3,FALSE),"")</f>
        <v/>
      </c>
      <c r="M213">
        <f>IFERROR(VLOOKUP($A213,'Semrush Import'!$A:$D,4,FALSE),"")</f>
        <v/>
      </c>
      <c r="N213">
        <f>IFERROR(VLOOKUP($A213,'KP Import'!$A:$B,2,FALSE),"")</f>
        <v/>
      </c>
      <c r="O213">
        <f>IF(K213="","",ROUND(K213/(L213+10),1))</f>
        <v/>
      </c>
      <c r="P213">
        <f>IF(O213="","",IF(O213&gt;=20,"A - Go first",IF(O213&gt;=5,"B - Next","C - Later")))</f>
        <v/>
      </c>
      <c r="Q213" t="inlineStr">
        <is>
          <t>To research</t>
        </is>
      </c>
      <c r="R213" t="inlineStr"/>
    </row>
    <row r="214">
      <c r="A214" t="inlineStr">
        <is>
          <t>biryani rice price in uae</t>
        </is>
      </c>
      <c r="B214" t="inlineStr">
        <is>
          <t>Phase 1 - B2B now</t>
        </is>
      </c>
      <c r="C214" t="inlineStr">
        <is>
          <t>Wholesalers / bulk buyers</t>
        </is>
      </c>
      <c r="D214" t="inlineStr">
        <is>
          <t>Price</t>
        </is>
      </c>
      <c r="E214" t="inlineStr">
        <is>
          <t>Use-case</t>
        </is>
      </c>
      <c r="F214" t="inlineStr">
        <is>
          <t>Commercial/Transactional</t>
        </is>
      </c>
      <c r="G214" t="inlineStr">
        <is>
          <t>MOFU</t>
        </is>
      </c>
      <c r="H214" t="inlineStr">
        <is>
          <t>UAE</t>
        </is>
      </c>
      <c r="I214" t="inlineStr">
        <is>
          <t>Biryani Rice page</t>
        </is>
      </c>
      <c r="J214" t="inlineStr">
        <is>
          <t>Landing/Blog</t>
        </is>
      </c>
      <c r="K214">
        <f>IFERROR(VLOOKUP($A214,'Semrush Import'!$A:$D,2,FALSE),"")</f>
        <v/>
      </c>
      <c r="L214">
        <f>IFERROR(VLOOKUP($A214,'Semrush Import'!$A:$D,3,FALSE),"")</f>
        <v/>
      </c>
      <c r="M214">
        <f>IFERROR(VLOOKUP($A214,'Semrush Import'!$A:$D,4,FALSE),"")</f>
        <v/>
      </c>
      <c r="N214">
        <f>IFERROR(VLOOKUP($A214,'KP Import'!$A:$B,2,FALSE),"")</f>
        <v/>
      </c>
      <c r="O214">
        <f>IF(K214="","",ROUND(K214/(L214+10),1))</f>
        <v/>
      </c>
      <c r="P214">
        <f>IF(O214="","",IF(O214&gt;=20,"A - Go first",IF(O214&gt;=5,"B - Next","C - Later")))</f>
        <v/>
      </c>
      <c r="Q214" t="inlineStr">
        <is>
          <t>To research</t>
        </is>
      </c>
      <c r="R214" t="inlineStr"/>
    </row>
    <row r="215">
      <c r="A215" t="inlineStr">
        <is>
          <t>biryani rice price in dubai</t>
        </is>
      </c>
      <c r="B215" t="inlineStr">
        <is>
          <t>Phase 1 - B2B now</t>
        </is>
      </c>
      <c r="C215" t="inlineStr">
        <is>
          <t>Wholesalers / bulk buyers</t>
        </is>
      </c>
      <c r="D215" t="inlineStr">
        <is>
          <t>Price</t>
        </is>
      </c>
      <c r="E215" t="inlineStr">
        <is>
          <t>Use-case</t>
        </is>
      </c>
      <c r="F215" t="inlineStr">
        <is>
          <t>Commercial/Transactional</t>
        </is>
      </c>
      <c r="G215" t="inlineStr">
        <is>
          <t>MOFU</t>
        </is>
      </c>
      <c r="H215" t="inlineStr">
        <is>
          <t>Dubai</t>
        </is>
      </c>
      <c r="I215" t="inlineStr">
        <is>
          <t>Biryani Rice page</t>
        </is>
      </c>
      <c r="J215" t="inlineStr">
        <is>
          <t>Landing/Blog</t>
        </is>
      </c>
      <c r="K215">
        <f>IFERROR(VLOOKUP($A215,'Semrush Import'!$A:$D,2,FALSE),"")</f>
        <v/>
      </c>
      <c r="L215">
        <f>IFERROR(VLOOKUP($A215,'Semrush Import'!$A:$D,3,FALSE),"")</f>
        <v/>
      </c>
      <c r="M215">
        <f>IFERROR(VLOOKUP($A215,'Semrush Import'!$A:$D,4,FALSE),"")</f>
        <v/>
      </c>
      <c r="N215">
        <f>IFERROR(VLOOKUP($A215,'KP Import'!$A:$B,2,FALSE),"")</f>
        <v/>
      </c>
      <c r="O215">
        <f>IF(K215="","",ROUND(K215/(L215+10),1))</f>
        <v/>
      </c>
      <c r="P215">
        <f>IF(O215="","",IF(O215&gt;=20,"A - Go first",IF(O215&gt;=5,"B - Next","C - Later")))</f>
        <v/>
      </c>
      <c r="Q215" t="inlineStr">
        <is>
          <t>To research</t>
        </is>
      </c>
      <c r="R215" t="inlineStr"/>
    </row>
    <row r="216">
      <c r="A216" t="inlineStr">
        <is>
          <t>biryani rice online dubai</t>
        </is>
      </c>
      <c r="B216" t="inlineStr">
        <is>
          <t>Phase 2 - B2C (later)</t>
        </is>
      </c>
      <c r="C216" t="inlineStr">
        <is>
          <t>Consumer / household</t>
        </is>
      </c>
      <c r="D216" t="inlineStr">
        <is>
          <t>Transactional</t>
        </is>
      </c>
      <c r="E216" t="inlineStr">
        <is>
          <t>Use-case</t>
        </is>
      </c>
      <c r="F216" t="inlineStr">
        <is>
          <t>Transactional</t>
        </is>
      </c>
      <c r="G216" t="inlineStr">
        <is>
          <t>BOFU</t>
        </is>
      </c>
      <c r="H216" t="inlineStr">
        <is>
          <t>Dubai</t>
        </is>
      </c>
      <c r="I216" t="inlineStr">
        <is>
          <t>Biryani Rice page</t>
        </is>
      </c>
      <c r="J216" t="inlineStr">
        <is>
          <t>Landing/Blog</t>
        </is>
      </c>
      <c r="K216">
        <f>IFERROR(VLOOKUP($A216,'Semrush Import'!$A:$D,2,FALSE),"")</f>
        <v/>
      </c>
      <c r="L216">
        <f>IFERROR(VLOOKUP($A216,'Semrush Import'!$A:$D,3,FALSE),"")</f>
        <v/>
      </c>
      <c r="M216">
        <f>IFERROR(VLOOKUP($A216,'Semrush Import'!$A:$D,4,FALSE),"")</f>
        <v/>
      </c>
      <c r="N216">
        <f>IFERROR(VLOOKUP($A216,'KP Import'!$A:$B,2,FALSE),"")</f>
        <v/>
      </c>
      <c r="O216">
        <f>IF(K216="","",ROUND(K216/(L216+10),1))</f>
        <v/>
      </c>
      <c r="P216">
        <f>IF(O216="","",IF(O216&gt;=20,"A - Go first",IF(O216&gt;=5,"B - Next","C - Later")))</f>
        <v/>
      </c>
      <c r="Q216" t="inlineStr">
        <is>
          <t>To research</t>
        </is>
      </c>
      <c r="R216" t="inlineStr"/>
    </row>
    <row r="217">
      <c r="A217" t="inlineStr">
        <is>
          <t>biryani rice wholesale dubai</t>
        </is>
      </c>
      <c r="B217" t="inlineStr">
        <is>
          <t>Phase 1 - B2B now</t>
        </is>
      </c>
      <c r="C217" t="inlineStr">
        <is>
          <t>Wholesalers / bulk buyers</t>
        </is>
      </c>
      <c r="D217" t="inlineStr">
        <is>
          <t>Wholesale/B2B</t>
        </is>
      </c>
      <c r="E217" t="inlineStr">
        <is>
          <t>Use-case</t>
        </is>
      </c>
      <c r="F217" t="inlineStr">
        <is>
          <t>Transactional (B2B)</t>
        </is>
      </c>
      <c r="G217" t="inlineStr">
        <is>
          <t>BOFU</t>
        </is>
      </c>
      <c r="H217" t="inlineStr">
        <is>
          <t>Dubai</t>
        </is>
      </c>
      <c r="I217" t="inlineStr">
        <is>
          <t>Wholesale landing page</t>
        </is>
      </c>
      <c r="J217" t="inlineStr">
        <is>
          <t>Landing</t>
        </is>
      </c>
      <c r="K217">
        <f>IFERROR(VLOOKUP($A217,'Semrush Import'!$A:$D,2,FALSE),"")</f>
        <v/>
      </c>
      <c r="L217">
        <f>IFERROR(VLOOKUP($A217,'Semrush Import'!$A:$D,3,FALSE),"")</f>
        <v/>
      </c>
      <c r="M217">
        <f>IFERROR(VLOOKUP($A217,'Semrush Import'!$A:$D,4,FALSE),"")</f>
        <v/>
      </c>
      <c r="N217">
        <f>IFERROR(VLOOKUP($A217,'KP Import'!$A:$B,2,FALSE),"")</f>
        <v/>
      </c>
      <c r="O217">
        <f>IF(K217="","",ROUND(K217/(L217+10),1))</f>
        <v/>
      </c>
      <c r="P217">
        <f>IF(O217="","",IF(O217&gt;=20,"A - Go first",IF(O217&gt;=5,"B - Next","C - Later")))</f>
        <v/>
      </c>
      <c r="Q217" t="inlineStr">
        <is>
          <t>To research</t>
        </is>
      </c>
      <c r="R217" t="inlineStr"/>
    </row>
    <row r="218">
      <c r="A218" t="inlineStr">
        <is>
          <t>biryani rice supplier uae</t>
        </is>
      </c>
      <c r="B218" t="inlineStr">
        <is>
          <t>Phase 1 - B2B now</t>
        </is>
      </c>
      <c r="C218" t="inlineStr">
        <is>
          <t>Wholesalers / bulk buyers</t>
        </is>
      </c>
      <c r="D218" t="inlineStr">
        <is>
          <t>Wholesale/B2B</t>
        </is>
      </c>
      <c r="E218" t="inlineStr">
        <is>
          <t>Use-case</t>
        </is>
      </c>
      <c r="F218" t="inlineStr">
        <is>
          <t>Transactional (B2B)</t>
        </is>
      </c>
      <c r="G218" t="inlineStr">
        <is>
          <t>BOFU</t>
        </is>
      </c>
      <c r="H218" t="inlineStr">
        <is>
          <t>UAE</t>
        </is>
      </c>
      <c r="I218" t="inlineStr">
        <is>
          <t>Wholesale landing page</t>
        </is>
      </c>
      <c r="J218" t="inlineStr">
        <is>
          <t>Landing</t>
        </is>
      </c>
      <c r="K218">
        <f>IFERROR(VLOOKUP($A218,'Semrush Import'!$A:$D,2,FALSE),"")</f>
        <v/>
      </c>
      <c r="L218">
        <f>IFERROR(VLOOKUP($A218,'Semrush Import'!$A:$D,3,FALSE),"")</f>
        <v/>
      </c>
      <c r="M218">
        <f>IFERROR(VLOOKUP($A218,'Semrush Import'!$A:$D,4,FALSE),"")</f>
        <v/>
      </c>
      <c r="N218">
        <f>IFERROR(VLOOKUP($A218,'KP Import'!$A:$B,2,FALSE),"")</f>
        <v/>
      </c>
      <c r="O218">
        <f>IF(K218="","",ROUND(K218/(L218+10),1))</f>
        <v/>
      </c>
      <c r="P218">
        <f>IF(O218="","",IF(O218&gt;=20,"A - Go first",IF(O218&gt;=5,"B - Next","C - Later")))</f>
        <v/>
      </c>
      <c r="Q218" t="inlineStr">
        <is>
          <t>To research</t>
        </is>
      </c>
      <c r="R218" t="inlineStr"/>
    </row>
    <row r="219">
      <c r="A219" t="inlineStr">
        <is>
          <t>rice for biryani</t>
        </is>
      </c>
      <c r="B219" t="inlineStr">
        <is>
          <t>Phase 1 - B2B now</t>
        </is>
      </c>
      <c r="C219" t="inlineStr">
        <is>
          <t>Wholesalers / bulk buyers</t>
        </is>
      </c>
      <c r="D219" t="inlineStr">
        <is>
          <t>Core product</t>
        </is>
      </c>
      <c r="E219" t="inlineStr">
        <is>
          <t>Use-case</t>
        </is>
      </c>
      <c r="F219" t="inlineStr">
        <is>
          <t>Informational/Commercial</t>
        </is>
      </c>
      <c r="G219" t="inlineStr">
        <is>
          <t>TOFU</t>
        </is>
      </c>
      <c r="H219" t="inlineStr">
        <is>
          <t>UAE (generic)</t>
        </is>
      </c>
      <c r="I219" t="inlineStr">
        <is>
          <t>Biryani Rice page</t>
        </is>
      </c>
      <c r="J219" t="inlineStr">
        <is>
          <t>Landing/Blog</t>
        </is>
      </c>
      <c r="K219">
        <f>IFERROR(VLOOKUP($A219,'Semrush Import'!$A:$D,2,FALSE),"")</f>
        <v/>
      </c>
      <c r="L219">
        <f>IFERROR(VLOOKUP($A219,'Semrush Import'!$A:$D,3,FALSE),"")</f>
        <v/>
      </c>
      <c r="M219">
        <f>IFERROR(VLOOKUP($A219,'Semrush Import'!$A:$D,4,FALSE),"")</f>
        <v/>
      </c>
      <c r="N219">
        <f>IFERROR(VLOOKUP($A219,'KP Import'!$A:$B,2,FALSE),"")</f>
        <v/>
      </c>
      <c r="O219">
        <f>IF(K219="","",ROUND(K219/(L219+10),1))</f>
        <v/>
      </c>
      <c r="P219">
        <f>IF(O219="","",IF(O219&gt;=20,"A - Go first",IF(O219&gt;=5,"B - Next","C - Later")))</f>
        <v/>
      </c>
      <c r="Q219" t="inlineStr">
        <is>
          <t>To research</t>
        </is>
      </c>
      <c r="R219" t="inlineStr"/>
    </row>
    <row r="220">
      <c r="A220" t="inlineStr">
        <is>
          <t>buy rice for biryani online</t>
        </is>
      </c>
      <c r="B220" t="inlineStr">
        <is>
          <t>Phase 2 - B2C (later)</t>
        </is>
      </c>
      <c r="C220" t="inlineStr">
        <is>
          <t>Consumer / household</t>
        </is>
      </c>
      <c r="D220" t="inlineStr">
        <is>
          <t>Transactional</t>
        </is>
      </c>
      <c r="E220" t="inlineStr">
        <is>
          <t>Use-case</t>
        </is>
      </c>
      <c r="F220" t="inlineStr">
        <is>
          <t>Transactional</t>
        </is>
      </c>
      <c r="G220" t="inlineStr">
        <is>
          <t>BOFU</t>
        </is>
      </c>
      <c r="H220" t="inlineStr">
        <is>
          <t>UAE (generic)</t>
        </is>
      </c>
      <c r="I220" t="inlineStr">
        <is>
          <t>Biryani Rice page</t>
        </is>
      </c>
      <c r="J220" t="inlineStr">
        <is>
          <t>Landing/Blog</t>
        </is>
      </c>
      <c r="K220">
        <f>IFERROR(VLOOKUP($A220,'Semrush Import'!$A:$D,2,FALSE),"")</f>
        <v/>
      </c>
      <c r="L220">
        <f>IFERROR(VLOOKUP($A220,'Semrush Import'!$A:$D,3,FALSE),"")</f>
        <v/>
      </c>
      <c r="M220">
        <f>IFERROR(VLOOKUP($A220,'Semrush Import'!$A:$D,4,FALSE),"")</f>
        <v/>
      </c>
      <c r="N220">
        <f>IFERROR(VLOOKUP($A220,'KP Import'!$A:$B,2,FALSE),"")</f>
        <v/>
      </c>
      <c r="O220">
        <f>IF(K220="","",ROUND(K220/(L220+10),1))</f>
        <v/>
      </c>
      <c r="P220">
        <f>IF(O220="","",IF(O220&gt;=20,"A - Go first",IF(O220&gt;=5,"B - Next","C - Later")))</f>
        <v/>
      </c>
      <c r="Q220" t="inlineStr">
        <is>
          <t>To research</t>
        </is>
      </c>
      <c r="R220" t="inlineStr"/>
    </row>
    <row r="221">
      <c r="A221" t="inlineStr">
        <is>
          <t>rice for biryani price in uae</t>
        </is>
      </c>
      <c r="B221" t="inlineStr">
        <is>
          <t>Phase 1 - B2B now</t>
        </is>
      </c>
      <c r="C221" t="inlineStr">
        <is>
          <t>Wholesalers / bulk buyers</t>
        </is>
      </c>
      <c r="D221" t="inlineStr">
        <is>
          <t>Price</t>
        </is>
      </c>
      <c r="E221" t="inlineStr">
        <is>
          <t>Use-case</t>
        </is>
      </c>
      <c r="F221" t="inlineStr">
        <is>
          <t>Commercial/Transactional</t>
        </is>
      </c>
      <c r="G221" t="inlineStr">
        <is>
          <t>MOFU</t>
        </is>
      </c>
      <c r="H221" t="inlineStr">
        <is>
          <t>UAE</t>
        </is>
      </c>
      <c r="I221" t="inlineStr">
        <is>
          <t>Biryani Rice page</t>
        </is>
      </c>
      <c r="J221" t="inlineStr">
        <is>
          <t>Landing/Blog</t>
        </is>
      </c>
      <c r="K221">
        <f>IFERROR(VLOOKUP($A221,'Semrush Import'!$A:$D,2,FALSE),"")</f>
        <v/>
      </c>
      <c r="L221">
        <f>IFERROR(VLOOKUP($A221,'Semrush Import'!$A:$D,3,FALSE),"")</f>
        <v/>
      </c>
      <c r="M221">
        <f>IFERROR(VLOOKUP($A221,'Semrush Import'!$A:$D,4,FALSE),"")</f>
        <v/>
      </c>
      <c r="N221">
        <f>IFERROR(VLOOKUP($A221,'KP Import'!$A:$B,2,FALSE),"")</f>
        <v/>
      </c>
      <c r="O221">
        <f>IF(K221="","",ROUND(K221/(L221+10),1))</f>
        <v/>
      </c>
      <c r="P221">
        <f>IF(O221="","",IF(O221&gt;=20,"A - Go first",IF(O221&gt;=5,"B - Next","C - Later")))</f>
        <v/>
      </c>
      <c r="Q221" t="inlineStr">
        <is>
          <t>To research</t>
        </is>
      </c>
      <c r="R221" t="inlineStr"/>
    </row>
    <row r="222">
      <c r="A222" t="inlineStr">
        <is>
          <t>rice for biryani price in dubai</t>
        </is>
      </c>
      <c r="B222" t="inlineStr">
        <is>
          <t>Phase 1 - B2B now</t>
        </is>
      </c>
      <c r="C222" t="inlineStr">
        <is>
          <t>Wholesalers / bulk buyers</t>
        </is>
      </c>
      <c r="D222" t="inlineStr">
        <is>
          <t>Price</t>
        </is>
      </c>
      <c r="E222" t="inlineStr">
        <is>
          <t>Use-case</t>
        </is>
      </c>
      <c r="F222" t="inlineStr">
        <is>
          <t>Commercial/Transactional</t>
        </is>
      </c>
      <c r="G222" t="inlineStr">
        <is>
          <t>MOFU</t>
        </is>
      </c>
      <c r="H222" t="inlineStr">
        <is>
          <t>Dubai</t>
        </is>
      </c>
      <c r="I222" t="inlineStr">
        <is>
          <t>Biryani Rice page</t>
        </is>
      </c>
      <c r="J222" t="inlineStr">
        <is>
          <t>Landing/Blog</t>
        </is>
      </c>
      <c r="K222">
        <f>IFERROR(VLOOKUP($A222,'Semrush Import'!$A:$D,2,FALSE),"")</f>
        <v/>
      </c>
      <c r="L222">
        <f>IFERROR(VLOOKUP($A222,'Semrush Import'!$A:$D,3,FALSE),"")</f>
        <v/>
      </c>
      <c r="M222">
        <f>IFERROR(VLOOKUP($A222,'Semrush Import'!$A:$D,4,FALSE),"")</f>
        <v/>
      </c>
      <c r="N222">
        <f>IFERROR(VLOOKUP($A222,'KP Import'!$A:$B,2,FALSE),"")</f>
        <v/>
      </c>
      <c r="O222">
        <f>IF(K222="","",ROUND(K222/(L222+10),1))</f>
        <v/>
      </c>
      <c r="P222">
        <f>IF(O222="","",IF(O222&gt;=20,"A - Go first",IF(O222&gt;=5,"B - Next","C - Later")))</f>
        <v/>
      </c>
      <c r="Q222" t="inlineStr">
        <is>
          <t>To research</t>
        </is>
      </c>
      <c r="R222" t="inlineStr"/>
    </row>
    <row r="223">
      <c r="A223" t="inlineStr">
        <is>
          <t>rice for biryani online dubai</t>
        </is>
      </c>
      <c r="B223" t="inlineStr">
        <is>
          <t>Phase 2 - B2C (later)</t>
        </is>
      </c>
      <c r="C223" t="inlineStr">
        <is>
          <t>Consumer / household</t>
        </is>
      </c>
      <c r="D223" t="inlineStr">
        <is>
          <t>Transactional</t>
        </is>
      </c>
      <c r="E223" t="inlineStr">
        <is>
          <t>Use-case</t>
        </is>
      </c>
      <c r="F223" t="inlineStr">
        <is>
          <t>Transactional</t>
        </is>
      </c>
      <c r="G223" t="inlineStr">
        <is>
          <t>BOFU</t>
        </is>
      </c>
      <c r="H223" t="inlineStr">
        <is>
          <t>Dubai</t>
        </is>
      </c>
      <c r="I223" t="inlineStr">
        <is>
          <t>Biryani Rice page</t>
        </is>
      </c>
      <c r="J223" t="inlineStr">
        <is>
          <t>Landing/Blog</t>
        </is>
      </c>
      <c r="K223">
        <f>IFERROR(VLOOKUP($A223,'Semrush Import'!$A:$D,2,FALSE),"")</f>
        <v/>
      </c>
      <c r="L223">
        <f>IFERROR(VLOOKUP($A223,'Semrush Import'!$A:$D,3,FALSE),"")</f>
        <v/>
      </c>
      <c r="M223">
        <f>IFERROR(VLOOKUP($A223,'Semrush Import'!$A:$D,4,FALSE),"")</f>
        <v/>
      </c>
      <c r="N223">
        <f>IFERROR(VLOOKUP($A223,'KP Import'!$A:$B,2,FALSE),"")</f>
        <v/>
      </c>
      <c r="O223">
        <f>IF(K223="","",ROUND(K223/(L223+10),1))</f>
        <v/>
      </c>
      <c r="P223">
        <f>IF(O223="","",IF(O223&gt;=20,"A - Go first",IF(O223&gt;=5,"B - Next","C - Later")))</f>
        <v/>
      </c>
      <c r="Q223" t="inlineStr">
        <is>
          <t>To research</t>
        </is>
      </c>
      <c r="R223" t="inlineStr"/>
    </row>
    <row r="224">
      <c r="A224" t="inlineStr">
        <is>
          <t>rice for biryani wholesale dubai</t>
        </is>
      </c>
      <c r="B224" t="inlineStr">
        <is>
          <t>Phase 1 - B2B now</t>
        </is>
      </c>
      <c r="C224" t="inlineStr">
        <is>
          <t>Wholesalers / bulk buyers</t>
        </is>
      </c>
      <c r="D224" t="inlineStr">
        <is>
          <t>Wholesale/B2B</t>
        </is>
      </c>
      <c r="E224" t="inlineStr">
        <is>
          <t>Use-case</t>
        </is>
      </c>
      <c r="F224" t="inlineStr">
        <is>
          <t>Transactional (B2B)</t>
        </is>
      </c>
      <c r="G224" t="inlineStr">
        <is>
          <t>BOFU</t>
        </is>
      </c>
      <c r="H224" t="inlineStr">
        <is>
          <t>Dubai</t>
        </is>
      </c>
      <c r="I224" t="inlineStr">
        <is>
          <t>Wholesale landing page</t>
        </is>
      </c>
      <c r="J224" t="inlineStr">
        <is>
          <t>Landing</t>
        </is>
      </c>
      <c r="K224">
        <f>IFERROR(VLOOKUP($A224,'Semrush Import'!$A:$D,2,FALSE),"")</f>
        <v/>
      </c>
      <c r="L224">
        <f>IFERROR(VLOOKUP($A224,'Semrush Import'!$A:$D,3,FALSE),"")</f>
        <v/>
      </c>
      <c r="M224">
        <f>IFERROR(VLOOKUP($A224,'Semrush Import'!$A:$D,4,FALSE),"")</f>
        <v/>
      </c>
      <c r="N224">
        <f>IFERROR(VLOOKUP($A224,'KP Import'!$A:$B,2,FALSE),"")</f>
        <v/>
      </c>
      <c r="O224">
        <f>IF(K224="","",ROUND(K224/(L224+10),1))</f>
        <v/>
      </c>
      <c r="P224">
        <f>IF(O224="","",IF(O224&gt;=20,"A - Go first",IF(O224&gt;=5,"B - Next","C - Later")))</f>
        <v/>
      </c>
      <c r="Q224" t="inlineStr">
        <is>
          <t>To research</t>
        </is>
      </c>
      <c r="R224" t="inlineStr"/>
    </row>
    <row r="225">
      <c r="A225" t="inlineStr">
        <is>
          <t>rice for biryani supplier uae</t>
        </is>
      </c>
      <c r="B225" t="inlineStr">
        <is>
          <t>Phase 1 - B2B now</t>
        </is>
      </c>
      <c r="C225" t="inlineStr">
        <is>
          <t>Wholesalers / bulk buyers</t>
        </is>
      </c>
      <c r="D225" t="inlineStr">
        <is>
          <t>Wholesale/B2B</t>
        </is>
      </c>
      <c r="E225" t="inlineStr">
        <is>
          <t>Use-case</t>
        </is>
      </c>
      <c r="F225" t="inlineStr">
        <is>
          <t>Transactional (B2B)</t>
        </is>
      </c>
      <c r="G225" t="inlineStr">
        <is>
          <t>BOFU</t>
        </is>
      </c>
      <c r="H225" t="inlineStr">
        <is>
          <t>UAE</t>
        </is>
      </c>
      <c r="I225" t="inlineStr">
        <is>
          <t>Wholesale landing page</t>
        </is>
      </c>
      <c r="J225" t="inlineStr">
        <is>
          <t>Landing</t>
        </is>
      </c>
      <c r="K225">
        <f>IFERROR(VLOOKUP($A225,'Semrush Import'!$A:$D,2,FALSE),"")</f>
        <v/>
      </c>
      <c r="L225">
        <f>IFERROR(VLOOKUP($A225,'Semrush Import'!$A:$D,3,FALSE),"")</f>
        <v/>
      </c>
      <c r="M225">
        <f>IFERROR(VLOOKUP($A225,'Semrush Import'!$A:$D,4,FALSE),"")</f>
        <v/>
      </c>
      <c r="N225">
        <f>IFERROR(VLOOKUP($A225,'KP Import'!$A:$B,2,FALSE),"")</f>
        <v/>
      </c>
      <c r="O225">
        <f>IF(K225="","",ROUND(K225/(L225+10),1))</f>
        <v/>
      </c>
      <c r="P225">
        <f>IF(O225="","",IF(O225&gt;=20,"A - Go first",IF(O225&gt;=5,"B - Next","C - Later")))</f>
        <v/>
      </c>
      <c r="Q225" t="inlineStr">
        <is>
          <t>To research</t>
        </is>
      </c>
      <c r="R225" t="inlineStr"/>
    </row>
    <row r="226">
      <c r="A226" t="inlineStr">
        <is>
          <t>rice for kabsa</t>
        </is>
      </c>
      <c r="B226" t="inlineStr">
        <is>
          <t>Phase 1 - B2B now</t>
        </is>
      </c>
      <c r="C226" t="inlineStr">
        <is>
          <t>Wholesalers / bulk buyers</t>
        </is>
      </c>
      <c r="D226" t="inlineStr">
        <is>
          <t>Core product</t>
        </is>
      </c>
      <c r="E226" t="inlineStr">
        <is>
          <t>Use-case</t>
        </is>
      </c>
      <c r="F226" t="inlineStr">
        <is>
          <t>Informational/Commercial</t>
        </is>
      </c>
      <c r="G226" t="inlineStr">
        <is>
          <t>TOFU</t>
        </is>
      </c>
      <c r="H226" t="inlineStr">
        <is>
          <t>UAE (generic)</t>
        </is>
      </c>
      <c r="I226" t="inlineStr">
        <is>
          <t>Arabic/Kabsa Rice page</t>
        </is>
      </c>
      <c r="J226" t="inlineStr">
        <is>
          <t>Landing/Blog</t>
        </is>
      </c>
      <c r="K226">
        <f>IFERROR(VLOOKUP($A226,'Semrush Import'!$A:$D,2,FALSE),"")</f>
        <v/>
      </c>
      <c r="L226">
        <f>IFERROR(VLOOKUP($A226,'Semrush Import'!$A:$D,3,FALSE),"")</f>
        <v/>
      </c>
      <c r="M226">
        <f>IFERROR(VLOOKUP($A226,'Semrush Import'!$A:$D,4,FALSE),"")</f>
        <v/>
      </c>
      <c r="N226">
        <f>IFERROR(VLOOKUP($A226,'KP Import'!$A:$B,2,FALSE),"")</f>
        <v/>
      </c>
      <c r="O226">
        <f>IF(K226="","",ROUND(K226/(L226+10),1))</f>
        <v/>
      </c>
      <c r="P226">
        <f>IF(O226="","",IF(O226&gt;=20,"A - Go first",IF(O226&gt;=5,"B - Next","C - Later")))</f>
        <v/>
      </c>
      <c r="Q226" t="inlineStr">
        <is>
          <t>To research</t>
        </is>
      </c>
      <c r="R226" t="inlineStr"/>
    </row>
    <row r="227">
      <c r="A227" t="inlineStr">
        <is>
          <t>buy rice for kabsa online</t>
        </is>
      </c>
      <c r="B227" t="inlineStr">
        <is>
          <t>Phase 2 - B2C (later)</t>
        </is>
      </c>
      <c r="C227" t="inlineStr">
        <is>
          <t>Consumer / household</t>
        </is>
      </c>
      <c r="D227" t="inlineStr">
        <is>
          <t>Transactional</t>
        </is>
      </c>
      <c r="E227" t="inlineStr">
        <is>
          <t>Use-case</t>
        </is>
      </c>
      <c r="F227" t="inlineStr">
        <is>
          <t>Transactional</t>
        </is>
      </c>
      <c r="G227" t="inlineStr">
        <is>
          <t>BOFU</t>
        </is>
      </c>
      <c r="H227" t="inlineStr">
        <is>
          <t>UAE (generic)</t>
        </is>
      </c>
      <c r="I227" t="inlineStr">
        <is>
          <t>Arabic/Kabsa Rice page</t>
        </is>
      </c>
      <c r="J227" t="inlineStr">
        <is>
          <t>Landing/Blog</t>
        </is>
      </c>
      <c r="K227">
        <f>IFERROR(VLOOKUP($A227,'Semrush Import'!$A:$D,2,FALSE),"")</f>
        <v/>
      </c>
      <c r="L227">
        <f>IFERROR(VLOOKUP($A227,'Semrush Import'!$A:$D,3,FALSE),"")</f>
        <v/>
      </c>
      <c r="M227">
        <f>IFERROR(VLOOKUP($A227,'Semrush Import'!$A:$D,4,FALSE),"")</f>
        <v/>
      </c>
      <c r="N227">
        <f>IFERROR(VLOOKUP($A227,'KP Import'!$A:$B,2,FALSE),"")</f>
        <v/>
      </c>
      <c r="O227">
        <f>IF(K227="","",ROUND(K227/(L227+10),1))</f>
        <v/>
      </c>
      <c r="P227">
        <f>IF(O227="","",IF(O227&gt;=20,"A - Go first",IF(O227&gt;=5,"B - Next","C - Later")))</f>
        <v/>
      </c>
      <c r="Q227" t="inlineStr">
        <is>
          <t>To research</t>
        </is>
      </c>
      <c r="R227" t="inlineStr"/>
    </row>
    <row r="228">
      <c r="A228" t="inlineStr">
        <is>
          <t>rice for kabsa price in uae</t>
        </is>
      </c>
      <c r="B228" t="inlineStr">
        <is>
          <t>Phase 1 - B2B now</t>
        </is>
      </c>
      <c r="C228" t="inlineStr">
        <is>
          <t>Wholesalers / bulk buyers</t>
        </is>
      </c>
      <c r="D228" t="inlineStr">
        <is>
          <t>Price</t>
        </is>
      </c>
      <c r="E228" t="inlineStr">
        <is>
          <t>Use-case</t>
        </is>
      </c>
      <c r="F228" t="inlineStr">
        <is>
          <t>Commercial/Transactional</t>
        </is>
      </c>
      <c r="G228" t="inlineStr">
        <is>
          <t>MOFU</t>
        </is>
      </c>
      <c r="H228" t="inlineStr">
        <is>
          <t>UAE</t>
        </is>
      </c>
      <c r="I228" t="inlineStr">
        <is>
          <t>Arabic/Kabsa Rice page</t>
        </is>
      </c>
      <c r="J228" t="inlineStr">
        <is>
          <t>Landing/Blog</t>
        </is>
      </c>
      <c r="K228">
        <f>IFERROR(VLOOKUP($A228,'Semrush Import'!$A:$D,2,FALSE),"")</f>
        <v/>
      </c>
      <c r="L228">
        <f>IFERROR(VLOOKUP($A228,'Semrush Import'!$A:$D,3,FALSE),"")</f>
        <v/>
      </c>
      <c r="M228">
        <f>IFERROR(VLOOKUP($A228,'Semrush Import'!$A:$D,4,FALSE),"")</f>
        <v/>
      </c>
      <c r="N228">
        <f>IFERROR(VLOOKUP($A228,'KP Import'!$A:$B,2,FALSE),"")</f>
        <v/>
      </c>
      <c r="O228">
        <f>IF(K228="","",ROUND(K228/(L228+10),1))</f>
        <v/>
      </c>
      <c r="P228">
        <f>IF(O228="","",IF(O228&gt;=20,"A - Go first",IF(O228&gt;=5,"B - Next","C - Later")))</f>
        <v/>
      </c>
      <c r="Q228" t="inlineStr">
        <is>
          <t>To research</t>
        </is>
      </c>
      <c r="R228" t="inlineStr"/>
    </row>
    <row r="229">
      <c r="A229" t="inlineStr">
        <is>
          <t>rice for kabsa price in dubai</t>
        </is>
      </c>
      <c r="B229" t="inlineStr">
        <is>
          <t>Phase 1 - B2B now</t>
        </is>
      </c>
      <c r="C229" t="inlineStr">
        <is>
          <t>Wholesalers / bulk buyers</t>
        </is>
      </c>
      <c r="D229" t="inlineStr">
        <is>
          <t>Price</t>
        </is>
      </c>
      <c r="E229" t="inlineStr">
        <is>
          <t>Use-case</t>
        </is>
      </c>
      <c r="F229" t="inlineStr">
        <is>
          <t>Commercial/Transactional</t>
        </is>
      </c>
      <c r="G229" t="inlineStr">
        <is>
          <t>MOFU</t>
        </is>
      </c>
      <c r="H229" t="inlineStr">
        <is>
          <t>Dubai</t>
        </is>
      </c>
      <c r="I229" t="inlineStr">
        <is>
          <t>Arabic/Kabsa Rice page</t>
        </is>
      </c>
      <c r="J229" t="inlineStr">
        <is>
          <t>Landing/Blog</t>
        </is>
      </c>
      <c r="K229">
        <f>IFERROR(VLOOKUP($A229,'Semrush Import'!$A:$D,2,FALSE),"")</f>
        <v/>
      </c>
      <c r="L229">
        <f>IFERROR(VLOOKUP($A229,'Semrush Import'!$A:$D,3,FALSE),"")</f>
        <v/>
      </c>
      <c r="M229">
        <f>IFERROR(VLOOKUP($A229,'Semrush Import'!$A:$D,4,FALSE),"")</f>
        <v/>
      </c>
      <c r="N229">
        <f>IFERROR(VLOOKUP($A229,'KP Import'!$A:$B,2,FALSE),"")</f>
        <v/>
      </c>
      <c r="O229">
        <f>IF(K229="","",ROUND(K229/(L229+10),1))</f>
        <v/>
      </c>
      <c r="P229">
        <f>IF(O229="","",IF(O229&gt;=20,"A - Go first",IF(O229&gt;=5,"B - Next","C - Later")))</f>
        <v/>
      </c>
      <c r="Q229" t="inlineStr">
        <is>
          <t>To research</t>
        </is>
      </c>
      <c r="R229" t="inlineStr"/>
    </row>
    <row r="230">
      <c r="A230" t="inlineStr">
        <is>
          <t>rice for kabsa online dubai</t>
        </is>
      </c>
      <c r="B230" t="inlineStr">
        <is>
          <t>Phase 2 - B2C (later)</t>
        </is>
      </c>
      <c r="C230" t="inlineStr">
        <is>
          <t>Consumer / household</t>
        </is>
      </c>
      <c r="D230" t="inlineStr">
        <is>
          <t>Transactional</t>
        </is>
      </c>
      <c r="E230" t="inlineStr">
        <is>
          <t>Use-case</t>
        </is>
      </c>
      <c r="F230" t="inlineStr">
        <is>
          <t>Transactional</t>
        </is>
      </c>
      <c r="G230" t="inlineStr">
        <is>
          <t>BOFU</t>
        </is>
      </c>
      <c r="H230" t="inlineStr">
        <is>
          <t>Dubai</t>
        </is>
      </c>
      <c r="I230" t="inlineStr">
        <is>
          <t>Arabic/Kabsa Rice page</t>
        </is>
      </c>
      <c r="J230" t="inlineStr">
        <is>
          <t>Landing/Blog</t>
        </is>
      </c>
      <c r="K230">
        <f>IFERROR(VLOOKUP($A230,'Semrush Import'!$A:$D,2,FALSE),"")</f>
        <v/>
      </c>
      <c r="L230">
        <f>IFERROR(VLOOKUP($A230,'Semrush Import'!$A:$D,3,FALSE),"")</f>
        <v/>
      </c>
      <c r="M230">
        <f>IFERROR(VLOOKUP($A230,'Semrush Import'!$A:$D,4,FALSE),"")</f>
        <v/>
      </c>
      <c r="N230">
        <f>IFERROR(VLOOKUP($A230,'KP Import'!$A:$B,2,FALSE),"")</f>
        <v/>
      </c>
      <c r="O230">
        <f>IF(K230="","",ROUND(K230/(L230+10),1))</f>
        <v/>
      </c>
      <c r="P230">
        <f>IF(O230="","",IF(O230&gt;=20,"A - Go first",IF(O230&gt;=5,"B - Next","C - Later")))</f>
        <v/>
      </c>
      <c r="Q230" t="inlineStr">
        <is>
          <t>To research</t>
        </is>
      </c>
      <c r="R230" t="inlineStr"/>
    </row>
    <row r="231">
      <c r="A231" t="inlineStr">
        <is>
          <t>rice for kabsa wholesale dubai</t>
        </is>
      </c>
      <c r="B231" t="inlineStr">
        <is>
          <t>Phase 1 - B2B now</t>
        </is>
      </c>
      <c r="C231" t="inlineStr">
        <is>
          <t>Wholesalers / bulk buyers</t>
        </is>
      </c>
      <c r="D231" t="inlineStr">
        <is>
          <t>Wholesale/B2B</t>
        </is>
      </c>
      <c r="E231" t="inlineStr">
        <is>
          <t>Use-case</t>
        </is>
      </c>
      <c r="F231" t="inlineStr">
        <is>
          <t>Transactional (B2B)</t>
        </is>
      </c>
      <c r="G231" t="inlineStr">
        <is>
          <t>BOFU</t>
        </is>
      </c>
      <c r="H231" t="inlineStr">
        <is>
          <t>Dubai</t>
        </is>
      </c>
      <c r="I231" t="inlineStr">
        <is>
          <t>Wholesale landing page</t>
        </is>
      </c>
      <c r="J231" t="inlineStr">
        <is>
          <t>Landing</t>
        </is>
      </c>
      <c r="K231">
        <f>IFERROR(VLOOKUP($A231,'Semrush Import'!$A:$D,2,FALSE),"")</f>
        <v/>
      </c>
      <c r="L231">
        <f>IFERROR(VLOOKUP($A231,'Semrush Import'!$A:$D,3,FALSE),"")</f>
        <v/>
      </c>
      <c r="M231">
        <f>IFERROR(VLOOKUP($A231,'Semrush Import'!$A:$D,4,FALSE),"")</f>
        <v/>
      </c>
      <c r="N231">
        <f>IFERROR(VLOOKUP($A231,'KP Import'!$A:$B,2,FALSE),"")</f>
        <v/>
      </c>
      <c r="O231">
        <f>IF(K231="","",ROUND(K231/(L231+10),1))</f>
        <v/>
      </c>
      <c r="P231">
        <f>IF(O231="","",IF(O231&gt;=20,"A - Go first",IF(O231&gt;=5,"B - Next","C - Later")))</f>
        <v/>
      </c>
      <c r="Q231" t="inlineStr">
        <is>
          <t>To research</t>
        </is>
      </c>
      <c r="R231" t="inlineStr"/>
    </row>
    <row r="232">
      <c r="A232" t="inlineStr">
        <is>
          <t>rice for kabsa supplier uae</t>
        </is>
      </c>
      <c r="B232" t="inlineStr">
        <is>
          <t>Phase 1 - B2B now</t>
        </is>
      </c>
      <c r="C232" t="inlineStr">
        <is>
          <t>Wholesalers / bulk buyers</t>
        </is>
      </c>
      <c r="D232" t="inlineStr">
        <is>
          <t>Wholesale/B2B</t>
        </is>
      </c>
      <c r="E232" t="inlineStr">
        <is>
          <t>Use-case</t>
        </is>
      </c>
      <c r="F232" t="inlineStr">
        <is>
          <t>Transactional (B2B)</t>
        </is>
      </c>
      <c r="G232" t="inlineStr">
        <is>
          <t>BOFU</t>
        </is>
      </c>
      <c r="H232" t="inlineStr">
        <is>
          <t>UAE</t>
        </is>
      </c>
      <c r="I232" t="inlineStr">
        <is>
          <t>Wholesale landing page</t>
        </is>
      </c>
      <c r="J232" t="inlineStr">
        <is>
          <t>Landing</t>
        </is>
      </c>
      <c r="K232">
        <f>IFERROR(VLOOKUP($A232,'Semrush Import'!$A:$D,2,FALSE),"")</f>
        <v/>
      </c>
      <c r="L232">
        <f>IFERROR(VLOOKUP($A232,'Semrush Import'!$A:$D,3,FALSE),"")</f>
        <v/>
      </c>
      <c r="M232">
        <f>IFERROR(VLOOKUP($A232,'Semrush Import'!$A:$D,4,FALSE),"")</f>
        <v/>
      </c>
      <c r="N232">
        <f>IFERROR(VLOOKUP($A232,'KP Import'!$A:$B,2,FALSE),"")</f>
        <v/>
      </c>
      <c r="O232">
        <f>IF(K232="","",ROUND(K232/(L232+10),1))</f>
        <v/>
      </c>
      <c r="P232">
        <f>IF(O232="","",IF(O232&gt;=20,"A - Go first",IF(O232&gt;=5,"B - Next","C - Later")))</f>
        <v/>
      </c>
      <c r="Q232" t="inlineStr">
        <is>
          <t>To research</t>
        </is>
      </c>
      <c r="R232" t="inlineStr"/>
    </row>
    <row r="233">
      <c r="A233" t="inlineStr">
        <is>
          <t>mandi rice</t>
        </is>
      </c>
      <c r="B233" t="inlineStr">
        <is>
          <t>Phase 1 - B2B now</t>
        </is>
      </c>
      <c r="C233" t="inlineStr">
        <is>
          <t>Wholesalers / bulk buyers</t>
        </is>
      </c>
      <c r="D233" t="inlineStr">
        <is>
          <t>Core product</t>
        </is>
      </c>
      <c r="E233" t="inlineStr">
        <is>
          <t>Use-case</t>
        </is>
      </c>
      <c r="F233" t="inlineStr">
        <is>
          <t>Informational/Commercial</t>
        </is>
      </c>
      <c r="G233" t="inlineStr">
        <is>
          <t>TOFU</t>
        </is>
      </c>
      <c r="H233" t="inlineStr">
        <is>
          <t>UAE (generic)</t>
        </is>
      </c>
      <c r="I233" t="inlineStr">
        <is>
          <t>Arabic/Kabsa Rice page</t>
        </is>
      </c>
      <c r="J233" t="inlineStr">
        <is>
          <t>Landing/Blog</t>
        </is>
      </c>
      <c r="K233">
        <f>IFERROR(VLOOKUP($A233,'Semrush Import'!$A:$D,2,FALSE),"")</f>
        <v/>
      </c>
      <c r="L233">
        <f>IFERROR(VLOOKUP($A233,'Semrush Import'!$A:$D,3,FALSE),"")</f>
        <v/>
      </c>
      <c r="M233">
        <f>IFERROR(VLOOKUP($A233,'Semrush Import'!$A:$D,4,FALSE),"")</f>
        <v/>
      </c>
      <c r="N233">
        <f>IFERROR(VLOOKUP($A233,'KP Import'!$A:$B,2,FALSE),"")</f>
        <v/>
      </c>
      <c r="O233">
        <f>IF(K233="","",ROUND(K233/(L233+10),1))</f>
        <v/>
      </c>
      <c r="P233">
        <f>IF(O233="","",IF(O233&gt;=20,"A - Go first",IF(O233&gt;=5,"B - Next","C - Later")))</f>
        <v/>
      </c>
      <c r="Q233" t="inlineStr">
        <is>
          <t>To research</t>
        </is>
      </c>
      <c r="R233" t="inlineStr"/>
    </row>
    <row r="234">
      <c r="A234" t="inlineStr">
        <is>
          <t>buy mandi rice online</t>
        </is>
      </c>
      <c r="B234" t="inlineStr">
        <is>
          <t>Phase 2 - B2C (later)</t>
        </is>
      </c>
      <c r="C234" t="inlineStr">
        <is>
          <t>Consumer / household</t>
        </is>
      </c>
      <c r="D234" t="inlineStr">
        <is>
          <t>Transactional</t>
        </is>
      </c>
      <c r="E234" t="inlineStr">
        <is>
          <t>Use-case</t>
        </is>
      </c>
      <c r="F234" t="inlineStr">
        <is>
          <t>Transactional</t>
        </is>
      </c>
      <c r="G234" t="inlineStr">
        <is>
          <t>BOFU</t>
        </is>
      </c>
      <c r="H234" t="inlineStr">
        <is>
          <t>UAE (generic)</t>
        </is>
      </c>
      <c r="I234" t="inlineStr">
        <is>
          <t>Arabic/Kabsa Rice page</t>
        </is>
      </c>
      <c r="J234" t="inlineStr">
        <is>
          <t>Landing/Blog</t>
        </is>
      </c>
      <c r="K234">
        <f>IFERROR(VLOOKUP($A234,'Semrush Import'!$A:$D,2,FALSE),"")</f>
        <v/>
      </c>
      <c r="L234">
        <f>IFERROR(VLOOKUP($A234,'Semrush Import'!$A:$D,3,FALSE),"")</f>
        <v/>
      </c>
      <c r="M234">
        <f>IFERROR(VLOOKUP($A234,'Semrush Import'!$A:$D,4,FALSE),"")</f>
        <v/>
      </c>
      <c r="N234">
        <f>IFERROR(VLOOKUP($A234,'KP Import'!$A:$B,2,FALSE),"")</f>
        <v/>
      </c>
      <c r="O234">
        <f>IF(K234="","",ROUND(K234/(L234+10),1))</f>
        <v/>
      </c>
      <c r="P234">
        <f>IF(O234="","",IF(O234&gt;=20,"A - Go first",IF(O234&gt;=5,"B - Next","C - Later")))</f>
        <v/>
      </c>
      <c r="Q234" t="inlineStr">
        <is>
          <t>To research</t>
        </is>
      </c>
      <c r="R234" t="inlineStr"/>
    </row>
    <row r="235">
      <c r="A235" t="inlineStr">
        <is>
          <t>mandi rice price in uae</t>
        </is>
      </c>
      <c r="B235" t="inlineStr">
        <is>
          <t>Phase 1 - B2B now</t>
        </is>
      </c>
      <c r="C235" t="inlineStr">
        <is>
          <t>Wholesalers / bulk buyers</t>
        </is>
      </c>
      <c r="D235" t="inlineStr">
        <is>
          <t>Price</t>
        </is>
      </c>
      <c r="E235" t="inlineStr">
        <is>
          <t>Use-case</t>
        </is>
      </c>
      <c r="F235" t="inlineStr">
        <is>
          <t>Commercial/Transactional</t>
        </is>
      </c>
      <c r="G235" t="inlineStr">
        <is>
          <t>MOFU</t>
        </is>
      </c>
      <c r="H235" t="inlineStr">
        <is>
          <t>UAE</t>
        </is>
      </c>
      <c r="I235" t="inlineStr">
        <is>
          <t>Arabic/Kabsa Rice page</t>
        </is>
      </c>
      <c r="J235" t="inlineStr">
        <is>
          <t>Landing/Blog</t>
        </is>
      </c>
      <c r="K235">
        <f>IFERROR(VLOOKUP($A235,'Semrush Import'!$A:$D,2,FALSE),"")</f>
        <v/>
      </c>
      <c r="L235">
        <f>IFERROR(VLOOKUP($A235,'Semrush Import'!$A:$D,3,FALSE),"")</f>
        <v/>
      </c>
      <c r="M235">
        <f>IFERROR(VLOOKUP($A235,'Semrush Import'!$A:$D,4,FALSE),"")</f>
        <v/>
      </c>
      <c r="N235">
        <f>IFERROR(VLOOKUP($A235,'KP Import'!$A:$B,2,FALSE),"")</f>
        <v/>
      </c>
      <c r="O235">
        <f>IF(K235="","",ROUND(K235/(L235+10),1))</f>
        <v/>
      </c>
      <c r="P235">
        <f>IF(O235="","",IF(O235&gt;=20,"A - Go first",IF(O235&gt;=5,"B - Next","C - Later")))</f>
        <v/>
      </c>
      <c r="Q235" t="inlineStr">
        <is>
          <t>To research</t>
        </is>
      </c>
      <c r="R235" t="inlineStr"/>
    </row>
    <row r="236">
      <c r="A236" t="inlineStr">
        <is>
          <t>mandi rice price in dubai</t>
        </is>
      </c>
      <c r="B236" t="inlineStr">
        <is>
          <t>Phase 1 - B2B now</t>
        </is>
      </c>
      <c r="C236" t="inlineStr">
        <is>
          <t>Wholesalers / bulk buyers</t>
        </is>
      </c>
      <c r="D236" t="inlineStr">
        <is>
          <t>Price</t>
        </is>
      </c>
      <c r="E236" t="inlineStr">
        <is>
          <t>Use-case</t>
        </is>
      </c>
      <c r="F236" t="inlineStr">
        <is>
          <t>Commercial/Transactional</t>
        </is>
      </c>
      <c r="G236" t="inlineStr">
        <is>
          <t>MOFU</t>
        </is>
      </c>
      <c r="H236" t="inlineStr">
        <is>
          <t>Dubai</t>
        </is>
      </c>
      <c r="I236" t="inlineStr">
        <is>
          <t>Arabic/Kabsa Rice page</t>
        </is>
      </c>
      <c r="J236" t="inlineStr">
        <is>
          <t>Landing/Blog</t>
        </is>
      </c>
      <c r="K236">
        <f>IFERROR(VLOOKUP($A236,'Semrush Import'!$A:$D,2,FALSE),"")</f>
        <v/>
      </c>
      <c r="L236">
        <f>IFERROR(VLOOKUP($A236,'Semrush Import'!$A:$D,3,FALSE),"")</f>
        <v/>
      </c>
      <c r="M236">
        <f>IFERROR(VLOOKUP($A236,'Semrush Import'!$A:$D,4,FALSE),"")</f>
        <v/>
      </c>
      <c r="N236">
        <f>IFERROR(VLOOKUP($A236,'KP Import'!$A:$B,2,FALSE),"")</f>
        <v/>
      </c>
      <c r="O236">
        <f>IF(K236="","",ROUND(K236/(L236+10),1))</f>
        <v/>
      </c>
      <c r="P236">
        <f>IF(O236="","",IF(O236&gt;=20,"A - Go first",IF(O236&gt;=5,"B - Next","C - Later")))</f>
        <v/>
      </c>
      <c r="Q236" t="inlineStr">
        <is>
          <t>To research</t>
        </is>
      </c>
      <c r="R236" t="inlineStr"/>
    </row>
    <row r="237">
      <c r="A237" t="inlineStr">
        <is>
          <t>mandi rice online dubai</t>
        </is>
      </c>
      <c r="B237" t="inlineStr">
        <is>
          <t>Phase 2 - B2C (later)</t>
        </is>
      </c>
      <c r="C237" t="inlineStr">
        <is>
          <t>Consumer / household</t>
        </is>
      </c>
      <c r="D237" t="inlineStr">
        <is>
          <t>Transactional</t>
        </is>
      </c>
      <c r="E237" t="inlineStr">
        <is>
          <t>Use-case</t>
        </is>
      </c>
      <c r="F237" t="inlineStr">
        <is>
          <t>Transactional</t>
        </is>
      </c>
      <c r="G237" t="inlineStr">
        <is>
          <t>BOFU</t>
        </is>
      </c>
      <c r="H237" t="inlineStr">
        <is>
          <t>Dubai</t>
        </is>
      </c>
      <c r="I237" t="inlineStr">
        <is>
          <t>Arabic/Kabsa Rice page</t>
        </is>
      </c>
      <c r="J237" t="inlineStr">
        <is>
          <t>Landing/Blog</t>
        </is>
      </c>
      <c r="K237">
        <f>IFERROR(VLOOKUP($A237,'Semrush Import'!$A:$D,2,FALSE),"")</f>
        <v/>
      </c>
      <c r="L237">
        <f>IFERROR(VLOOKUP($A237,'Semrush Import'!$A:$D,3,FALSE),"")</f>
        <v/>
      </c>
      <c r="M237">
        <f>IFERROR(VLOOKUP($A237,'Semrush Import'!$A:$D,4,FALSE),"")</f>
        <v/>
      </c>
      <c r="N237">
        <f>IFERROR(VLOOKUP($A237,'KP Import'!$A:$B,2,FALSE),"")</f>
        <v/>
      </c>
      <c r="O237">
        <f>IF(K237="","",ROUND(K237/(L237+10),1))</f>
        <v/>
      </c>
      <c r="P237">
        <f>IF(O237="","",IF(O237&gt;=20,"A - Go first",IF(O237&gt;=5,"B - Next","C - Later")))</f>
        <v/>
      </c>
      <c r="Q237" t="inlineStr">
        <is>
          <t>To research</t>
        </is>
      </c>
      <c r="R237" t="inlineStr"/>
    </row>
    <row r="238">
      <c r="A238" t="inlineStr">
        <is>
          <t>mandi rice wholesale dubai</t>
        </is>
      </c>
      <c r="B238" t="inlineStr">
        <is>
          <t>Phase 1 - B2B now</t>
        </is>
      </c>
      <c r="C238" t="inlineStr">
        <is>
          <t>Wholesalers / bulk buyers</t>
        </is>
      </c>
      <c r="D238" t="inlineStr">
        <is>
          <t>Wholesale/B2B</t>
        </is>
      </c>
      <c r="E238" t="inlineStr">
        <is>
          <t>Use-case</t>
        </is>
      </c>
      <c r="F238" t="inlineStr">
        <is>
          <t>Transactional (B2B)</t>
        </is>
      </c>
      <c r="G238" t="inlineStr">
        <is>
          <t>BOFU</t>
        </is>
      </c>
      <c r="H238" t="inlineStr">
        <is>
          <t>Dubai</t>
        </is>
      </c>
      <c r="I238" t="inlineStr">
        <is>
          <t>Wholesale landing page</t>
        </is>
      </c>
      <c r="J238" t="inlineStr">
        <is>
          <t>Landing</t>
        </is>
      </c>
      <c r="K238">
        <f>IFERROR(VLOOKUP($A238,'Semrush Import'!$A:$D,2,FALSE),"")</f>
        <v/>
      </c>
      <c r="L238">
        <f>IFERROR(VLOOKUP($A238,'Semrush Import'!$A:$D,3,FALSE),"")</f>
        <v/>
      </c>
      <c r="M238">
        <f>IFERROR(VLOOKUP($A238,'Semrush Import'!$A:$D,4,FALSE),"")</f>
        <v/>
      </c>
      <c r="N238">
        <f>IFERROR(VLOOKUP($A238,'KP Import'!$A:$B,2,FALSE),"")</f>
        <v/>
      </c>
      <c r="O238">
        <f>IF(K238="","",ROUND(K238/(L238+10),1))</f>
        <v/>
      </c>
      <c r="P238">
        <f>IF(O238="","",IF(O238&gt;=20,"A - Go first",IF(O238&gt;=5,"B - Next","C - Later")))</f>
        <v/>
      </c>
      <c r="Q238" t="inlineStr">
        <is>
          <t>To research</t>
        </is>
      </c>
      <c r="R238" t="inlineStr"/>
    </row>
    <row r="239">
      <c r="A239" t="inlineStr">
        <is>
          <t>mandi rice supplier uae</t>
        </is>
      </c>
      <c r="B239" t="inlineStr">
        <is>
          <t>Phase 1 - B2B now</t>
        </is>
      </c>
      <c r="C239" t="inlineStr">
        <is>
          <t>Wholesalers / bulk buyers</t>
        </is>
      </c>
      <c r="D239" t="inlineStr">
        <is>
          <t>Wholesale/B2B</t>
        </is>
      </c>
      <c r="E239" t="inlineStr">
        <is>
          <t>Use-case</t>
        </is>
      </c>
      <c r="F239" t="inlineStr">
        <is>
          <t>Transactional (B2B)</t>
        </is>
      </c>
      <c r="G239" t="inlineStr">
        <is>
          <t>BOFU</t>
        </is>
      </c>
      <c r="H239" t="inlineStr">
        <is>
          <t>UAE</t>
        </is>
      </c>
      <c r="I239" t="inlineStr">
        <is>
          <t>Wholesale landing page</t>
        </is>
      </c>
      <c r="J239" t="inlineStr">
        <is>
          <t>Landing</t>
        </is>
      </c>
      <c r="K239">
        <f>IFERROR(VLOOKUP($A239,'Semrush Import'!$A:$D,2,FALSE),"")</f>
        <v/>
      </c>
      <c r="L239">
        <f>IFERROR(VLOOKUP($A239,'Semrush Import'!$A:$D,3,FALSE),"")</f>
        <v/>
      </c>
      <c r="M239">
        <f>IFERROR(VLOOKUP($A239,'Semrush Import'!$A:$D,4,FALSE),"")</f>
        <v/>
      </c>
      <c r="N239">
        <f>IFERROR(VLOOKUP($A239,'KP Import'!$A:$B,2,FALSE),"")</f>
        <v/>
      </c>
      <c r="O239">
        <f>IF(K239="","",ROUND(K239/(L239+10),1))</f>
        <v/>
      </c>
      <c r="P239">
        <f>IF(O239="","",IF(O239&gt;=20,"A - Go first",IF(O239&gt;=5,"B - Next","C - Later")))</f>
        <v/>
      </c>
      <c r="Q239" t="inlineStr">
        <is>
          <t>To research</t>
        </is>
      </c>
      <c r="R239" t="inlineStr"/>
    </row>
    <row r="240">
      <c r="A240" t="inlineStr">
        <is>
          <t>sharjah rice</t>
        </is>
      </c>
      <c r="B240" t="inlineStr">
        <is>
          <t>Phase 1 - B2B now</t>
        </is>
      </c>
      <c r="C240" t="inlineStr">
        <is>
          <t>Wholesalers / bulk buyers</t>
        </is>
      </c>
      <c r="D240" t="inlineStr">
        <is>
          <t>Core product</t>
        </is>
      </c>
      <c r="E240" t="inlineStr">
        <is>
          <t>Misc</t>
        </is>
      </c>
      <c r="F240" t="inlineStr">
        <is>
          <t>Informational/Commercial</t>
        </is>
      </c>
      <c r="G240" t="inlineStr">
        <is>
          <t>TOFU</t>
        </is>
      </c>
      <c r="H240" t="inlineStr">
        <is>
          <t>UAE (generic)</t>
        </is>
      </c>
      <c r="I240" t="inlineStr">
        <is>
          <t>Blog</t>
        </is>
      </c>
      <c r="J240" t="inlineStr">
        <is>
          <t>Landing/Blog</t>
        </is>
      </c>
      <c r="K240">
        <f>IFERROR(VLOOKUP($A240,'Semrush Import'!$A:$D,2,FALSE),"")</f>
        <v/>
      </c>
      <c r="L240">
        <f>IFERROR(VLOOKUP($A240,'Semrush Import'!$A:$D,3,FALSE),"")</f>
        <v/>
      </c>
      <c r="M240">
        <f>IFERROR(VLOOKUP($A240,'Semrush Import'!$A:$D,4,FALSE),"")</f>
        <v/>
      </c>
      <c r="N240">
        <f>IFERROR(VLOOKUP($A240,'KP Import'!$A:$B,2,FALSE),"")</f>
        <v/>
      </c>
      <c r="O240">
        <f>IF(K240="","",ROUND(K240/(L240+10),1))</f>
        <v/>
      </c>
      <c r="P240">
        <f>IF(O240="","",IF(O240&gt;=20,"A - Go first",IF(O240&gt;=5,"B - Next","C - Later")))</f>
        <v/>
      </c>
      <c r="Q240" t="inlineStr">
        <is>
          <t>To research</t>
        </is>
      </c>
      <c r="R240" t="inlineStr"/>
    </row>
    <row r="241">
      <c r="A241" t="inlineStr">
        <is>
          <t>buy sharjah rice online</t>
        </is>
      </c>
      <c r="B241" t="inlineStr">
        <is>
          <t>Phase 2 - B2C (later)</t>
        </is>
      </c>
      <c r="C241" t="inlineStr">
        <is>
          <t>Consumer / household</t>
        </is>
      </c>
      <c r="D241" t="inlineStr">
        <is>
          <t>Transactional</t>
        </is>
      </c>
      <c r="E241" t="inlineStr">
        <is>
          <t>Misc</t>
        </is>
      </c>
      <c r="F241" t="inlineStr">
        <is>
          <t>Transactional</t>
        </is>
      </c>
      <c r="G241" t="inlineStr">
        <is>
          <t>BOFU</t>
        </is>
      </c>
      <c r="H241" t="inlineStr">
        <is>
          <t>UAE (generic)</t>
        </is>
      </c>
      <c r="I241" t="inlineStr">
        <is>
          <t>Blog</t>
        </is>
      </c>
      <c r="J241" t="inlineStr">
        <is>
          <t>Landing/Blog</t>
        </is>
      </c>
      <c r="K241">
        <f>IFERROR(VLOOKUP($A241,'Semrush Import'!$A:$D,2,FALSE),"")</f>
        <v/>
      </c>
      <c r="L241">
        <f>IFERROR(VLOOKUP($A241,'Semrush Import'!$A:$D,3,FALSE),"")</f>
        <v/>
      </c>
      <c r="M241">
        <f>IFERROR(VLOOKUP($A241,'Semrush Import'!$A:$D,4,FALSE),"")</f>
        <v/>
      </c>
      <c r="N241">
        <f>IFERROR(VLOOKUP($A241,'KP Import'!$A:$B,2,FALSE),"")</f>
        <v/>
      </c>
      <c r="O241">
        <f>IF(K241="","",ROUND(K241/(L241+10),1))</f>
        <v/>
      </c>
      <c r="P241">
        <f>IF(O241="","",IF(O241&gt;=20,"A - Go first",IF(O241&gt;=5,"B - Next","C - Later")))</f>
        <v/>
      </c>
      <c r="Q241" t="inlineStr">
        <is>
          <t>To research</t>
        </is>
      </c>
      <c r="R241" t="inlineStr"/>
    </row>
    <row r="242">
      <c r="A242" t="inlineStr">
        <is>
          <t>sharjah rice price in uae</t>
        </is>
      </c>
      <c r="B242" t="inlineStr">
        <is>
          <t>Phase 1 - B2B now</t>
        </is>
      </c>
      <c r="C242" t="inlineStr">
        <is>
          <t>Wholesalers / bulk buyers</t>
        </is>
      </c>
      <c r="D242" t="inlineStr">
        <is>
          <t>Price</t>
        </is>
      </c>
      <c r="E242" t="inlineStr">
        <is>
          <t>Misc</t>
        </is>
      </c>
      <c r="F242" t="inlineStr">
        <is>
          <t>Commercial/Transactional</t>
        </is>
      </c>
      <c r="G242" t="inlineStr">
        <is>
          <t>MOFU</t>
        </is>
      </c>
      <c r="H242" t="inlineStr">
        <is>
          <t>UAE</t>
        </is>
      </c>
      <c r="I242" t="inlineStr">
        <is>
          <t>Blog</t>
        </is>
      </c>
      <c r="J242" t="inlineStr">
        <is>
          <t>Landing/Blog</t>
        </is>
      </c>
      <c r="K242">
        <f>IFERROR(VLOOKUP($A242,'Semrush Import'!$A:$D,2,FALSE),"")</f>
        <v/>
      </c>
      <c r="L242">
        <f>IFERROR(VLOOKUP($A242,'Semrush Import'!$A:$D,3,FALSE),"")</f>
        <v/>
      </c>
      <c r="M242">
        <f>IFERROR(VLOOKUP($A242,'Semrush Import'!$A:$D,4,FALSE),"")</f>
        <v/>
      </c>
      <c r="N242">
        <f>IFERROR(VLOOKUP($A242,'KP Import'!$A:$B,2,FALSE),"")</f>
        <v/>
      </c>
      <c r="O242">
        <f>IF(K242="","",ROUND(K242/(L242+10),1))</f>
        <v/>
      </c>
      <c r="P242">
        <f>IF(O242="","",IF(O242&gt;=20,"A - Go first",IF(O242&gt;=5,"B - Next","C - Later")))</f>
        <v/>
      </c>
      <c r="Q242" t="inlineStr">
        <is>
          <t>To research</t>
        </is>
      </c>
      <c r="R242" t="inlineStr"/>
    </row>
    <row r="243">
      <c r="A243" t="inlineStr">
        <is>
          <t>sharjah rice price in dubai</t>
        </is>
      </c>
      <c r="B243" t="inlineStr">
        <is>
          <t>Phase 1 - B2B now</t>
        </is>
      </c>
      <c r="C243" t="inlineStr">
        <is>
          <t>Wholesalers / bulk buyers</t>
        </is>
      </c>
      <c r="D243" t="inlineStr">
        <is>
          <t>Price</t>
        </is>
      </c>
      <c r="E243" t="inlineStr">
        <is>
          <t>Misc</t>
        </is>
      </c>
      <c r="F243" t="inlineStr">
        <is>
          <t>Commercial/Transactional</t>
        </is>
      </c>
      <c r="G243" t="inlineStr">
        <is>
          <t>MOFU</t>
        </is>
      </c>
      <c r="H243" t="inlineStr">
        <is>
          <t>Dubai</t>
        </is>
      </c>
      <c r="I243" t="inlineStr">
        <is>
          <t>Blog</t>
        </is>
      </c>
      <c r="J243" t="inlineStr">
        <is>
          <t>Landing/Blog</t>
        </is>
      </c>
      <c r="K243">
        <f>IFERROR(VLOOKUP($A243,'Semrush Import'!$A:$D,2,FALSE),"")</f>
        <v/>
      </c>
      <c r="L243">
        <f>IFERROR(VLOOKUP($A243,'Semrush Import'!$A:$D,3,FALSE),"")</f>
        <v/>
      </c>
      <c r="M243">
        <f>IFERROR(VLOOKUP($A243,'Semrush Import'!$A:$D,4,FALSE),"")</f>
        <v/>
      </c>
      <c r="N243">
        <f>IFERROR(VLOOKUP($A243,'KP Import'!$A:$B,2,FALSE),"")</f>
        <v/>
      </c>
      <c r="O243">
        <f>IF(K243="","",ROUND(K243/(L243+10),1))</f>
        <v/>
      </c>
      <c r="P243">
        <f>IF(O243="","",IF(O243&gt;=20,"A - Go first",IF(O243&gt;=5,"B - Next","C - Later")))</f>
        <v/>
      </c>
      <c r="Q243" t="inlineStr">
        <is>
          <t>To research</t>
        </is>
      </c>
      <c r="R243" t="inlineStr"/>
    </row>
    <row r="244">
      <c r="A244" t="inlineStr">
        <is>
          <t>sharjah rice online dubai</t>
        </is>
      </c>
      <c r="B244" t="inlineStr">
        <is>
          <t>Phase 2 - B2C (later)</t>
        </is>
      </c>
      <c r="C244" t="inlineStr">
        <is>
          <t>Consumer / household</t>
        </is>
      </c>
      <c r="D244" t="inlineStr">
        <is>
          <t>Transactional</t>
        </is>
      </c>
      <c r="E244" t="inlineStr">
        <is>
          <t>Misc</t>
        </is>
      </c>
      <c r="F244" t="inlineStr">
        <is>
          <t>Transactional</t>
        </is>
      </c>
      <c r="G244" t="inlineStr">
        <is>
          <t>BOFU</t>
        </is>
      </c>
      <c r="H244" t="inlineStr">
        <is>
          <t>Dubai</t>
        </is>
      </c>
      <c r="I244" t="inlineStr">
        <is>
          <t>Blog</t>
        </is>
      </c>
      <c r="J244" t="inlineStr">
        <is>
          <t>Landing/Blog</t>
        </is>
      </c>
      <c r="K244">
        <f>IFERROR(VLOOKUP($A244,'Semrush Import'!$A:$D,2,FALSE),"")</f>
        <v/>
      </c>
      <c r="L244">
        <f>IFERROR(VLOOKUP($A244,'Semrush Import'!$A:$D,3,FALSE),"")</f>
        <v/>
      </c>
      <c r="M244">
        <f>IFERROR(VLOOKUP($A244,'Semrush Import'!$A:$D,4,FALSE),"")</f>
        <v/>
      </c>
      <c r="N244">
        <f>IFERROR(VLOOKUP($A244,'KP Import'!$A:$B,2,FALSE),"")</f>
        <v/>
      </c>
      <c r="O244">
        <f>IF(K244="","",ROUND(K244/(L244+10),1))</f>
        <v/>
      </c>
      <c r="P244">
        <f>IF(O244="","",IF(O244&gt;=20,"A - Go first",IF(O244&gt;=5,"B - Next","C - Later")))</f>
        <v/>
      </c>
      <c r="Q244" t="inlineStr">
        <is>
          <t>To research</t>
        </is>
      </c>
      <c r="R244" t="inlineStr"/>
    </row>
    <row r="245">
      <c r="A245" t="inlineStr">
        <is>
          <t>sharjah rice wholesale dubai</t>
        </is>
      </c>
      <c r="B245" t="inlineStr">
        <is>
          <t>Phase 1 - B2B now</t>
        </is>
      </c>
      <c r="C245" t="inlineStr">
        <is>
          <t>Wholesalers / bulk buyers</t>
        </is>
      </c>
      <c r="D245" t="inlineStr">
        <is>
          <t>Wholesale/B2B</t>
        </is>
      </c>
      <c r="E245" t="inlineStr">
        <is>
          <t>Misc</t>
        </is>
      </c>
      <c r="F245" t="inlineStr">
        <is>
          <t>Transactional (B2B)</t>
        </is>
      </c>
      <c r="G245" t="inlineStr">
        <is>
          <t>BOFU</t>
        </is>
      </c>
      <c r="H245" t="inlineStr">
        <is>
          <t>Dubai</t>
        </is>
      </c>
      <c r="I245" t="inlineStr">
        <is>
          <t>Wholesale landing page</t>
        </is>
      </c>
      <c r="J245" t="inlineStr">
        <is>
          <t>Landing</t>
        </is>
      </c>
      <c r="K245">
        <f>IFERROR(VLOOKUP($A245,'Semrush Import'!$A:$D,2,FALSE),"")</f>
        <v/>
      </c>
      <c r="L245">
        <f>IFERROR(VLOOKUP($A245,'Semrush Import'!$A:$D,3,FALSE),"")</f>
        <v/>
      </c>
      <c r="M245">
        <f>IFERROR(VLOOKUP($A245,'Semrush Import'!$A:$D,4,FALSE),"")</f>
        <v/>
      </c>
      <c r="N245">
        <f>IFERROR(VLOOKUP($A245,'KP Import'!$A:$B,2,FALSE),"")</f>
        <v/>
      </c>
      <c r="O245">
        <f>IF(K245="","",ROUND(K245/(L245+10),1))</f>
        <v/>
      </c>
      <c r="P245">
        <f>IF(O245="","",IF(O245&gt;=20,"A - Go first",IF(O245&gt;=5,"B - Next","C - Later")))</f>
        <v/>
      </c>
      <c r="Q245" t="inlineStr">
        <is>
          <t>To research</t>
        </is>
      </c>
      <c r="R245" t="inlineStr"/>
    </row>
    <row r="246">
      <c r="A246" t="inlineStr">
        <is>
          <t>sharjah rice supplier uae</t>
        </is>
      </c>
      <c r="B246" t="inlineStr">
        <is>
          <t>Phase 1 - B2B now</t>
        </is>
      </c>
      <c r="C246" t="inlineStr">
        <is>
          <t>Wholesalers / bulk buyers</t>
        </is>
      </c>
      <c r="D246" t="inlineStr">
        <is>
          <t>Wholesale/B2B</t>
        </is>
      </c>
      <c r="E246" t="inlineStr">
        <is>
          <t>Misc</t>
        </is>
      </c>
      <c r="F246" t="inlineStr">
        <is>
          <t>Transactional (B2B)</t>
        </is>
      </c>
      <c r="G246" t="inlineStr">
        <is>
          <t>BOFU</t>
        </is>
      </c>
      <c r="H246" t="inlineStr">
        <is>
          <t>UAE</t>
        </is>
      </c>
      <c r="I246" t="inlineStr">
        <is>
          <t>Wholesale landing page</t>
        </is>
      </c>
      <c r="J246" t="inlineStr">
        <is>
          <t>Landing</t>
        </is>
      </c>
      <c r="K246">
        <f>IFERROR(VLOOKUP($A246,'Semrush Import'!$A:$D,2,FALSE),"")</f>
        <v/>
      </c>
      <c r="L246">
        <f>IFERROR(VLOOKUP($A246,'Semrush Import'!$A:$D,3,FALSE),"")</f>
        <v/>
      </c>
      <c r="M246">
        <f>IFERROR(VLOOKUP($A246,'Semrush Import'!$A:$D,4,FALSE),"")</f>
        <v/>
      </c>
      <c r="N246">
        <f>IFERROR(VLOOKUP($A246,'KP Import'!$A:$B,2,FALSE),"")</f>
        <v/>
      </c>
      <c r="O246">
        <f>IF(K246="","",ROUND(K246/(L246+10),1))</f>
        <v/>
      </c>
      <c r="P246">
        <f>IF(O246="","",IF(O246&gt;=20,"A - Go first",IF(O246&gt;=5,"B - Next","C - Later")))</f>
        <v/>
      </c>
      <c r="Q246" t="inlineStr">
        <is>
          <t>To research</t>
        </is>
      </c>
      <c r="R246" t="inlineStr"/>
    </row>
    <row r="247">
      <c r="A247" t="inlineStr">
        <is>
          <t>india gate basmati rice</t>
        </is>
      </c>
      <c r="B247" t="inlineStr">
        <is>
          <t>Phase 2 - B2C (later)</t>
        </is>
      </c>
      <c r="C247" t="inlineStr">
        <is>
          <t>Consumer / household</t>
        </is>
      </c>
      <c r="D247" t="inlineStr">
        <is>
          <t>Brand</t>
        </is>
      </c>
      <c r="E247" t="inlineStr">
        <is>
          <t>Brand</t>
        </is>
      </c>
      <c r="F247" t="inlineStr">
        <is>
          <t>Navigational/Transactional</t>
        </is>
      </c>
      <c r="G247" t="inlineStr">
        <is>
          <t>BOFU</t>
        </is>
      </c>
      <c r="H247" t="inlineStr">
        <is>
          <t>UAE (generic)</t>
        </is>
      </c>
      <c r="I247" t="inlineStr">
        <is>
          <t>Brand page / product page</t>
        </is>
      </c>
      <c r="J247" t="inlineStr">
        <is>
          <t>Product</t>
        </is>
      </c>
      <c r="K247">
        <f>IFERROR(VLOOKUP($A247,'Semrush Import'!$A:$D,2,FALSE),"")</f>
        <v/>
      </c>
      <c r="L247">
        <f>IFERROR(VLOOKUP($A247,'Semrush Import'!$A:$D,3,FALSE),"")</f>
        <v/>
      </c>
      <c r="M247">
        <f>IFERROR(VLOOKUP($A247,'Semrush Import'!$A:$D,4,FALSE),"")</f>
        <v/>
      </c>
      <c r="N247">
        <f>IFERROR(VLOOKUP($A247,'KP Import'!$A:$B,2,FALSE),"")</f>
        <v/>
      </c>
      <c r="O247">
        <f>IF(K247="","",ROUND(K247/(L247+10),1))</f>
        <v/>
      </c>
      <c r="P247">
        <f>IF(O247="","",IF(O247&gt;=20,"A - Go first",IF(O247&gt;=5,"B - Next","C - Later")))</f>
        <v/>
      </c>
      <c r="Q247" t="inlineStr">
        <is>
          <t>To research</t>
        </is>
      </c>
      <c r="R247" t="inlineStr"/>
    </row>
    <row r="248">
      <c r="A248" t="inlineStr">
        <is>
          <t>india gate basmati rice price in uae</t>
        </is>
      </c>
      <c r="B248" t="inlineStr">
        <is>
          <t>Phase 2 - B2C (later)</t>
        </is>
      </c>
      <c r="C248" t="inlineStr">
        <is>
          <t>Consumer / household</t>
        </is>
      </c>
      <c r="D248" t="inlineStr">
        <is>
          <t>Brand price</t>
        </is>
      </c>
      <c r="E248" t="inlineStr">
        <is>
          <t>Brand</t>
        </is>
      </c>
      <c r="F248" t="inlineStr">
        <is>
          <t>Commercial</t>
        </is>
      </c>
      <c r="G248" t="inlineStr">
        <is>
          <t>MOFU</t>
        </is>
      </c>
      <c r="H248" t="inlineStr">
        <is>
          <t>UAE</t>
        </is>
      </c>
      <c r="I248" t="inlineStr">
        <is>
          <t>Brand page / product page</t>
        </is>
      </c>
      <c r="J248" t="inlineStr">
        <is>
          <t>Product</t>
        </is>
      </c>
      <c r="K248">
        <f>IFERROR(VLOOKUP($A248,'Semrush Import'!$A:$D,2,FALSE),"")</f>
        <v/>
      </c>
      <c r="L248">
        <f>IFERROR(VLOOKUP($A248,'Semrush Import'!$A:$D,3,FALSE),"")</f>
        <v/>
      </c>
      <c r="M248">
        <f>IFERROR(VLOOKUP($A248,'Semrush Import'!$A:$D,4,FALSE),"")</f>
        <v/>
      </c>
      <c r="N248">
        <f>IFERROR(VLOOKUP($A248,'KP Import'!$A:$B,2,FALSE),"")</f>
        <v/>
      </c>
      <c r="O248">
        <f>IF(K248="","",ROUND(K248/(L248+10),1))</f>
        <v/>
      </c>
      <c r="P248">
        <f>IF(O248="","",IF(O248&gt;=20,"A - Go first",IF(O248&gt;=5,"B - Next","C - Later")))</f>
        <v/>
      </c>
      <c r="Q248" t="inlineStr">
        <is>
          <t>To research</t>
        </is>
      </c>
      <c r="R248" t="inlineStr"/>
    </row>
    <row r="249">
      <c r="A249" t="inlineStr">
        <is>
          <t>buy india gate basmati rice dubai</t>
        </is>
      </c>
      <c r="B249" t="inlineStr">
        <is>
          <t>Phase 2 - B2C (later)</t>
        </is>
      </c>
      <c r="C249" t="inlineStr">
        <is>
          <t>Consumer / household</t>
        </is>
      </c>
      <c r="D249" t="inlineStr">
        <is>
          <t>Brand</t>
        </is>
      </c>
      <c r="E249" t="inlineStr">
        <is>
          <t>Brand</t>
        </is>
      </c>
      <c r="F249" t="inlineStr">
        <is>
          <t>Transactional</t>
        </is>
      </c>
      <c r="G249" t="inlineStr">
        <is>
          <t>BOFU</t>
        </is>
      </c>
      <c r="H249" t="inlineStr">
        <is>
          <t>Dubai</t>
        </is>
      </c>
      <c r="I249" t="inlineStr">
        <is>
          <t>Brand page / product page</t>
        </is>
      </c>
      <c r="J249" t="inlineStr">
        <is>
          <t>Product</t>
        </is>
      </c>
      <c r="K249">
        <f>IFERROR(VLOOKUP($A249,'Semrush Import'!$A:$D,2,FALSE),"")</f>
        <v/>
      </c>
      <c r="L249">
        <f>IFERROR(VLOOKUP($A249,'Semrush Import'!$A:$D,3,FALSE),"")</f>
        <v/>
      </c>
      <c r="M249">
        <f>IFERROR(VLOOKUP($A249,'Semrush Import'!$A:$D,4,FALSE),"")</f>
        <v/>
      </c>
      <c r="N249">
        <f>IFERROR(VLOOKUP($A249,'KP Import'!$A:$B,2,FALSE),"")</f>
        <v/>
      </c>
      <c r="O249">
        <f>IF(K249="","",ROUND(K249/(L249+10),1))</f>
        <v/>
      </c>
      <c r="P249">
        <f>IF(O249="","",IF(O249&gt;=20,"A - Go first",IF(O249&gt;=5,"B - Next","C - Later")))</f>
        <v/>
      </c>
      <c r="Q249" t="inlineStr">
        <is>
          <t>To research</t>
        </is>
      </c>
      <c r="R249" t="inlineStr"/>
    </row>
    <row r="250">
      <c r="A250" t="inlineStr">
        <is>
          <t>daawat basmati rice</t>
        </is>
      </c>
      <c r="B250" t="inlineStr">
        <is>
          <t>Phase 2 - B2C (later)</t>
        </is>
      </c>
      <c r="C250" t="inlineStr">
        <is>
          <t>Consumer / household</t>
        </is>
      </c>
      <c r="D250" t="inlineStr">
        <is>
          <t>Brand</t>
        </is>
      </c>
      <c r="E250" t="inlineStr">
        <is>
          <t>Brand</t>
        </is>
      </c>
      <c r="F250" t="inlineStr">
        <is>
          <t>Navigational/Transactional</t>
        </is>
      </c>
      <c r="G250" t="inlineStr">
        <is>
          <t>BOFU</t>
        </is>
      </c>
      <c r="H250" t="inlineStr">
        <is>
          <t>UAE (generic)</t>
        </is>
      </c>
      <c r="I250" t="inlineStr">
        <is>
          <t>Brand page / product page</t>
        </is>
      </c>
      <c r="J250" t="inlineStr">
        <is>
          <t>Product</t>
        </is>
      </c>
      <c r="K250">
        <f>IFERROR(VLOOKUP($A250,'Semrush Import'!$A:$D,2,FALSE),"")</f>
        <v/>
      </c>
      <c r="L250">
        <f>IFERROR(VLOOKUP($A250,'Semrush Import'!$A:$D,3,FALSE),"")</f>
        <v/>
      </c>
      <c r="M250">
        <f>IFERROR(VLOOKUP($A250,'Semrush Import'!$A:$D,4,FALSE),"")</f>
        <v/>
      </c>
      <c r="N250">
        <f>IFERROR(VLOOKUP($A250,'KP Import'!$A:$B,2,FALSE),"")</f>
        <v/>
      </c>
      <c r="O250">
        <f>IF(K250="","",ROUND(K250/(L250+10),1))</f>
        <v/>
      </c>
      <c r="P250">
        <f>IF(O250="","",IF(O250&gt;=20,"A - Go first",IF(O250&gt;=5,"B - Next","C - Later")))</f>
        <v/>
      </c>
      <c r="Q250" t="inlineStr">
        <is>
          <t>To research</t>
        </is>
      </c>
      <c r="R250" t="inlineStr"/>
    </row>
    <row r="251">
      <c r="A251" t="inlineStr">
        <is>
          <t>daawat basmati rice price in uae</t>
        </is>
      </c>
      <c r="B251" t="inlineStr">
        <is>
          <t>Phase 2 - B2C (later)</t>
        </is>
      </c>
      <c r="C251" t="inlineStr">
        <is>
          <t>Consumer / household</t>
        </is>
      </c>
      <c r="D251" t="inlineStr">
        <is>
          <t>Brand price</t>
        </is>
      </c>
      <c r="E251" t="inlineStr">
        <is>
          <t>Brand</t>
        </is>
      </c>
      <c r="F251" t="inlineStr">
        <is>
          <t>Commercial</t>
        </is>
      </c>
      <c r="G251" t="inlineStr">
        <is>
          <t>MOFU</t>
        </is>
      </c>
      <c r="H251" t="inlineStr">
        <is>
          <t>UAE</t>
        </is>
      </c>
      <c r="I251" t="inlineStr">
        <is>
          <t>Brand page / product page</t>
        </is>
      </c>
      <c r="J251" t="inlineStr">
        <is>
          <t>Product</t>
        </is>
      </c>
      <c r="K251">
        <f>IFERROR(VLOOKUP($A251,'Semrush Import'!$A:$D,2,FALSE),"")</f>
        <v/>
      </c>
      <c r="L251">
        <f>IFERROR(VLOOKUP($A251,'Semrush Import'!$A:$D,3,FALSE),"")</f>
        <v/>
      </c>
      <c r="M251">
        <f>IFERROR(VLOOKUP($A251,'Semrush Import'!$A:$D,4,FALSE),"")</f>
        <v/>
      </c>
      <c r="N251">
        <f>IFERROR(VLOOKUP($A251,'KP Import'!$A:$B,2,FALSE),"")</f>
        <v/>
      </c>
      <c r="O251">
        <f>IF(K251="","",ROUND(K251/(L251+10),1))</f>
        <v/>
      </c>
      <c r="P251">
        <f>IF(O251="","",IF(O251&gt;=20,"A - Go first",IF(O251&gt;=5,"B - Next","C - Later")))</f>
        <v/>
      </c>
      <c r="Q251" t="inlineStr">
        <is>
          <t>To research</t>
        </is>
      </c>
      <c r="R251" t="inlineStr"/>
    </row>
    <row r="252">
      <c r="A252" t="inlineStr">
        <is>
          <t>buy daawat basmati rice dubai</t>
        </is>
      </c>
      <c r="B252" t="inlineStr">
        <is>
          <t>Phase 2 - B2C (later)</t>
        </is>
      </c>
      <c r="C252" t="inlineStr">
        <is>
          <t>Consumer / household</t>
        </is>
      </c>
      <c r="D252" t="inlineStr">
        <is>
          <t>Brand</t>
        </is>
      </c>
      <c r="E252" t="inlineStr">
        <is>
          <t>Brand</t>
        </is>
      </c>
      <c r="F252" t="inlineStr">
        <is>
          <t>Transactional</t>
        </is>
      </c>
      <c r="G252" t="inlineStr">
        <is>
          <t>BOFU</t>
        </is>
      </c>
      <c r="H252" t="inlineStr">
        <is>
          <t>Dubai</t>
        </is>
      </c>
      <c r="I252" t="inlineStr">
        <is>
          <t>Brand page / product page</t>
        </is>
      </c>
      <c r="J252" t="inlineStr">
        <is>
          <t>Product</t>
        </is>
      </c>
      <c r="K252">
        <f>IFERROR(VLOOKUP($A252,'Semrush Import'!$A:$D,2,FALSE),"")</f>
        <v/>
      </c>
      <c r="L252">
        <f>IFERROR(VLOOKUP($A252,'Semrush Import'!$A:$D,3,FALSE),"")</f>
        <v/>
      </c>
      <c r="M252">
        <f>IFERROR(VLOOKUP($A252,'Semrush Import'!$A:$D,4,FALSE),"")</f>
        <v/>
      </c>
      <c r="N252">
        <f>IFERROR(VLOOKUP($A252,'KP Import'!$A:$B,2,FALSE),"")</f>
        <v/>
      </c>
      <c r="O252">
        <f>IF(K252="","",ROUND(K252/(L252+10),1))</f>
        <v/>
      </c>
      <c r="P252">
        <f>IF(O252="","",IF(O252&gt;=20,"A - Go first",IF(O252&gt;=5,"B - Next","C - Later")))</f>
        <v/>
      </c>
      <c r="Q252" t="inlineStr">
        <is>
          <t>To research</t>
        </is>
      </c>
      <c r="R252" t="inlineStr"/>
    </row>
    <row r="253">
      <c r="A253" t="inlineStr">
        <is>
          <t>kohinoor basmati rice</t>
        </is>
      </c>
      <c r="B253" t="inlineStr">
        <is>
          <t>Phase 2 - B2C (later)</t>
        </is>
      </c>
      <c r="C253" t="inlineStr">
        <is>
          <t>Consumer / household</t>
        </is>
      </c>
      <c r="D253" t="inlineStr">
        <is>
          <t>Brand</t>
        </is>
      </c>
      <c r="E253" t="inlineStr">
        <is>
          <t>Brand</t>
        </is>
      </c>
      <c r="F253" t="inlineStr">
        <is>
          <t>Navigational/Transactional</t>
        </is>
      </c>
      <c r="G253" t="inlineStr">
        <is>
          <t>BOFU</t>
        </is>
      </c>
      <c r="H253" t="inlineStr">
        <is>
          <t>UAE (generic)</t>
        </is>
      </c>
      <c r="I253" t="inlineStr">
        <is>
          <t>Brand page / product page</t>
        </is>
      </c>
      <c r="J253" t="inlineStr">
        <is>
          <t>Product</t>
        </is>
      </c>
      <c r="K253">
        <f>IFERROR(VLOOKUP($A253,'Semrush Import'!$A:$D,2,FALSE),"")</f>
        <v/>
      </c>
      <c r="L253">
        <f>IFERROR(VLOOKUP($A253,'Semrush Import'!$A:$D,3,FALSE),"")</f>
        <v/>
      </c>
      <c r="M253">
        <f>IFERROR(VLOOKUP($A253,'Semrush Import'!$A:$D,4,FALSE),"")</f>
        <v/>
      </c>
      <c r="N253">
        <f>IFERROR(VLOOKUP($A253,'KP Import'!$A:$B,2,FALSE),"")</f>
        <v/>
      </c>
      <c r="O253">
        <f>IF(K253="","",ROUND(K253/(L253+10),1))</f>
        <v/>
      </c>
      <c r="P253">
        <f>IF(O253="","",IF(O253&gt;=20,"A - Go first",IF(O253&gt;=5,"B - Next","C - Later")))</f>
        <v/>
      </c>
      <c r="Q253" t="inlineStr">
        <is>
          <t>To research</t>
        </is>
      </c>
      <c r="R253" t="inlineStr"/>
    </row>
    <row r="254">
      <c r="A254" t="inlineStr">
        <is>
          <t>kohinoor basmati rice price in uae</t>
        </is>
      </c>
      <c r="B254" t="inlineStr">
        <is>
          <t>Phase 2 - B2C (later)</t>
        </is>
      </c>
      <c r="C254" t="inlineStr">
        <is>
          <t>Consumer / household</t>
        </is>
      </c>
      <c r="D254" t="inlineStr">
        <is>
          <t>Brand price</t>
        </is>
      </c>
      <c r="E254" t="inlineStr">
        <is>
          <t>Brand</t>
        </is>
      </c>
      <c r="F254" t="inlineStr">
        <is>
          <t>Commercial</t>
        </is>
      </c>
      <c r="G254" t="inlineStr">
        <is>
          <t>MOFU</t>
        </is>
      </c>
      <c r="H254" t="inlineStr">
        <is>
          <t>UAE</t>
        </is>
      </c>
      <c r="I254" t="inlineStr">
        <is>
          <t>Brand page / product page</t>
        </is>
      </c>
      <c r="J254" t="inlineStr">
        <is>
          <t>Product</t>
        </is>
      </c>
      <c r="K254">
        <f>IFERROR(VLOOKUP($A254,'Semrush Import'!$A:$D,2,FALSE),"")</f>
        <v/>
      </c>
      <c r="L254">
        <f>IFERROR(VLOOKUP($A254,'Semrush Import'!$A:$D,3,FALSE),"")</f>
        <v/>
      </c>
      <c r="M254">
        <f>IFERROR(VLOOKUP($A254,'Semrush Import'!$A:$D,4,FALSE),"")</f>
        <v/>
      </c>
      <c r="N254">
        <f>IFERROR(VLOOKUP($A254,'KP Import'!$A:$B,2,FALSE),"")</f>
        <v/>
      </c>
      <c r="O254">
        <f>IF(K254="","",ROUND(K254/(L254+10),1))</f>
        <v/>
      </c>
      <c r="P254">
        <f>IF(O254="","",IF(O254&gt;=20,"A - Go first",IF(O254&gt;=5,"B - Next","C - Later")))</f>
        <v/>
      </c>
      <c r="Q254" t="inlineStr">
        <is>
          <t>To research</t>
        </is>
      </c>
      <c r="R254" t="inlineStr"/>
    </row>
    <row r="255">
      <c r="A255" t="inlineStr">
        <is>
          <t>buy kohinoor basmati rice dubai</t>
        </is>
      </c>
      <c r="B255" t="inlineStr">
        <is>
          <t>Phase 2 - B2C (later)</t>
        </is>
      </c>
      <c r="C255" t="inlineStr">
        <is>
          <t>Consumer / household</t>
        </is>
      </c>
      <c r="D255" t="inlineStr">
        <is>
          <t>Brand</t>
        </is>
      </c>
      <c r="E255" t="inlineStr">
        <is>
          <t>Brand</t>
        </is>
      </c>
      <c r="F255" t="inlineStr">
        <is>
          <t>Transactional</t>
        </is>
      </c>
      <c r="G255" t="inlineStr">
        <is>
          <t>BOFU</t>
        </is>
      </c>
      <c r="H255" t="inlineStr">
        <is>
          <t>Dubai</t>
        </is>
      </c>
      <c r="I255" t="inlineStr">
        <is>
          <t>Brand page / product page</t>
        </is>
      </c>
      <c r="J255" t="inlineStr">
        <is>
          <t>Product</t>
        </is>
      </c>
      <c r="K255">
        <f>IFERROR(VLOOKUP($A255,'Semrush Import'!$A:$D,2,FALSE),"")</f>
        <v/>
      </c>
      <c r="L255">
        <f>IFERROR(VLOOKUP($A255,'Semrush Import'!$A:$D,3,FALSE),"")</f>
        <v/>
      </c>
      <c r="M255">
        <f>IFERROR(VLOOKUP($A255,'Semrush Import'!$A:$D,4,FALSE),"")</f>
        <v/>
      </c>
      <c r="N255">
        <f>IFERROR(VLOOKUP($A255,'KP Import'!$A:$B,2,FALSE),"")</f>
        <v/>
      </c>
      <c r="O255">
        <f>IF(K255="","",ROUND(K255/(L255+10),1))</f>
        <v/>
      </c>
      <c r="P255">
        <f>IF(O255="","",IF(O255&gt;=20,"A - Go first",IF(O255&gt;=5,"B - Next","C - Later")))</f>
        <v/>
      </c>
      <c r="Q255" t="inlineStr">
        <is>
          <t>To research</t>
        </is>
      </c>
      <c r="R255" t="inlineStr"/>
    </row>
    <row r="256">
      <c r="A256" t="inlineStr">
        <is>
          <t>tilda basmati rice</t>
        </is>
      </c>
      <c r="B256" t="inlineStr">
        <is>
          <t>Phase 2 - B2C (later)</t>
        </is>
      </c>
      <c r="C256" t="inlineStr">
        <is>
          <t>Consumer / household</t>
        </is>
      </c>
      <c r="D256" t="inlineStr">
        <is>
          <t>Brand</t>
        </is>
      </c>
      <c r="E256" t="inlineStr">
        <is>
          <t>Brand</t>
        </is>
      </c>
      <c r="F256" t="inlineStr">
        <is>
          <t>Navigational/Transactional</t>
        </is>
      </c>
      <c r="G256" t="inlineStr">
        <is>
          <t>BOFU</t>
        </is>
      </c>
      <c r="H256" t="inlineStr">
        <is>
          <t>UAE (generic)</t>
        </is>
      </c>
      <c r="I256" t="inlineStr">
        <is>
          <t>Brand page / product page</t>
        </is>
      </c>
      <c r="J256" t="inlineStr">
        <is>
          <t>Product</t>
        </is>
      </c>
      <c r="K256">
        <f>IFERROR(VLOOKUP($A256,'Semrush Import'!$A:$D,2,FALSE),"")</f>
        <v/>
      </c>
      <c r="L256">
        <f>IFERROR(VLOOKUP($A256,'Semrush Import'!$A:$D,3,FALSE),"")</f>
        <v/>
      </c>
      <c r="M256">
        <f>IFERROR(VLOOKUP($A256,'Semrush Import'!$A:$D,4,FALSE),"")</f>
        <v/>
      </c>
      <c r="N256">
        <f>IFERROR(VLOOKUP($A256,'KP Import'!$A:$B,2,FALSE),"")</f>
        <v/>
      </c>
      <c r="O256">
        <f>IF(K256="","",ROUND(K256/(L256+10),1))</f>
        <v/>
      </c>
      <c r="P256">
        <f>IF(O256="","",IF(O256&gt;=20,"A - Go first",IF(O256&gt;=5,"B - Next","C - Later")))</f>
        <v/>
      </c>
      <c r="Q256" t="inlineStr">
        <is>
          <t>To research</t>
        </is>
      </c>
      <c r="R256" t="inlineStr"/>
    </row>
    <row r="257">
      <c r="A257" t="inlineStr">
        <is>
          <t>tilda basmati rice price in uae</t>
        </is>
      </c>
      <c r="B257" t="inlineStr">
        <is>
          <t>Phase 2 - B2C (later)</t>
        </is>
      </c>
      <c r="C257" t="inlineStr">
        <is>
          <t>Consumer / household</t>
        </is>
      </c>
      <c r="D257" t="inlineStr">
        <is>
          <t>Brand price</t>
        </is>
      </c>
      <c r="E257" t="inlineStr">
        <is>
          <t>Brand</t>
        </is>
      </c>
      <c r="F257" t="inlineStr">
        <is>
          <t>Commercial</t>
        </is>
      </c>
      <c r="G257" t="inlineStr">
        <is>
          <t>MOFU</t>
        </is>
      </c>
      <c r="H257" t="inlineStr">
        <is>
          <t>UAE</t>
        </is>
      </c>
      <c r="I257" t="inlineStr">
        <is>
          <t>Brand page / product page</t>
        </is>
      </c>
      <c r="J257" t="inlineStr">
        <is>
          <t>Product</t>
        </is>
      </c>
      <c r="K257">
        <f>IFERROR(VLOOKUP($A257,'Semrush Import'!$A:$D,2,FALSE),"")</f>
        <v/>
      </c>
      <c r="L257">
        <f>IFERROR(VLOOKUP($A257,'Semrush Import'!$A:$D,3,FALSE),"")</f>
        <v/>
      </c>
      <c r="M257">
        <f>IFERROR(VLOOKUP($A257,'Semrush Import'!$A:$D,4,FALSE),"")</f>
        <v/>
      </c>
      <c r="N257">
        <f>IFERROR(VLOOKUP($A257,'KP Import'!$A:$B,2,FALSE),"")</f>
        <v/>
      </c>
      <c r="O257">
        <f>IF(K257="","",ROUND(K257/(L257+10),1))</f>
        <v/>
      </c>
      <c r="P257">
        <f>IF(O257="","",IF(O257&gt;=20,"A - Go first",IF(O257&gt;=5,"B - Next","C - Later")))</f>
        <v/>
      </c>
      <c r="Q257" t="inlineStr">
        <is>
          <t>To research</t>
        </is>
      </c>
      <c r="R257" t="inlineStr"/>
    </row>
    <row r="258">
      <c r="A258" t="inlineStr">
        <is>
          <t>buy tilda basmati rice dubai</t>
        </is>
      </c>
      <c r="B258" t="inlineStr">
        <is>
          <t>Phase 2 - B2C (later)</t>
        </is>
      </c>
      <c r="C258" t="inlineStr">
        <is>
          <t>Consumer / household</t>
        </is>
      </c>
      <c r="D258" t="inlineStr">
        <is>
          <t>Brand</t>
        </is>
      </c>
      <c r="E258" t="inlineStr">
        <is>
          <t>Brand</t>
        </is>
      </c>
      <c r="F258" t="inlineStr">
        <is>
          <t>Transactional</t>
        </is>
      </c>
      <c r="G258" t="inlineStr">
        <is>
          <t>BOFU</t>
        </is>
      </c>
      <c r="H258" t="inlineStr">
        <is>
          <t>Dubai</t>
        </is>
      </c>
      <c r="I258" t="inlineStr">
        <is>
          <t>Brand page / product page</t>
        </is>
      </c>
      <c r="J258" t="inlineStr">
        <is>
          <t>Product</t>
        </is>
      </c>
      <c r="K258">
        <f>IFERROR(VLOOKUP($A258,'Semrush Import'!$A:$D,2,FALSE),"")</f>
        <v/>
      </c>
      <c r="L258">
        <f>IFERROR(VLOOKUP($A258,'Semrush Import'!$A:$D,3,FALSE),"")</f>
        <v/>
      </c>
      <c r="M258">
        <f>IFERROR(VLOOKUP($A258,'Semrush Import'!$A:$D,4,FALSE),"")</f>
        <v/>
      </c>
      <c r="N258">
        <f>IFERROR(VLOOKUP($A258,'KP Import'!$A:$B,2,FALSE),"")</f>
        <v/>
      </c>
      <c r="O258">
        <f>IF(K258="","",ROUND(K258/(L258+10),1))</f>
        <v/>
      </c>
      <c r="P258">
        <f>IF(O258="","",IF(O258&gt;=20,"A - Go first",IF(O258&gt;=5,"B - Next","C - Later")))</f>
        <v/>
      </c>
      <c r="Q258" t="inlineStr">
        <is>
          <t>To research</t>
        </is>
      </c>
      <c r="R258" t="inlineStr"/>
    </row>
    <row r="259">
      <c r="A259" t="inlineStr">
        <is>
          <t>lal qilla basmati rice</t>
        </is>
      </c>
      <c r="B259" t="inlineStr">
        <is>
          <t>Phase 2 - B2C (later)</t>
        </is>
      </c>
      <c r="C259" t="inlineStr">
        <is>
          <t>Consumer / household</t>
        </is>
      </c>
      <c r="D259" t="inlineStr">
        <is>
          <t>Brand</t>
        </is>
      </c>
      <c r="E259" t="inlineStr">
        <is>
          <t>Brand</t>
        </is>
      </c>
      <c r="F259" t="inlineStr">
        <is>
          <t>Navigational/Transactional</t>
        </is>
      </c>
      <c r="G259" t="inlineStr">
        <is>
          <t>BOFU</t>
        </is>
      </c>
      <c r="H259" t="inlineStr">
        <is>
          <t>UAE (generic)</t>
        </is>
      </c>
      <c r="I259" t="inlineStr">
        <is>
          <t>Brand page / product page</t>
        </is>
      </c>
      <c r="J259" t="inlineStr">
        <is>
          <t>Product</t>
        </is>
      </c>
      <c r="K259">
        <f>IFERROR(VLOOKUP($A259,'Semrush Import'!$A:$D,2,FALSE),"")</f>
        <v/>
      </c>
      <c r="L259">
        <f>IFERROR(VLOOKUP($A259,'Semrush Import'!$A:$D,3,FALSE),"")</f>
        <v/>
      </c>
      <c r="M259">
        <f>IFERROR(VLOOKUP($A259,'Semrush Import'!$A:$D,4,FALSE),"")</f>
        <v/>
      </c>
      <c r="N259">
        <f>IFERROR(VLOOKUP($A259,'KP Import'!$A:$B,2,FALSE),"")</f>
        <v/>
      </c>
      <c r="O259">
        <f>IF(K259="","",ROUND(K259/(L259+10),1))</f>
        <v/>
      </c>
      <c r="P259">
        <f>IF(O259="","",IF(O259&gt;=20,"A - Go first",IF(O259&gt;=5,"B - Next","C - Later")))</f>
        <v/>
      </c>
      <c r="Q259" t="inlineStr">
        <is>
          <t>To research</t>
        </is>
      </c>
      <c r="R259" t="inlineStr"/>
    </row>
    <row r="260">
      <c r="A260" t="inlineStr">
        <is>
          <t>lal qilla basmati rice price in uae</t>
        </is>
      </c>
      <c r="B260" t="inlineStr">
        <is>
          <t>Phase 2 - B2C (later)</t>
        </is>
      </c>
      <c r="C260" t="inlineStr">
        <is>
          <t>Consumer / household</t>
        </is>
      </c>
      <c r="D260" t="inlineStr">
        <is>
          <t>Brand price</t>
        </is>
      </c>
      <c r="E260" t="inlineStr">
        <is>
          <t>Brand</t>
        </is>
      </c>
      <c r="F260" t="inlineStr">
        <is>
          <t>Commercial</t>
        </is>
      </c>
      <c r="G260" t="inlineStr">
        <is>
          <t>MOFU</t>
        </is>
      </c>
      <c r="H260" t="inlineStr">
        <is>
          <t>UAE</t>
        </is>
      </c>
      <c r="I260" t="inlineStr">
        <is>
          <t>Brand page / product page</t>
        </is>
      </c>
      <c r="J260" t="inlineStr">
        <is>
          <t>Product</t>
        </is>
      </c>
      <c r="K260">
        <f>IFERROR(VLOOKUP($A260,'Semrush Import'!$A:$D,2,FALSE),"")</f>
        <v/>
      </c>
      <c r="L260">
        <f>IFERROR(VLOOKUP($A260,'Semrush Import'!$A:$D,3,FALSE),"")</f>
        <v/>
      </c>
      <c r="M260">
        <f>IFERROR(VLOOKUP($A260,'Semrush Import'!$A:$D,4,FALSE),"")</f>
        <v/>
      </c>
      <c r="N260">
        <f>IFERROR(VLOOKUP($A260,'KP Import'!$A:$B,2,FALSE),"")</f>
        <v/>
      </c>
      <c r="O260">
        <f>IF(K260="","",ROUND(K260/(L260+10),1))</f>
        <v/>
      </c>
      <c r="P260">
        <f>IF(O260="","",IF(O260&gt;=20,"A - Go first",IF(O260&gt;=5,"B - Next","C - Later")))</f>
        <v/>
      </c>
      <c r="Q260" t="inlineStr">
        <is>
          <t>To research</t>
        </is>
      </c>
      <c r="R260" t="inlineStr"/>
    </row>
    <row r="261">
      <c r="A261" t="inlineStr">
        <is>
          <t>buy lal qilla basmati rice dubai</t>
        </is>
      </c>
      <c r="B261" t="inlineStr">
        <is>
          <t>Phase 2 - B2C (later)</t>
        </is>
      </c>
      <c r="C261" t="inlineStr">
        <is>
          <t>Consumer / household</t>
        </is>
      </c>
      <c r="D261" t="inlineStr">
        <is>
          <t>Brand</t>
        </is>
      </c>
      <c r="E261" t="inlineStr">
        <is>
          <t>Brand</t>
        </is>
      </c>
      <c r="F261" t="inlineStr">
        <is>
          <t>Transactional</t>
        </is>
      </c>
      <c r="G261" t="inlineStr">
        <is>
          <t>BOFU</t>
        </is>
      </c>
      <c r="H261" t="inlineStr">
        <is>
          <t>Dubai</t>
        </is>
      </c>
      <c r="I261" t="inlineStr">
        <is>
          <t>Brand page / product page</t>
        </is>
      </c>
      <c r="J261" t="inlineStr">
        <is>
          <t>Product</t>
        </is>
      </c>
      <c r="K261">
        <f>IFERROR(VLOOKUP($A261,'Semrush Import'!$A:$D,2,FALSE),"")</f>
        <v/>
      </c>
      <c r="L261">
        <f>IFERROR(VLOOKUP($A261,'Semrush Import'!$A:$D,3,FALSE),"")</f>
        <v/>
      </c>
      <c r="M261">
        <f>IFERROR(VLOOKUP($A261,'Semrush Import'!$A:$D,4,FALSE),"")</f>
        <v/>
      </c>
      <c r="N261">
        <f>IFERROR(VLOOKUP($A261,'KP Import'!$A:$B,2,FALSE),"")</f>
        <v/>
      </c>
      <c r="O261">
        <f>IF(K261="","",ROUND(K261/(L261+10),1))</f>
        <v/>
      </c>
      <c r="P261">
        <f>IF(O261="","",IF(O261&gt;=20,"A - Go first",IF(O261&gt;=5,"B - Next","C - Later")))</f>
        <v/>
      </c>
      <c r="Q261" t="inlineStr">
        <is>
          <t>To research</t>
        </is>
      </c>
      <c r="R261" t="inlineStr"/>
    </row>
    <row r="262">
      <c r="A262" t="inlineStr">
        <is>
          <t>mahmood rice</t>
        </is>
      </c>
      <c r="B262" t="inlineStr">
        <is>
          <t>Phase 2 - B2C (later)</t>
        </is>
      </c>
      <c r="C262" t="inlineStr">
        <is>
          <t>Consumer / household</t>
        </is>
      </c>
      <c r="D262" t="inlineStr">
        <is>
          <t>Brand</t>
        </is>
      </c>
      <c r="E262" t="inlineStr">
        <is>
          <t>Brand</t>
        </is>
      </c>
      <c r="F262" t="inlineStr">
        <is>
          <t>Navigational/Transactional</t>
        </is>
      </c>
      <c r="G262" t="inlineStr">
        <is>
          <t>BOFU</t>
        </is>
      </c>
      <c r="H262" t="inlineStr">
        <is>
          <t>UAE (generic)</t>
        </is>
      </c>
      <c r="I262" t="inlineStr">
        <is>
          <t>Brand page / product page</t>
        </is>
      </c>
      <c r="J262" t="inlineStr">
        <is>
          <t>Product</t>
        </is>
      </c>
      <c r="K262">
        <f>IFERROR(VLOOKUP($A262,'Semrush Import'!$A:$D,2,FALSE),"")</f>
        <v/>
      </c>
      <c r="L262">
        <f>IFERROR(VLOOKUP($A262,'Semrush Import'!$A:$D,3,FALSE),"")</f>
        <v/>
      </c>
      <c r="M262">
        <f>IFERROR(VLOOKUP($A262,'Semrush Import'!$A:$D,4,FALSE),"")</f>
        <v/>
      </c>
      <c r="N262">
        <f>IFERROR(VLOOKUP($A262,'KP Import'!$A:$B,2,FALSE),"")</f>
        <v/>
      </c>
      <c r="O262">
        <f>IF(K262="","",ROUND(K262/(L262+10),1))</f>
        <v/>
      </c>
      <c r="P262">
        <f>IF(O262="","",IF(O262&gt;=20,"A - Go first",IF(O262&gt;=5,"B - Next","C - Later")))</f>
        <v/>
      </c>
      <c r="Q262" t="inlineStr">
        <is>
          <t>To research</t>
        </is>
      </c>
      <c r="R262" t="inlineStr"/>
    </row>
    <row r="263">
      <c r="A263" t="inlineStr">
        <is>
          <t>mahmood rice price in uae</t>
        </is>
      </c>
      <c r="B263" t="inlineStr">
        <is>
          <t>Phase 2 - B2C (later)</t>
        </is>
      </c>
      <c r="C263" t="inlineStr">
        <is>
          <t>Consumer / household</t>
        </is>
      </c>
      <c r="D263" t="inlineStr">
        <is>
          <t>Brand price</t>
        </is>
      </c>
      <c r="E263" t="inlineStr">
        <is>
          <t>Brand</t>
        </is>
      </c>
      <c r="F263" t="inlineStr">
        <is>
          <t>Commercial</t>
        </is>
      </c>
      <c r="G263" t="inlineStr">
        <is>
          <t>MOFU</t>
        </is>
      </c>
      <c r="H263" t="inlineStr">
        <is>
          <t>UAE</t>
        </is>
      </c>
      <c r="I263" t="inlineStr">
        <is>
          <t>Brand page / product page</t>
        </is>
      </c>
      <c r="J263" t="inlineStr">
        <is>
          <t>Product</t>
        </is>
      </c>
      <c r="K263">
        <f>IFERROR(VLOOKUP($A263,'Semrush Import'!$A:$D,2,FALSE),"")</f>
        <v/>
      </c>
      <c r="L263">
        <f>IFERROR(VLOOKUP($A263,'Semrush Import'!$A:$D,3,FALSE),"")</f>
        <v/>
      </c>
      <c r="M263">
        <f>IFERROR(VLOOKUP($A263,'Semrush Import'!$A:$D,4,FALSE),"")</f>
        <v/>
      </c>
      <c r="N263">
        <f>IFERROR(VLOOKUP($A263,'KP Import'!$A:$B,2,FALSE),"")</f>
        <v/>
      </c>
      <c r="O263">
        <f>IF(K263="","",ROUND(K263/(L263+10),1))</f>
        <v/>
      </c>
      <c r="P263">
        <f>IF(O263="","",IF(O263&gt;=20,"A - Go first",IF(O263&gt;=5,"B - Next","C - Later")))</f>
        <v/>
      </c>
      <c r="Q263" t="inlineStr">
        <is>
          <t>To research</t>
        </is>
      </c>
      <c r="R263" t="inlineStr"/>
    </row>
    <row r="264">
      <c r="A264" t="inlineStr">
        <is>
          <t>buy mahmood rice dubai</t>
        </is>
      </c>
      <c r="B264" t="inlineStr">
        <is>
          <t>Phase 2 - B2C (later)</t>
        </is>
      </c>
      <c r="C264" t="inlineStr">
        <is>
          <t>Consumer / household</t>
        </is>
      </c>
      <c r="D264" t="inlineStr">
        <is>
          <t>Brand</t>
        </is>
      </c>
      <c r="E264" t="inlineStr">
        <is>
          <t>Brand</t>
        </is>
      </c>
      <c r="F264" t="inlineStr">
        <is>
          <t>Transactional</t>
        </is>
      </c>
      <c r="G264" t="inlineStr">
        <is>
          <t>BOFU</t>
        </is>
      </c>
      <c r="H264" t="inlineStr">
        <is>
          <t>Dubai</t>
        </is>
      </c>
      <c r="I264" t="inlineStr">
        <is>
          <t>Brand page / product page</t>
        </is>
      </c>
      <c r="J264" t="inlineStr">
        <is>
          <t>Product</t>
        </is>
      </c>
      <c r="K264">
        <f>IFERROR(VLOOKUP($A264,'Semrush Import'!$A:$D,2,FALSE),"")</f>
        <v/>
      </c>
      <c r="L264">
        <f>IFERROR(VLOOKUP($A264,'Semrush Import'!$A:$D,3,FALSE),"")</f>
        <v/>
      </c>
      <c r="M264">
        <f>IFERROR(VLOOKUP($A264,'Semrush Import'!$A:$D,4,FALSE),"")</f>
        <v/>
      </c>
      <c r="N264">
        <f>IFERROR(VLOOKUP($A264,'KP Import'!$A:$B,2,FALSE),"")</f>
        <v/>
      </c>
      <c r="O264">
        <f>IF(K264="","",ROUND(K264/(L264+10),1))</f>
        <v/>
      </c>
      <c r="P264">
        <f>IF(O264="","",IF(O264&gt;=20,"A - Go first",IF(O264&gt;=5,"B - Next","C - Later")))</f>
        <v/>
      </c>
      <c r="Q264" t="inlineStr">
        <is>
          <t>To research</t>
        </is>
      </c>
      <c r="R264" t="inlineStr"/>
    </row>
    <row r="265">
      <c r="A265" t="inlineStr">
        <is>
          <t>royal basmati rice</t>
        </is>
      </c>
      <c r="B265" t="inlineStr">
        <is>
          <t>Phase 2 - B2C (later)</t>
        </is>
      </c>
      <c r="C265" t="inlineStr">
        <is>
          <t>Consumer / household</t>
        </is>
      </c>
      <c r="D265" t="inlineStr">
        <is>
          <t>Brand</t>
        </is>
      </c>
      <c r="E265" t="inlineStr">
        <is>
          <t>Brand</t>
        </is>
      </c>
      <c r="F265" t="inlineStr">
        <is>
          <t>Navigational/Transactional</t>
        </is>
      </c>
      <c r="G265" t="inlineStr">
        <is>
          <t>BOFU</t>
        </is>
      </c>
      <c r="H265" t="inlineStr">
        <is>
          <t>UAE (generic)</t>
        </is>
      </c>
      <c r="I265" t="inlineStr">
        <is>
          <t>Brand page / product page</t>
        </is>
      </c>
      <c r="J265" t="inlineStr">
        <is>
          <t>Product</t>
        </is>
      </c>
      <c r="K265">
        <f>IFERROR(VLOOKUP($A265,'Semrush Import'!$A:$D,2,FALSE),"")</f>
        <v/>
      </c>
      <c r="L265">
        <f>IFERROR(VLOOKUP($A265,'Semrush Import'!$A:$D,3,FALSE),"")</f>
        <v/>
      </c>
      <c r="M265">
        <f>IFERROR(VLOOKUP($A265,'Semrush Import'!$A:$D,4,FALSE),"")</f>
        <v/>
      </c>
      <c r="N265">
        <f>IFERROR(VLOOKUP($A265,'KP Import'!$A:$B,2,FALSE),"")</f>
        <v/>
      </c>
      <c r="O265">
        <f>IF(K265="","",ROUND(K265/(L265+10),1))</f>
        <v/>
      </c>
      <c r="P265">
        <f>IF(O265="","",IF(O265&gt;=20,"A - Go first",IF(O265&gt;=5,"B - Next","C - Later")))</f>
        <v/>
      </c>
      <c r="Q265" t="inlineStr">
        <is>
          <t>To research</t>
        </is>
      </c>
      <c r="R265" t="inlineStr"/>
    </row>
    <row r="266">
      <c r="A266" t="inlineStr">
        <is>
          <t>royal basmati rice price in uae</t>
        </is>
      </c>
      <c r="B266" t="inlineStr">
        <is>
          <t>Phase 2 - B2C (later)</t>
        </is>
      </c>
      <c r="C266" t="inlineStr">
        <is>
          <t>Consumer / household</t>
        </is>
      </c>
      <c r="D266" t="inlineStr">
        <is>
          <t>Brand price</t>
        </is>
      </c>
      <c r="E266" t="inlineStr">
        <is>
          <t>Brand</t>
        </is>
      </c>
      <c r="F266" t="inlineStr">
        <is>
          <t>Commercial</t>
        </is>
      </c>
      <c r="G266" t="inlineStr">
        <is>
          <t>MOFU</t>
        </is>
      </c>
      <c r="H266" t="inlineStr">
        <is>
          <t>UAE</t>
        </is>
      </c>
      <c r="I266" t="inlineStr">
        <is>
          <t>Brand page / product page</t>
        </is>
      </c>
      <c r="J266" t="inlineStr">
        <is>
          <t>Product</t>
        </is>
      </c>
      <c r="K266">
        <f>IFERROR(VLOOKUP($A266,'Semrush Import'!$A:$D,2,FALSE),"")</f>
        <v/>
      </c>
      <c r="L266">
        <f>IFERROR(VLOOKUP($A266,'Semrush Import'!$A:$D,3,FALSE),"")</f>
        <v/>
      </c>
      <c r="M266">
        <f>IFERROR(VLOOKUP($A266,'Semrush Import'!$A:$D,4,FALSE),"")</f>
        <v/>
      </c>
      <c r="N266">
        <f>IFERROR(VLOOKUP($A266,'KP Import'!$A:$B,2,FALSE),"")</f>
        <v/>
      </c>
      <c r="O266">
        <f>IF(K266="","",ROUND(K266/(L266+10),1))</f>
        <v/>
      </c>
      <c r="P266">
        <f>IF(O266="","",IF(O266&gt;=20,"A - Go first",IF(O266&gt;=5,"B - Next","C - Later")))</f>
        <v/>
      </c>
      <c r="Q266" t="inlineStr">
        <is>
          <t>To research</t>
        </is>
      </c>
      <c r="R266" t="inlineStr"/>
    </row>
    <row r="267">
      <c r="A267" t="inlineStr">
        <is>
          <t>buy royal basmati rice dubai</t>
        </is>
      </c>
      <c r="B267" t="inlineStr">
        <is>
          <t>Phase 2 - B2C (later)</t>
        </is>
      </c>
      <c r="C267" t="inlineStr">
        <is>
          <t>Consumer / household</t>
        </is>
      </c>
      <c r="D267" t="inlineStr">
        <is>
          <t>Brand</t>
        </is>
      </c>
      <c r="E267" t="inlineStr">
        <is>
          <t>Brand</t>
        </is>
      </c>
      <c r="F267" t="inlineStr">
        <is>
          <t>Transactional</t>
        </is>
      </c>
      <c r="G267" t="inlineStr">
        <is>
          <t>BOFU</t>
        </is>
      </c>
      <c r="H267" t="inlineStr">
        <is>
          <t>Dubai</t>
        </is>
      </c>
      <c r="I267" t="inlineStr">
        <is>
          <t>Brand page / product page</t>
        </is>
      </c>
      <c r="J267" t="inlineStr">
        <is>
          <t>Product</t>
        </is>
      </c>
      <c r="K267">
        <f>IFERROR(VLOOKUP($A267,'Semrush Import'!$A:$D,2,FALSE),"")</f>
        <v/>
      </c>
      <c r="L267">
        <f>IFERROR(VLOOKUP($A267,'Semrush Import'!$A:$D,3,FALSE),"")</f>
        <v/>
      </c>
      <c r="M267">
        <f>IFERROR(VLOOKUP($A267,'Semrush Import'!$A:$D,4,FALSE),"")</f>
        <v/>
      </c>
      <c r="N267">
        <f>IFERROR(VLOOKUP($A267,'KP Import'!$A:$B,2,FALSE),"")</f>
        <v/>
      </c>
      <c r="O267">
        <f>IF(K267="","",ROUND(K267/(L267+10),1))</f>
        <v/>
      </c>
      <c r="P267">
        <f>IF(O267="","",IF(O267&gt;=20,"A - Go first",IF(O267&gt;=5,"B - Next","C - Later")))</f>
        <v/>
      </c>
      <c r="Q267" t="inlineStr">
        <is>
          <t>To research</t>
        </is>
      </c>
      <c r="R267" t="inlineStr"/>
    </row>
    <row r="268">
      <c r="A268" t="inlineStr">
        <is>
          <t>al shaheen rice</t>
        </is>
      </c>
      <c r="B268" t="inlineStr">
        <is>
          <t>Phase 2 - B2C (later)</t>
        </is>
      </c>
      <c r="C268" t="inlineStr">
        <is>
          <t>Consumer / household</t>
        </is>
      </c>
      <c r="D268" t="inlineStr">
        <is>
          <t>Brand</t>
        </is>
      </c>
      <c r="E268" t="inlineStr">
        <is>
          <t>Brand</t>
        </is>
      </c>
      <c r="F268" t="inlineStr">
        <is>
          <t>Navigational/Transactional</t>
        </is>
      </c>
      <c r="G268" t="inlineStr">
        <is>
          <t>BOFU</t>
        </is>
      </c>
      <c r="H268" t="inlineStr">
        <is>
          <t>UAE (generic)</t>
        </is>
      </c>
      <c r="I268" t="inlineStr">
        <is>
          <t>Brand page / product page</t>
        </is>
      </c>
      <c r="J268" t="inlineStr">
        <is>
          <t>Product</t>
        </is>
      </c>
      <c r="K268">
        <f>IFERROR(VLOOKUP($A268,'Semrush Import'!$A:$D,2,FALSE),"")</f>
        <v/>
      </c>
      <c r="L268">
        <f>IFERROR(VLOOKUP($A268,'Semrush Import'!$A:$D,3,FALSE),"")</f>
        <v/>
      </c>
      <c r="M268">
        <f>IFERROR(VLOOKUP($A268,'Semrush Import'!$A:$D,4,FALSE),"")</f>
        <v/>
      </c>
      <c r="N268">
        <f>IFERROR(VLOOKUP($A268,'KP Import'!$A:$B,2,FALSE),"")</f>
        <v/>
      </c>
      <c r="O268">
        <f>IF(K268="","",ROUND(K268/(L268+10),1))</f>
        <v/>
      </c>
      <c r="P268">
        <f>IF(O268="","",IF(O268&gt;=20,"A - Go first",IF(O268&gt;=5,"B - Next","C - Later")))</f>
        <v/>
      </c>
      <c r="Q268" t="inlineStr">
        <is>
          <t>To research</t>
        </is>
      </c>
      <c r="R268" t="inlineStr"/>
    </row>
    <row r="269">
      <c r="A269" t="inlineStr">
        <is>
          <t>al shaheen rice price in uae</t>
        </is>
      </c>
      <c r="B269" t="inlineStr">
        <is>
          <t>Phase 2 - B2C (later)</t>
        </is>
      </c>
      <c r="C269" t="inlineStr">
        <is>
          <t>Consumer / household</t>
        </is>
      </c>
      <c r="D269" t="inlineStr">
        <is>
          <t>Brand price</t>
        </is>
      </c>
      <c r="E269" t="inlineStr">
        <is>
          <t>Brand</t>
        </is>
      </c>
      <c r="F269" t="inlineStr">
        <is>
          <t>Commercial</t>
        </is>
      </c>
      <c r="G269" t="inlineStr">
        <is>
          <t>MOFU</t>
        </is>
      </c>
      <c r="H269" t="inlineStr">
        <is>
          <t>UAE</t>
        </is>
      </c>
      <c r="I269" t="inlineStr">
        <is>
          <t>Brand page / product page</t>
        </is>
      </c>
      <c r="J269" t="inlineStr">
        <is>
          <t>Product</t>
        </is>
      </c>
      <c r="K269">
        <f>IFERROR(VLOOKUP($A269,'Semrush Import'!$A:$D,2,FALSE),"")</f>
        <v/>
      </c>
      <c r="L269">
        <f>IFERROR(VLOOKUP($A269,'Semrush Import'!$A:$D,3,FALSE),"")</f>
        <v/>
      </c>
      <c r="M269">
        <f>IFERROR(VLOOKUP($A269,'Semrush Import'!$A:$D,4,FALSE),"")</f>
        <v/>
      </c>
      <c r="N269">
        <f>IFERROR(VLOOKUP($A269,'KP Import'!$A:$B,2,FALSE),"")</f>
        <v/>
      </c>
      <c r="O269">
        <f>IF(K269="","",ROUND(K269/(L269+10),1))</f>
        <v/>
      </c>
      <c r="P269">
        <f>IF(O269="","",IF(O269&gt;=20,"A - Go first",IF(O269&gt;=5,"B - Next","C - Later")))</f>
        <v/>
      </c>
      <c r="Q269" t="inlineStr">
        <is>
          <t>To research</t>
        </is>
      </c>
      <c r="R269" t="inlineStr"/>
    </row>
    <row r="270">
      <c r="A270" t="inlineStr">
        <is>
          <t>buy al shaheen rice dubai</t>
        </is>
      </c>
      <c r="B270" t="inlineStr">
        <is>
          <t>Phase 2 - B2C (later)</t>
        </is>
      </c>
      <c r="C270" t="inlineStr">
        <is>
          <t>Consumer / household</t>
        </is>
      </c>
      <c r="D270" t="inlineStr">
        <is>
          <t>Brand</t>
        </is>
      </c>
      <c r="E270" t="inlineStr">
        <is>
          <t>Brand</t>
        </is>
      </c>
      <c r="F270" t="inlineStr">
        <is>
          <t>Transactional</t>
        </is>
      </c>
      <c r="G270" t="inlineStr">
        <is>
          <t>BOFU</t>
        </is>
      </c>
      <c r="H270" t="inlineStr">
        <is>
          <t>Dubai</t>
        </is>
      </c>
      <c r="I270" t="inlineStr">
        <is>
          <t>Brand page / product page</t>
        </is>
      </c>
      <c r="J270" t="inlineStr">
        <is>
          <t>Product</t>
        </is>
      </c>
      <c r="K270">
        <f>IFERROR(VLOOKUP($A270,'Semrush Import'!$A:$D,2,FALSE),"")</f>
        <v/>
      </c>
      <c r="L270">
        <f>IFERROR(VLOOKUP($A270,'Semrush Import'!$A:$D,3,FALSE),"")</f>
        <v/>
      </c>
      <c r="M270">
        <f>IFERROR(VLOOKUP($A270,'Semrush Import'!$A:$D,4,FALSE),"")</f>
        <v/>
      </c>
      <c r="N270">
        <f>IFERROR(VLOOKUP($A270,'KP Import'!$A:$B,2,FALSE),"")</f>
        <v/>
      </c>
      <c r="O270">
        <f>IF(K270="","",ROUND(K270/(L270+10),1))</f>
        <v/>
      </c>
      <c r="P270">
        <f>IF(O270="","",IF(O270&gt;=20,"A - Go first",IF(O270&gt;=5,"B - Next","C - Later")))</f>
        <v/>
      </c>
      <c r="Q270" t="inlineStr">
        <is>
          <t>To research</t>
        </is>
      </c>
      <c r="R270" t="inlineStr"/>
    </row>
    <row r="271">
      <c r="A271" t="inlineStr">
        <is>
          <t>falak basmati rice</t>
        </is>
      </c>
      <c r="B271" t="inlineStr">
        <is>
          <t>Phase 2 - B2C (later)</t>
        </is>
      </c>
      <c r="C271" t="inlineStr">
        <is>
          <t>Consumer / household</t>
        </is>
      </c>
      <c r="D271" t="inlineStr">
        <is>
          <t>Brand</t>
        </is>
      </c>
      <c r="E271" t="inlineStr">
        <is>
          <t>Brand</t>
        </is>
      </c>
      <c r="F271" t="inlineStr">
        <is>
          <t>Navigational/Transactional</t>
        </is>
      </c>
      <c r="G271" t="inlineStr">
        <is>
          <t>BOFU</t>
        </is>
      </c>
      <c r="H271" t="inlineStr">
        <is>
          <t>UAE (generic)</t>
        </is>
      </c>
      <c r="I271" t="inlineStr">
        <is>
          <t>Brand page / product page</t>
        </is>
      </c>
      <c r="J271" t="inlineStr">
        <is>
          <t>Product</t>
        </is>
      </c>
      <c r="K271">
        <f>IFERROR(VLOOKUP($A271,'Semrush Import'!$A:$D,2,FALSE),"")</f>
        <v/>
      </c>
      <c r="L271">
        <f>IFERROR(VLOOKUP($A271,'Semrush Import'!$A:$D,3,FALSE),"")</f>
        <v/>
      </c>
      <c r="M271">
        <f>IFERROR(VLOOKUP($A271,'Semrush Import'!$A:$D,4,FALSE),"")</f>
        <v/>
      </c>
      <c r="N271">
        <f>IFERROR(VLOOKUP($A271,'KP Import'!$A:$B,2,FALSE),"")</f>
        <v/>
      </c>
      <c r="O271">
        <f>IF(K271="","",ROUND(K271/(L271+10),1))</f>
        <v/>
      </c>
      <c r="P271">
        <f>IF(O271="","",IF(O271&gt;=20,"A - Go first",IF(O271&gt;=5,"B - Next","C - Later")))</f>
        <v/>
      </c>
      <c r="Q271" t="inlineStr">
        <is>
          <t>To research</t>
        </is>
      </c>
      <c r="R271" t="inlineStr"/>
    </row>
    <row r="272">
      <c r="A272" t="inlineStr">
        <is>
          <t>falak basmati rice price in uae</t>
        </is>
      </c>
      <c r="B272" t="inlineStr">
        <is>
          <t>Phase 2 - B2C (later)</t>
        </is>
      </c>
      <c r="C272" t="inlineStr">
        <is>
          <t>Consumer / household</t>
        </is>
      </c>
      <c r="D272" t="inlineStr">
        <is>
          <t>Brand price</t>
        </is>
      </c>
      <c r="E272" t="inlineStr">
        <is>
          <t>Brand</t>
        </is>
      </c>
      <c r="F272" t="inlineStr">
        <is>
          <t>Commercial</t>
        </is>
      </c>
      <c r="G272" t="inlineStr">
        <is>
          <t>MOFU</t>
        </is>
      </c>
      <c r="H272" t="inlineStr">
        <is>
          <t>UAE</t>
        </is>
      </c>
      <c r="I272" t="inlineStr">
        <is>
          <t>Brand page / product page</t>
        </is>
      </c>
      <c r="J272" t="inlineStr">
        <is>
          <t>Product</t>
        </is>
      </c>
      <c r="K272">
        <f>IFERROR(VLOOKUP($A272,'Semrush Import'!$A:$D,2,FALSE),"")</f>
        <v/>
      </c>
      <c r="L272">
        <f>IFERROR(VLOOKUP($A272,'Semrush Import'!$A:$D,3,FALSE),"")</f>
        <v/>
      </c>
      <c r="M272">
        <f>IFERROR(VLOOKUP($A272,'Semrush Import'!$A:$D,4,FALSE),"")</f>
        <v/>
      </c>
      <c r="N272">
        <f>IFERROR(VLOOKUP($A272,'KP Import'!$A:$B,2,FALSE),"")</f>
        <v/>
      </c>
      <c r="O272">
        <f>IF(K272="","",ROUND(K272/(L272+10),1))</f>
        <v/>
      </c>
      <c r="P272">
        <f>IF(O272="","",IF(O272&gt;=20,"A - Go first",IF(O272&gt;=5,"B - Next","C - Later")))</f>
        <v/>
      </c>
      <c r="Q272" t="inlineStr">
        <is>
          <t>To research</t>
        </is>
      </c>
      <c r="R272" t="inlineStr"/>
    </row>
    <row r="273">
      <c r="A273" t="inlineStr">
        <is>
          <t>buy falak basmati rice dubai</t>
        </is>
      </c>
      <c r="B273" t="inlineStr">
        <is>
          <t>Phase 2 - B2C (later)</t>
        </is>
      </c>
      <c r="C273" t="inlineStr">
        <is>
          <t>Consumer / household</t>
        </is>
      </c>
      <c r="D273" t="inlineStr">
        <is>
          <t>Brand</t>
        </is>
      </c>
      <c r="E273" t="inlineStr">
        <is>
          <t>Brand</t>
        </is>
      </c>
      <c r="F273" t="inlineStr">
        <is>
          <t>Transactional</t>
        </is>
      </c>
      <c r="G273" t="inlineStr">
        <is>
          <t>BOFU</t>
        </is>
      </c>
      <c r="H273" t="inlineStr">
        <is>
          <t>Dubai</t>
        </is>
      </c>
      <c r="I273" t="inlineStr">
        <is>
          <t>Brand page / product page</t>
        </is>
      </c>
      <c r="J273" t="inlineStr">
        <is>
          <t>Product</t>
        </is>
      </c>
      <c r="K273">
        <f>IFERROR(VLOOKUP($A273,'Semrush Import'!$A:$D,2,FALSE),"")</f>
        <v/>
      </c>
      <c r="L273">
        <f>IFERROR(VLOOKUP($A273,'Semrush Import'!$A:$D,3,FALSE),"")</f>
        <v/>
      </c>
      <c r="M273">
        <f>IFERROR(VLOOKUP($A273,'Semrush Import'!$A:$D,4,FALSE),"")</f>
        <v/>
      </c>
      <c r="N273">
        <f>IFERROR(VLOOKUP($A273,'KP Import'!$A:$B,2,FALSE),"")</f>
        <v/>
      </c>
      <c r="O273">
        <f>IF(K273="","",ROUND(K273/(L273+10),1))</f>
        <v/>
      </c>
      <c r="P273">
        <f>IF(O273="","",IF(O273&gt;=20,"A - Go first",IF(O273&gt;=5,"B - Next","C - Later")))</f>
        <v/>
      </c>
      <c r="Q273" t="inlineStr">
        <is>
          <t>To research</t>
        </is>
      </c>
      <c r="R273" t="inlineStr"/>
    </row>
    <row r="274">
      <c r="A274" t="inlineStr">
        <is>
          <t>basmati rice 1kg</t>
        </is>
      </c>
      <c r="B274" t="inlineStr">
        <is>
          <t>Phase 2 - B2C (later)</t>
        </is>
      </c>
      <c r="C274" t="inlineStr">
        <is>
          <t>Consumer / household</t>
        </is>
      </c>
      <c r="D274" t="inlineStr">
        <is>
          <t>Pack size</t>
        </is>
      </c>
      <c r="E274" t="inlineStr">
        <is>
          <t>Basmati</t>
        </is>
      </c>
      <c r="F274" t="inlineStr">
        <is>
          <t>Commercial</t>
        </is>
      </c>
      <c r="G274" t="inlineStr">
        <is>
          <t>MOFU</t>
        </is>
      </c>
      <c r="H274" t="inlineStr">
        <is>
          <t>UAE (generic)</t>
        </is>
      </c>
      <c r="I274" t="inlineStr">
        <is>
          <t>Basmati Rice category</t>
        </is>
      </c>
      <c r="J274" t="inlineStr">
        <is>
          <t>Category</t>
        </is>
      </c>
      <c r="K274">
        <f>IFERROR(VLOOKUP($A274,'Semrush Import'!$A:$D,2,FALSE),"")</f>
        <v/>
      </c>
      <c r="L274">
        <f>IFERROR(VLOOKUP($A274,'Semrush Import'!$A:$D,3,FALSE),"")</f>
        <v/>
      </c>
      <c r="M274">
        <f>IFERROR(VLOOKUP($A274,'Semrush Import'!$A:$D,4,FALSE),"")</f>
        <v/>
      </c>
      <c r="N274">
        <f>IFERROR(VLOOKUP($A274,'KP Import'!$A:$B,2,FALSE),"")</f>
        <v/>
      </c>
      <c r="O274">
        <f>IF(K274="","",ROUND(K274/(L274+10),1))</f>
        <v/>
      </c>
      <c r="P274">
        <f>IF(O274="","",IF(O274&gt;=20,"A - Go first",IF(O274&gt;=5,"B - Next","C - Later")))</f>
        <v/>
      </c>
      <c r="Q274" t="inlineStr">
        <is>
          <t>To research</t>
        </is>
      </c>
      <c r="R274" t="inlineStr"/>
    </row>
    <row r="275">
      <c r="A275" t="inlineStr">
        <is>
          <t>1kg rice bag price dubai</t>
        </is>
      </c>
      <c r="B275" t="inlineStr">
        <is>
          <t>Phase 2 - B2C (later)</t>
        </is>
      </c>
      <c r="C275" t="inlineStr">
        <is>
          <t>Consumer / household</t>
        </is>
      </c>
      <c r="D275" t="inlineStr">
        <is>
          <t>Pack size</t>
        </is>
      </c>
      <c r="E275" t="inlineStr">
        <is>
          <t>Bulk</t>
        </is>
      </c>
      <c r="F275" t="inlineStr">
        <is>
          <t>Commercial</t>
        </is>
      </c>
      <c r="G275" t="inlineStr">
        <is>
          <t>MOFU</t>
        </is>
      </c>
      <c r="H275" t="inlineStr">
        <is>
          <t>Dubai</t>
        </is>
      </c>
      <c r="I275" t="inlineStr">
        <is>
          <t>Wholesale landing page</t>
        </is>
      </c>
      <c r="J275" t="inlineStr">
        <is>
          <t>Landing</t>
        </is>
      </c>
      <c r="K275">
        <f>IFERROR(VLOOKUP($A275,'Semrush Import'!$A:$D,2,FALSE),"")</f>
        <v/>
      </c>
      <c r="L275">
        <f>IFERROR(VLOOKUP($A275,'Semrush Import'!$A:$D,3,FALSE),"")</f>
        <v/>
      </c>
      <c r="M275">
        <f>IFERROR(VLOOKUP($A275,'Semrush Import'!$A:$D,4,FALSE),"")</f>
        <v/>
      </c>
      <c r="N275">
        <f>IFERROR(VLOOKUP($A275,'KP Import'!$A:$B,2,FALSE),"")</f>
        <v/>
      </c>
      <c r="O275">
        <f>IF(K275="","",ROUND(K275/(L275+10),1))</f>
        <v/>
      </c>
      <c r="P275">
        <f>IF(O275="","",IF(O275&gt;=20,"A - Go first",IF(O275&gt;=5,"B - Next","C - Later")))</f>
        <v/>
      </c>
      <c r="Q275" t="inlineStr">
        <is>
          <t>To research</t>
        </is>
      </c>
      <c r="R275" t="inlineStr"/>
    </row>
    <row r="276">
      <c r="A276" t="inlineStr">
        <is>
          <t>1kg basmati rice price in uae</t>
        </is>
      </c>
      <c r="B276" t="inlineStr">
        <is>
          <t>Phase 2 - B2C (later)</t>
        </is>
      </c>
      <c r="C276" t="inlineStr">
        <is>
          <t>Consumer / household</t>
        </is>
      </c>
      <c r="D276" t="inlineStr">
        <is>
          <t>Pack size</t>
        </is>
      </c>
      <c r="E276" t="inlineStr">
        <is>
          <t>Basmati</t>
        </is>
      </c>
      <c r="F276" t="inlineStr">
        <is>
          <t>Commercial</t>
        </is>
      </c>
      <c r="G276" t="inlineStr">
        <is>
          <t>MOFU</t>
        </is>
      </c>
      <c r="H276" t="inlineStr">
        <is>
          <t>UAE</t>
        </is>
      </c>
      <c r="I276" t="inlineStr">
        <is>
          <t>Basmati Rice category</t>
        </is>
      </c>
      <c r="J276" t="inlineStr">
        <is>
          <t>Category</t>
        </is>
      </c>
      <c r="K276">
        <f>IFERROR(VLOOKUP($A276,'Semrush Import'!$A:$D,2,FALSE),"")</f>
        <v/>
      </c>
      <c r="L276">
        <f>IFERROR(VLOOKUP($A276,'Semrush Import'!$A:$D,3,FALSE),"")</f>
        <v/>
      </c>
      <c r="M276">
        <f>IFERROR(VLOOKUP($A276,'Semrush Import'!$A:$D,4,FALSE),"")</f>
        <v/>
      </c>
      <c r="N276">
        <f>IFERROR(VLOOKUP($A276,'KP Import'!$A:$B,2,FALSE),"")</f>
        <v/>
      </c>
      <c r="O276">
        <f>IF(K276="","",ROUND(K276/(L276+10),1))</f>
        <v/>
      </c>
      <c r="P276">
        <f>IF(O276="","",IF(O276&gt;=20,"A - Go first",IF(O276&gt;=5,"B - Next","C - Later")))</f>
        <v/>
      </c>
      <c r="Q276" t="inlineStr">
        <is>
          <t>To research</t>
        </is>
      </c>
      <c r="R276" t="inlineStr"/>
    </row>
    <row r="277">
      <c r="A277" t="inlineStr">
        <is>
          <t>basmati rice 5kg</t>
        </is>
      </c>
      <c r="B277" t="inlineStr">
        <is>
          <t>Phase 2 - B2C (later)</t>
        </is>
      </c>
      <c r="C277" t="inlineStr">
        <is>
          <t>Consumer / household</t>
        </is>
      </c>
      <c r="D277" t="inlineStr">
        <is>
          <t>Pack size</t>
        </is>
      </c>
      <c r="E277" t="inlineStr">
        <is>
          <t>Basmati</t>
        </is>
      </c>
      <c r="F277" t="inlineStr">
        <is>
          <t>Commercial</t>
        </is>
      </c>
      <c r="G277" t="inlineStr">
        <is>
          <t>MOFU</t>
        </is>
      </c>
      <c r="H277" t="inlineStr">
        <is>
          <t>UAE (generic)</t>
        </is>
      </c>
      <c r="I277" t="inlineStr">
        <is>
          <t>Basmati Rice category</t>
        </is>
      </c>
      <c r="J277" t="inlineStr">
        <is>
          <t>Category</t>
        </is>
      </c>
      <c r="K277">
        <f>IFERROR(VLOOKUP($A277,'Semrush Import'!$A:$D,2,FALSE),"")</f>
        <v/>
      </c>
      <c r="L277">
        <f>IFERROR(VLOOKUP($A277,'Semrush Import'!$A:$D,3,FALSE),"")</f>
        <v/>
      </c>
      <c r="M277">
        <f>IFERROR(VLOOKUP($A277,'Semrush Import'!$A:$D,4,FALSE),"")</f>
        <v/>
      </c>
      <c r="N277">
        <f>IFERROR(VLOOKUP($A277,'KP Import'!$A:$B,2,FALSE),"")</f>
        <v/>
      </c>
      <c r="O277">
        <f>IF(K277="","",ROUND(K277/(L277+10),1))</f>
        <v/>
      </c>
      <c r="P277">
        <f>IF(O277="","",IF(O277&gt;=20,"A - Go first",IF(O277&gt;=5,"B - Next","C - Later")))</f>
        <v/>
      </c>
      <c r="Q277" t="inlineStr">
        <is>
          <t>To research</t>
        </is>
      </c>
      <c r="R277" t="inlineStr"/>
    </row>
    <row r="278">
      <c r="A278" t="inlineStr">
        <is>
          <t>5kg rice bag price dubai</t>
        </is>
      </c>
      <c r="B278" t="inlineStr">
        <is>
          <t>Phase 2 - B2C (later)</t>
        </is>
      </c>
      <c r="C278" t="inlineStr">
        <is>
          <t>Consumer / household</t>
        </is>
      </c>
      <c r="D278" t="inlineStr">
        <is>
          <t>Pack size</t>
        </is>
      </c>
      <c r="E278" t="inlineStr">
        <is>
          <t>Bulk</t>
        </is>
      </c>
      <c r="F278" t="inlineStr">
        <is>
          <t>Commercial</t>
        </is>
      </c>
      <c r="G278" t="inlineStr">
        <is>
          <t>MOFU</t>
        </is>
      </c>
      <c r="H278" t="inlineStr">
        <is>
          <t>Dubai</t>
        </is>
      </c>
      <c r="I278" t="inlineStr">
        <is>
          <t>Wholesale landing page</t>
        </is>
      </c>
      <c r="J278" t="inlineStr">
        <is>
          <t>Landing</t>
        </is>
      </c>
      <c r="K278">
        <f>IFERROR(VLOOKUP($A278,'Semrush Import'!$A:$D,2,FALSE),"")</f>
        <v/>
      </c>
      <c r="L278">
        <f>IFERROR(VLOOKUP($A278,'Semrush Import'!$A:$D,3,FALSE),"")</f>
        <v/>
      </c>
      <c r="M278">
        <f>IFERROR(VLOOKUP($A278,'Semrush Import'!$A:$D,4,FALSE),"")</f>
        <v/>
      </c>
      <c r="N278">
        <f>IFERROR(VLOOKUP($A278,'KP Import'!$A:$B,2,FALSE),"")</f>
        <v/>
      </c>
      <c r="O278">
        <f>IF(K278="","",ROUND(K278/(L278+10),1))</f>
        <v/>
      </c>
      <c r="P278">
        <f>IF(O278="","",IF(O278&gt;=20,"A - Go first",IF(O278&gt;=5,"B - Next","C - Later")))</f>
        <v/>
      </c>
      <c r="Q278" t="inlineStr">
        <is>
          <t>To research</t>
        </is>
      </c>
      <c r="R278" t="inlineStr"/>
    </row>
    <row r="279">
      <c r="A279" t="inlineStr">
        <is>
          <t>5kg basmati rice price in uae</t>
        </is>
      </c>
      <c r="B279" t="inlineStr">
        <is>
          <t>Phase 2 - B2C (later)</t>
        </is>
      </c>
      <c r="C279" t="inlineStr">
        <is>
          <t>Consumer / household</t>
        </is>
      </c>
      <c r="D279" t="inlineStr">
        <is>
          <t>Pack size</t>
        </is>
      </c>
      <c r="E279" t="inlineStr">
        <is>
          <t>Basmati</t>
        </is>
      </c>
      <c r="F279" t="inlineStr">
        <is>
          <t>Commercial</t>
        </is>
      </c>
      <c r="G279" t="inlineStr">
        <is>
          <t>MOFU</t>
        </is>
      </c>
      <c r="H279" t="inlineStr">
        <is>
          <t>UAE</t>
        </is>
      </c>
      <c r="I279" t="inlineStr">
        <is>
          <t>Basmati Rice category</t>
        </is>
      </c>
      <c r="J279" t="inlineStr">
        <is>
          <t>Category</t>
        </is>
      </c>
      <c r="K279">
        <f>IFERROR(VLOOKUP($A279,'Semrush Import'!$A:$D,2,FALSE),"")</f>
        <v/>
      </c>
      <c r="L279">
        <f>IFERROR(VLOOKUP($A279,'Semrush Import'!$A:$D,3,FALSE),"")</f>
        <v/>
      </c>
      <c r="M279">
        <f>IFERROR(VLOOKUP($A279,'Semrush Import'!$A:$D,4,FALSE),"")</f>
        <v/>
      </c>
      <c r="N279">
        <f>IFERROR(VLOOKUP($A279,'KP Import'!$A:$B,2,FALSE),"")</f>
        <v/>
      </c>
      <c r="O279">
        <f>IF(K279="","",ROUND(K279/(L279+10),1))</f>
        <v/>
      </c>
      <c r="P279">
        <f>IF(O279="","",IF(O279&gt;=20,"A - Go first",IF(O279&gt;=5,"B - Next","C - Later")))</f>
        <v/>
      </c>
      <c r="Q279" t="inlineStr">
        <is>
          <t>To research</t>
        </is>
      </c>
      <c r="R279" t="inlineStr"/>
    </row>
    <row r="280">
      <c r="A280" t="inlineStr">
        <is>
          <t>basmati rice 10kg</t>
        </is>
      </c>
      <c r="B280" t="inlineStr">
        <is>
          <t>Phase 2 - B2C (later)</t>
        </is>
      </c>
      <c r="C280" t="inlineStr">
        <is>
          <t>Consumer / household</t>
        </is>
      </c>
      <c r="D280" t="inlineStr">
        <is>
          <t>Pack size</t>
        </is>
      </c>
      <c r="E280" t="inlineStr">
        <is>
          <t>Basmati</t>
        </is>
      </c>
      <c r="F280" t="inlineStr">
        <is>
          <t>Commercial</t>
        </is>
      </c>
      <c r="G280" t="inlineStr">
        <is>
          <t>MOFU</t>
        </is>
      </c>
      <c r="H280" t="inlineStr">
        <is>
          <t>UAE (generic)</t>
        </is>
      </c>
      <c r="I280" t="inlineStr">
        <is>
          <t>Basmati Rice category</t>
        </is>
      </c>
      <c r="J280" t="inlineStr">
        <is>
          <t>Category</t>
        </is>
      </c>
      <c r="K280">
        <f>IFERROR(VLOOKUP($A280,'Semrush Import'!$A:$D,2,FALSE),"")</f>
        <v/>
      </c>
      <c r="L280">
        <f>IFERROR(VLOOKUP($A280,'Semrush Import'!$A:$D,3,FALSE),"")</f>
        <v/>
      </c>
      <c r="M280">
        <f>IFERROR(VLOOKUP($A280,'Semrush Import'!$A:$D,4,FALSE),"")</f>
        <v/>
      </c>
      <c r="N280">
        <f>IFERROR(VLOOKUP($A280,'KP Import'!$A:$B,2,FALSE),"")</f>
        <v/>
      </c>
      <c r="O280">
        <f>IF(K280="","",ROUND(K280/(L280+10),1))</f>
        <v/>
      </c>
      <c r="P280">
        <f>IF(O280="","",IF(O280&gt;=20,"A - Go first",IF(O280&gt;=5,"B - Next","C - Later")))</f>
        <v/>
      </c>
      <c r="Q280" t="inlineStr">
        <is>
          <t>To research</t>
        </is>
      </c>
      <c r="R280" t="inlineStr"/>
    </row>
    <row r="281">
      <c r="A281" t="inlineStr">
        <is>
          <t>10kg rice bag price dubai</t>
        </is>
      </c>
      <c r="B281" t="inlineStr">
        <is>
          <t>Phase 2 - B2C (later)</t>
        </is>
      </c>
      <c r="C281" t="inlineStr">
        <is>
          <t>Consumer / household</t>
        </is>
      </c>
      <c r="D281" t="inlineStr">
        <is>
          <t>Pack size</t>
        </is>
      </c>
      <c r="E281" t="inlineStr">
        <is>
          <t>Bulk</t>
        </is>
      </c>
      <c r="F281" t="inlineStr">
        <is>
          <t>Commercial</t>
        </is>
      </c>
      <c r="G281" t="inlineStr">
        <is>
          <t>MOFU</t>
        </is>
      </c>
      <c r="H281" t="inlineStr">
        <is>
          <t>Dubai</t>
        </is>
      </c>
      <c r="I281" t="inlineStr">
        <is>
          <t>Wholesale landing page</t>
        </is>
      </c>
      <c r="J281" t="inlineStr">
        <is>
          <t>Landing</t>
        </is>
      </c>
      <c r="K281">
        <f>IFERROR(VLOOKUP($A281,'Semrush Import'!$A:$D,2,FALSE),"")</f>
        <v/>
      </c>
      <c r="L281">
        <f>IFERROR(VLOOKUP($A281,'Semrush Import'!$A:$D,3,FALSE),"")</f>
        <v/>
      </c>
      <c r="M281">
        <f>IFERROR(VLOOKUP($A281,'Semrush Import'!$A:$D,4,FALSE),"")</f>
        <v/>
      </c>
      <c r="N281">
        <f>IFERROR(VLOOKUP($A281,'KP Import'!$A:$B,2,FALSE),"")</f>
        <v/>
      </c>
      <c r="O281">
        <f>IF(K281="","",ROUND(K281/(L281+10),1))</f>
        <v/>
      </c>
      <c r="P281">
        <f>IF(O281="","",IF(O281&gt;=20,"A - Go first",IF(O281&gt;=5,"B - Next","C - Later")))</f>
        <v/>
      </c>
      <c r="Q281" t="inlineStr">
        <is>
          <t>To research</t>
        </is>
      </c>
      <c r="R281" t="inlineStr"/>
    </row>
    <row r="282">
      <c r="A282" t="inlineStr">
        <is>
          <t>10kg basmati rice price in uae</t>
        </is>
      </c>
      <c r="B282" t="inlineStr">
        <is>
          <t>Phase 2 - B2C (later)</t>
        </is>
      </c>
      <c r="C282" t="inlineStr">
        <is>
          <t>Consumer / household</t>
        </is>
      </c>
      <c r="D282" t="inlineStr">
        <is>
          <t>Pack size</t>
        </is>
      </c>
      <c r="E282" t="inlineStr">
        <is>
          <t>Basmati</t>
        </is>
      </c>
      <c r="F282" t="inlineStr">
        <is>
          <t>Commercial</t>
        </is>
      </c>
      <c r="G282" t="inlineStr">
        <is>
          <t>MOFU</t>
        </is>
      </c>
      <c r="H282" t="inlineStr">
        <is>
          <t>UAE</t>
        </is>
      </c>
      <c r="I282" t="inlineStr">
        <is>
          <t>Basmati Rice category</t>
        </is>
      </c>
      <c r="J282" t="inlineStr">
        <is>
          <t>Category</t>
        </is>
      </c>
      <c r="K282">
        <f>IFERROR(VLOOKUP($A282,'Semrush Import'!$A:$D,2,FALSE),"")</f>
        <v/>
      </c>
      <c r="L282">
        <f>IFERROR(VLOOKUP($A282,'Semrush Import'!$A:$D,3,FALSE),"")</f>
        <v/>
      </c>
      <c r="M282">
        <f>IFERROR(VLOOKUP($A282,'Semrush Import'!$A:$D,4,FALSE),"")</f>
        <v/>
      </c>
      <c r="N282">
        <f>IFERROR(VLOOKUP($A282,'KP Import'!$A:$B,2,FALSE),"")</f>
        <v/>
      </c>
      <c r="O282">
        <f>IF(K282="","",ROUND(K282/(L282+10),1))</f>
        <v/>
      </c>
      <c r="P282">
        <f>IF(O282="","",IF(O282&gt;=20,"A - Go first",IF(O282&gt;=5,"B - Next","C - Later")))</f>
        <v/>
      </c>
      <c r="Q282" t="inlineStr">
        <is>
          <t>To research</t>
        </is>
      </c>
      <c r="R282" t="inlineStr"/>
    </row>
    <row r="283">
      <c r="A283" t="inlineStr">
        <is>
          <t>basmati rice 20kg</t>
        </is>
      </c>
      <c r="B283" t="inlineStr">
        <is>
          <t>Phase 1 - B2B now</t>
        </is>
      </c>
      <c r="C283" t="inlineStr">
        <is>
          <t>Wholesalers / bulk buyers</t>
        </is>
      </c>
      <c r="D283" t="inlineStr">
        <is>
          <t>Pack size</t>
        </is>
      </c>
      <c r="E283" t="inlineStr">
        <is>
          <t>Basmati</t>
        </is>
      </c>
      <c r="F283" t="inlineStr">
        <is>
          <t>Commercial</t>
        </is>
      </c>
      <c r="G283" t="inlineStr">
        <is>
          <t>MOFU</t>
        </is>
      </c>
      <c r="H283" t="inlineStr">
        <is>
          <t>UAE (generic)</t>
        </is>
      </c>
      <c r="I283" t="inlineStr">
        <is>
          <t>Basmati Rice category</t>
        </is>
      </c>
      <c r="J283" t="inlineStr">
        <is>
          <t>Category</t>
        </is>
      </c>
      <c r="K283">
        <f>IFERROR(VLOOKUP($A283,'Semrush Import'!$A:$D,2,FALSE),"")</f>
        <v/>
      </c>
      <c r="L283">
        <f>IFERROR(VLOOKUP($A283,'Semrush Import'!$A:$D,3,FALSE),"")</f>
        <v/>
      </c>
      <c r="M283">
        <f>IFERROR(VLOOKUP($A283,'Semrush Import'!$A:$D,4,FALSE),"")</f>
        <v/>
      </c>
      <c r="N283">
        <f>IFERROR(VLOOKUP($A283,'KP Import'!$A:$B,2,FALSE),"")</f>
        <v/>
      </c>
      <c r="O283">
        <f>IF(K283="","",ROUND(K283/(L283+10),1))</f>
        <v/>
      </c>
      <c r="P283">
        <f>IF(O283="","",IF(O283&gt;=20,"A - Go first",IF(O283&gt;=5,"B - Next","C - Later")))</f>
        <v/>
      </c>
      <c r="Q283" t="inlineStr">
        <is>
          <t>To research</t>
        </is>
      </c>
      <c r="R283" t="inlineStr"/>
    </row>
    <row r="284">
      <c r="A284" t="inlineStr">
        <is>
          <t>20kg rice bag price dubai</t>
        </is>
      </c>
      <c r="B284" t="inlineStr">
        <is>
          <t>Phase 1 - B2B now</t>
        </is>
      </c>
      <c r="C284" t="inlineStr">
        <is>
          <t>Wholesalers / bulk buyers</t>
        </is>
      </c>
      <c r="D284" t="inlineStr">
        <is>
          <t>Pack size</t>
        </is>
      </c>
      <c r="E284" t="inlineStr">
        <is>
          <t>Bulk</t>
        </is>
      </c>
      <c r="F284" t="inlineStr">
        <is>
          <t>Commercial</t>
        </is>
      </c>
      <c r="G284" t="inlineStr">
        <is>
          <t>MOFU</t>
        </is>
      </c>
      <c r="H284" t="inlineStr">
        <is>
          <t>Dubai</t>
        </is>
      </c>
      <c r="I284" t="inlineStr">
        <is>
          <t>Wholesale landing page</t>
        </is>
      </c>
      <c r="J284" t="inlineStr">
        <is>
          <t>Landing</t>
        </is>
      </c>
      <c r="K284">
        <f>IFERROR(VLOOKUP($A284,'Semrush Import'!$A:$D,2,FALSE),"")</f>
        <v/>
      </c>
      <c r="L284">
        <f>IFERROR(VLOOKUP($A284,'Semrush Import'!$A:$D,3,FALSE),"")</f>
        <v/>
      </c>
      <c r="M284">
        <f>IFERROR(VLOOKUP($A284,'Semrush Import'!$A:$D,4,FALSE),"")</f>
        <v/>
      </c>
      <c r="N284">
        <f>IFERROR(VLOOKUP($A284,'KP Import'!$A:$B,2,FALSE),"")</f>
        <v/>
      </c>
      <c r="O284">
        <f>IF(K284="","",ROUND(K284/(L284+10),1))</f>
        <v/>
      </c>
      <c r="P284">
        <f>IF(O284="","",IF(O284&gt;=20,"A - Go first",IF(O284&gt;=5,"B - Next","C - Later")))</f>
        <v/>
      </c>
      <c r="Q284" t="inlineStr">
        <is>
          <t>To research</t>
        </is>
      </c>
      <c r="R284" t="inlineStr"/>
    </row>
    <row r="285">
      <c r="A285" t="inlineStr">
        <is>
          <t>20kg basmati rice price in uae</t>
        </is>
      </c>
      <c r="B285" t="inlineStr">
        <is>
          <t>Phase 1 - B2B now</t>
        </is>
      </c>
      <c r="C285" t="inlineStr">
        <is>
          <t>Wholesalers / bulk buyers</t>
        </is>
      </c>
      <c r="D285" t="inlineStr">
        <is>
          <t>Pack size</t>
        </is>
      </c>
      <c r="E285" t="inlineStr">
        <is>
          <t>Basmati</t>
        </is>
      </c>
      <c r="F285" t="inlineStr">
        <is>
          <t>Commercial</t>
        </is>
      </c>
      <c r="G285" t="inlineStr">
        <is>
          <t>MOFU</t>
        </is>
      </c>
      <c r="H285" t="inlineStr">
        <is>
          <t>UAE</t>
        </is>
      </c>
      <c r="I285" t="inlineStr">
        <is>
          <t>Basmati Rice category</t>
        </is>
      </c>
      <c r="J285" t="inlineStr">
        <is>
          <t>Category</t>
        </is>
      </c>
      <c r="K285">
        <f>IFERROR(VLOOKUP($A285,'Semrush Import'!$A:$D,2,FALSE),"")</f>
        <v/>
      </c>
      <c r="L285">
        <f>IFERROR(VLOOKUP($A285,'Semrush Import'!$A:$D,3,FALSE),"")</f>
        <v/>
      </c>
      <c r="M285">
        <f>IFERROR(VLOOKUP($A285,'Semrush Import'!$A:$D,4,FALSE),"")</f>
        <v/>
      </c>
      <c r="N285">
        <f>IFERROR(VLOOKUP($A285,'KP Import'!$A:$B,2,FALSE),"")</f>
        <v/>
      </c>
      <c r="O285">
        <f>IF(K285="","",ROUND(K285/(L285+10),1))</f>
        <v/>
      </c>
      <c r="P285">
        <f>IF(O285="","",IF(O285&gt;=20,"A - Go first",IF(O285&gt;=5,"B - Next","C - Later")))</f>
        <v/>
      </c>
      <c r="Q285" t="inlineStr">
        <is>
          <t>To research</t>
        </is>
      </c>
      <c r="R285" t="inlineStr"/>
    </row>
    <row r="286">
      <c r="A286" t="inlineStr">
        <is>
          <t>basmati rice 25kg</t>
        </is>
      </c>
      <c r="B286" t="inlineStr">
        <is>
          <t>Phase 2 - B2C (later)</t>
        </is>
      </c>
      <c r="C286" t="inlineStr">
        <is>
          <t>Consumer / household</t>
        </is>
      </c>
      <c r="D286" t="inlineStr">
        <is>
          <t>Pack size</t>
        </is>
      </c>
      <c r="E286" t="inlineStr">
        <is>
          <t>Basmati</t>
        </is>
      </c>
      <c r="F286" t="inlineStr">
        <is>
          <t>Commercial</t>
        </is>
      </c>
      <c r="G286" t="inlineStr">
        <is>
          <t>MOFU</t>
        </is>
      </c>
      <c r="H286" t="inlineStr">
        <is>
          <t>UAE (generic)</t>
        </is>
      </c>
      <c r="I286" t="inlineStr">
        <is>
          <t>Basmati Rice category</t>
        </is>
      </c>
      <c r="J286" t="inlineStr">
        <is>
          <t>Category</t>
        </is>
      </c>
      <c r="K286">
        <f>IFERROR(VLOOKUP($A286,'Semrush Import'!$A:$D,2,FALSE),"")</f>
        <v/>
      </c>
      <c r="L286">
        <f>IFERROR(VLOOKUP($A286,'Semrush Import'!$A:$D,3,FALSE),"")</f>
        <v/>
      </c>
      <c r="M286">
        <f>IFERROR(VLOOKUP($A286,'Semrush Import'!$A:$D,4,FALSE),"")</f>
        <v/>
      </c>
      <c r="N286">
        <f>IFERROR(VLOOKUP($A286,'KP Import'!$A:$B,2,FALSE),"")</f>
        <v/>
      </c>
      <c r="O286">
        <f>IF(K286="","",ROUND(K286/(L286+10),1))</f>
        <v/>
      </c>
      <c r="P286">
        <f>IF(O286="","",IF(O286&gt;=20,"A - Go first",IF(O286&gt;=5,"B - Next","C - Later")))</f>
        <v/>
      </c>
      <c r="Q286" t="inlineStr">
        <is>
          <t>To research</t>
        </is>
      </c>
      <c r="R286" t="inlineStr"/>
    </row>
    <row r="287">
      <c r="A287" t="inlineStr">
        <is>
          <t>25kg rice bag price dubai</t>
        </is>
      </c>
      <c r="B287" t="inlineStr">
        <is>
          <t>Phase 2 - B2C (later)</t>
        </is>
      </c>
      <c r="C287" t="inlineStr">
        <is>
          <t>Consumer / household</t>
        </is>
      </c>
      <c r="D287" t="inlineStr">
        <is>
          <t>Pack size</t>
        </is>
      </c>
      <c r="E287" t="inlineStr">
        <is>
          <t>Bulk</t>
        </is>
      </c>
      <c r="F287" t="inlineStr">
        <is>
          <t>Commercial</t>
        </is>
      </c>
      <c r="G287" t="inlineStr">
        <is>
          <t>MOFU</t>
        </is>
      </c>
      <c r="H287" t="inlineStr">
        <is>
          <t>Dubai</t>
        </is>
      </c>
      <c r="I287" t="inlineStr">
        <is>
          <t>Wholesale landing page</t>
        </is>
      </c>
      <c r="J287" t="inlineStr">
        <is>
          <t>Landing</t>
        </is>
      </c>
      <c r="K287">
        <f>IFERROR(VLOOKUP($A287,'Semrush Import'!$A:$D,2,FALSE),"")</f>
        <v/>
      </c>
      <c r="L287">
        <f>IFERROR(VLOOKUP($A287,'Semrush Import'!$A:$D,3,FALSE),"")</f>
        <v/>
      </c>
      <c r="M287">
        <f>IFERROR(VLOOKUP($A287,'Semrush Import'!$A:$D,4,FALSE),"")</f>
        <v/>
      </c>
      <c r="N287">
        <f>IFERROR(VLOOKUP($A287,'KP Import'!$A:$B,2,FALSE),"")</f>
        <v/>
      </c>
      <c r="O287">
        <f>IF(K287="","",ROUND(K287/(L287+10),1))</f>
        <v/>
      </c>
      <c r="P287">
        <f>IF(O287="","",IF(O287&gt;=20,"A - Go first",IF(O287&gt;=5,"B - Next","C - Later")))</f>
        <v/>
      </c>
      <c r="Q287" t="inlineStr">
        <is>
          <t>To research</t>
        </is>
      </c>
      <c r="R287" t="inlineStr"/>
    </row>
    <row r="288">
      <c r="A288" t="inlineStr">
        <is>
          <t>25kg basmati rice price in uae</t>
        </is>
      </c>
      <c r="B288" t="inlineStr">
        <is>
          <t>Phase 2 - B2C (later)</t>
        </is>
      </c>
      <c r="C288" t="inlineStr">
        <is>
          <t>Consumer / household</t>
        </is>
      </c>
      <c r="D288" t="inlineStr">
        <is>
          <t>Pack size</t>
        </is>
      </c>
      <c r="E288" t="inlineStr">
        <is>
          <t>Basmati</t>
        </is>
      </c>
      <c r="F288" t="inlineStr">
        <is>
          <t>Commercial</t>
        </is>
      </c>
      <c r="G288" t="inlineStr">
        <is>
          <t>MOFU</t>
        </is>
      </c>
      <c r="H288" t="inlineStr">
        <is>
          <t>UAE</t>
        </is>
      </c>
      <c r="I288" t="inlineStr">
        <is>
          <t>Basmati Rice category</t>
        </is>
      </c>
      <c r="J288" t="inlineStr">
        <is>
          <t>Category</t>
        </is>
      </c>
      <c r="K288">
        <f>IFERROR(VLOOKUP($A288,'Semrush Import'!$A:$D,2,FALSE),"")</f>
        <v/>
      </c>
      <c r="L288">
        <f>IFERROR(VLOOKUP($A288,'Semrush Import'!$A:$D,3,FALSE),"")</f>
        <v/>
      </c>
      <c r="M288">
        <f>IFERROR(VLOOKUP($A288,'Semrush Import'!$A:$D,4,FALSE),"")</f>
        <v/>
      </c>
      <c r="N288">
        <f>IFERROR(VLOOKUP($A288,'KP Import'!$A:$B,2,FALSE),"")</f>
        <v/>
      </c>
      <c r="O288">
        <f>IF(K288="","",ROUND(K288/(L288+10),1))</f>
        <v/>
      </c>
      <c r="P288">
        <f>IF(O288="","",IF(O288&gt;=20,"A - Go first",IF(O288&gt;=5,"B - Next","C - Later")))</f>
        <v/>
      </c>
      <c r="Q288" t="inlineStr">
        <is>
          <t>To research</t>
        </is>
      </c>
      <c r="R288" t="inlineStr"/>
    </row>
    <row r="289">
      <c r="A289" t="inlineStr">
        <is>
          <t>basmati rice 40kg</t>
        </is>
      </c>
      <c r="B289" t="inlineStr">
        <is>
          <t>Phase 1 - B2B now</t>
        </is>
      </c>
      <c r="C289" t="inlineStr">
        <is>
          <t>Wholesalers / bulk buyers</t>
        </is>
      </c>
      <c r="D289" t="inlineStr">
        <is>
          <t>Pack size</t>
        </is>
      </c>
      <c r="E289" t="inlineStr">
        <is>
          <t>Basmati</t>
        </is>
      </c>
      <c r="F289" t="inlineStr">
        <is>
          <t>Commercial</t>
        </is>
      </c>
      <c r="G289" t="inlineStr">
        <is>
          <t>MOFU</t>
        </is>
      </c>
      <c r="H289" t="inlineStr">
        <is>
          <t>UAE (generic)</t>
        </is>
      </c>
      <c r="I289" t="inlineStr">
        <is>
          <t>Basmati Rice category</t>
        </is>
      </c>
      <c r="J289" t="inlineStr">
        <is>
          <t>Category</t>
        </is>
      </c>
      <c r="K289">
        <f>IFERROR(VLOOKUP($A289,'Semrush Import'!$A:$D,2,FALSE),"")</f>
        <v/>
      </c>
      <c r="L289">
        <f>IFERROR(VLOOKUP($A289,'Semrush Import'!$A:$D,3,FALSE),"")</f>
        <v/>
      </c>
      <c r="M289">
        <f>IFERROR(VLOOKUP($A289,'Semrush Import'!$A:$D,4,FALSE),"")</f>
        <v/>
      </c>
      <c r="N289">
        <f>IFERROR(VLOOKUP($A289,'KP Import'!$A:$B,2,FALSE),"")</f>
        <v/>
      </c>
      <c r="O289">
        <f>IF(K289="","",ROUND(K289/(L289+10),1))</f>
        <v/>
      </c>
      <c r="P289">
        <f>IF(O289="","",IF(O289&gt;=20,"A - Go first",IF(O289&gt;=5,"B - Next","C - Later")))</f>
        <v/>
      </c>
      <c r="Q289" t="inlineStr">
        <is>
          <t>To research</t>
        </is>
      </c>
      <c r="R289" t="inlineStr"/>
    </row>
    <row r="290">
      <c r="A290" t="inlineStr">
        <is>
          <t>40kg rice bag price dubai</t>
        </is>
      </c>
      <c r="B290" t="inlineStr">
        <is>
          <t>Phase 1 - B2B now</t>
        </is>
      </c>
      <c r="C290" t="inlineStr">
        <is>
          <t>Wholesalers / bulk buyers</t>
        </is>
      </c>
      <c r="D290" t="inlineStr">
        <is>
          <t>Pack size</t>
        </is>
      </c>
      <c r="E290" t="inlineStr">
        <is>
          <t>Bulk</t>
        </is>
      </c>
      <c r="F290" t="inlineStr">
        <is>
          <t>Commercial</t>
        </is>
      </c>
      <c r="G290" t="inlineStr">
        <is>
          <t>MOFU</t>
        </is>
      </c>
      <c r="H290" t="inlineStr">
        <is>
          <t>Dubai</t>
        </is>
      </c>
      <c r="I290" t="inlineStr">
        <is>
          <t>Wholesale landing page</t>
        </is>
      </c>
      <c r="J290" t="inlineStr">
        <is>
          <t>Landing</t>
        </is>
      </c>
      <c r="K290">
        <f>IFERROR(VLOOKUP($A290,'Semrush Import'!$A:$D,2,FALSE),"")</f>
        <v/>
      </c>
      <c r="L290">
        <f>IFERROR(VLOOKUP($A290,'Semrush Import'!$A:$D,3,FALSE),"")</f>
        <v/>
      </c>
      <c r="M290">
        <f>IFERROR(VLOOKUP($A290,'Semrush Import'!$A:$D,4,FALSE),"")</f>
        <v/>
      </c>
      <c r="N290">
        <f>IFERROR(VLOOKUP($A290,'KP Import'!$A:$B,2,FALSE),"")</f>
        <v/>
      </c>
      <c r="O290">
        <f>IF(K290="","",ROUND(K290/(L290+10),1))</f>
        <v/>
      </c>
      <c r="P290">
        <f>IF(O290="","",IF(O290&gt;=20,"A - Go first",IF(O290&gt;=5,"B - Next","C - Later")))</f>
        <v/>
      </c>
      <c r="Q290" t="inlineStr">
        <is>
          <t>To research</t>
        </is>
      </c>
      <c r="R290" t="inlineStr"/>
    </row>
    <row r="291">
      <c r="A291" t="inlineStr">
        <is>
          <t>40kg basmati rice price in uae</t>
        </is>
      </c>
      <c r="B291" t="inlineStr">
        <is>
          <t>Phase 1 - B2B now</t>
        </is>
      </c>
      <c r="C291" t="inlineStr">
        <is>
          <t>Wholesalers / bulk buyers</t>
        </is>
      </c>
      <c r="D291" t="inlineStr">
        <is>
          <t>Pack size</t>
        </is>
      </c>
      <c r="E291" t="inlineStr">
        <is>
          <t>Basmati</t>
        </is>
      </c>
      <c r="F291" t="inlineStr">
        <is>
          <t>Commercial</t>
        </is>
      </c>
      <c r="G291" t="inlineStr">
        <is>
          <t>MOFU</t>
        </is>
      </c>
      <c r="H291" t="inlineStr">
        <is>
          <t>UAE</t>
        </is>
      </c>
      <c r="I291" t="inlineStr">
        <is>
          <t>Basmati Rice category</t>
        </is>
      </c>
      <c r="J291" t="inlineStr">
        <is>
          <t>Category</t>
        </is>
      </c>
      <c r="K291">
        <f>IFERROR(VLOOKUP($A291,'Semrush Import'!$A:$D,2,FALSE),"")</f>
        <v/>
      </c>
      <c r="L291">
        <f>IFERROR(VLOOKUP($A291,'Semrush Import'!$A:$D,3,FALSE),"")</f>
        <v/>
      </c>
      <c r="M291">
        <f>IFERROR(VLOOKUP($A291,'Semrush Import'!$A:$D,4,FALSE),"")</f>
        <v/>
      </c>
      <c r="N291">
        <f>IFERROR(VLOOKUP($A291,'KP Import'!$A:$B,2,FALSE),"")</f>
        <v/>
      </c>
      <c r="O291">
        <f>IF(K291="","",ROUND(K291/(L291+10),1))</f>
        <v/>
      </c>
      <c r="P291">
        <f>IF(O291="","",IF(O291&gt;=20,"A - Go first",IF(O291&gt;=5,"B - Next","C - Later")))</f>
        <v/>
      </c>
      <c r="Q291" t="inlineStr">
        <is>
          <t>To research</t>
        </is>
      </c>
      <c r="R291" t="inlineStr"/>
    </row>
    <row r="292">
      <c r="A292" t="inlineStr">
        <is>
          <t>basmati rice 50kg</t>
        </is>
      </c>
      <c r="B292" t="inlineStr">
        <is>
          <t>Phase 1 - B2B now</t>
        </is>
      </c>
      <c r="C292" t="inlineStr">
        <is>
          <t>Wholesalers / bulk buyers</t>
        </is>
      </c>
      <c r="D292" t="inlineStr">
        <is>
          <t>Pack size</t>
        </is>
      </c>
      <c r="E292" t="inlineStr">
        <is>
          <t>Basmati</t>
        </is>
      </c>
      <c r="F292" t="inlineStr">
        <is>
          <t>Commercial</t>
        </is>
      </c>
      <c r="G292" t="inlineStr">
        <is>
          <t>MOFU</t>
        </is>
      </c>
      <c r="H292" t="inlineStr">
        <is>
          <t>UAE (generic)</t>
        </is>
      </c>
      <c r="I292" t="inlineStr">
        <is>
          <t>Basmati Rice category</t>
        </is>
      </c>
      <c r="J292" t="inlineStr">
        <is>
          <t>Category</t>
        </is>
      </c>
      <c r="K292">
        <f>IFERROR(VLOOKUP($A292,'Semrush Import'!$A:$D,2,FALSE),"")</f>
        <v/>
      </c>
      <c r="L292">
        <f>IFERROR(VLOOKUP($A292,'Semrush Import'!$A:$D,3,FALSE),"")</f>
        <v/>
      </c>
      <c r="M292">
        <f>IFERROR(VLOOKUP($A292,'Semrush Import'!$A:$D,4,FALSE),"")</f>
        <v/>
      </c>
      <c r="N292">
        <f>IFERROR(VLOOKUP($A292,'KP Import'!$A:$B,2,FALSE),"")</f>
        <v/>
      </c>
      <c r="O292">
        <f>IF(K292="","",ROUND(K292/(L292+10),1))</f>
        <v/>
      </c>
      <c r="P292">
        <f>IF(O292="","",IF(O292&gt;=20,"A - Go first",IF(O292&gt;=5,"B - Next","C - Later")))</f>
        <v/>
      </c>
      <c r="Q292" t="inlineStr">
        <is>
          <t>To research</t>
        </is>
      </c>
      <c r="R292" t="inlineStr"/>
    </row>
    <row r="293">
      <c r="A293" t="inlineStr">
        <is>
          <t>50kg rice bag price dubai</t>
        </is>
      </c>
      <c r="B293" t="inlineStr">
        <is>
          <t>Phase 1 - B2B now</t>
        </is>
      </c>
      <c r="C293" t="inlineStr">
        <is>
          <t>Wholesalers / bulk buyers</t>
        </is>
      </c>
      <c r="D293" t="inlineStr">
        <is>
          <t>Pack size</t>
        </is>
      </c>
      <c r="E293" t="inlineStr">
        <is>
          <t>Bulk</t>
        </is>
      </c>
      <c r="F293" t="inlineStr">
        <is>
          <t>Commercial</t>
        </is>
      </c>
      <c r="G293" t="inlineStr">
        <is>
          <t>MOFU</t>
        </is>
      </c>
      <c r="H293" t="inlineStr">
        <is>
          <t>Dubai</t>
        </is>
      </c>
      <c r="I293" t="inlineStr">
        <is>
          <t>Wholesale landing page</t>
        </is>
      </c>
      <c r="J293" t="inlineStr">
        <is>
          <t>Landing</t>
        </is>
      </c>
      <c r="K293">
        <f>IFERROR(VLOOKUP($A293,'Semrush Import'!$A:$D,2,FALSE),"")</f>
        <v/>
      </c>
      <c r="L293">
        <f>IFERROR(VLOOKUP($A293,'Semrush Import'!$A:$D,3,FALSE),"")</f>
        <v/>
      </c>
      <c r="M293">
        <f>IFERROR(VLOOKUP($A293,'Semrush Import'!$A:$D,4,FALSE),"")</f>
        <v/>
      </c>
      <c r="N293">
        <f>IFERROR(VLOOKUP($A293,'KP Import'!$A:$B,2,FALSE),"")</f>
        <v/>
      </c>
      <c r="O293">
        <f>IF(K293="","",ROUND(K293/(L293+10),1))</f>
        <v/>
      </c>
      <c r="P293">
        <f>IF(O293="","",IF(O293&gt;=20,"A - Go first",IF(O293&gt;=5,"B - Next","C - Later")))</f>
        <v/>
      </c>
      <c r="Q293" t="inlineStr">
        <is>
          <t>To research</t>
        </is>
      </c>
      <c r="R293" t="inlineStr"/>
    </row>
    <row r="294">
      <c r="A294" t="inlineStr">
        <is>
          <t>50kg basmati rice price in uae</t>
        </is>
      </c>
      <c r="B294" t="inlineStr">
        <is>
          <t>Phase 1 - B2B now</t>
        </is>
      </c>
      <c r="C294" t="inlineStr">
        <is>
          <t>Wholesalers / bulk buyers</t>
        </is>
      </c>
      <c r="D294" t="inlineStr">
        <is>
          <t>Pack size</t>
        </is>
      </c>
      <c r="E294" t="inlineStr">
        <is>
          <t>Basmati</t>
        </is>
      </c>
      <c r="F294" t="inlineStr">
        <is>
          <t>Commercial</t>
        </is>
      </c>
      <c r="G294" t="inlineStr">
        <is>
          <t>MOFU</t>
        </is>
      </c>
      <c r="H294" t="inlineStr">
        <is>
          <t>UAE</t>
        </is>
      </c>
      <c r="I294" t="inlineStr">
        <is>
          <t>Basmati Rice category</t>
        </is>
      </c>
      <c r="J294" t="inlineStr">
        <is>
          <t>Category</t>
        </is>
      </c>
      <c r="K294">
        <f>IFERROR(VLOOKUP($A294,'Semrush Import'!$A:$D,2,FALSE),"")</f>
        <v/>
      </c>
      <c r="L294">
        <f>IFERROR(VLOOKUP($A294,'Semrush Import'!$A:$D,3,FALSE),"")</f>
        <v/>
      </c>
      <c r="M294">
        <f>IFERROR(VLOOKUP($A294,'Semrush Import'!$A:$D,4,FALSE),"")</f>
        <v/>
      </c>
      <c r="N294">
        <f>IFERROR(VLOOKUP($A294,'KP Import'!$A:$B,2,FALSE),"")</f>
        <v/>
      </c>
      <c r="O294">
        <f>IF(K294="","",ROUND(K294/(L294+10),1))</f>
        <v/>
      </c>
      <c r="P294">
        <f>IF(O294="","",IF(O294&gt;=20,"A - Go first",IF(O294&gt;=5,"B - Next","C - Later")))</f>
        <v/>
      </c>
      <c r="Q294" t="inlineStr">
        <is>
          <t>To research</t>
        </is>
      </c>
      <c r="R294" t="inlineStr"/>
    </row>
    <row r="295">
      <c r="A295" t="inlineStr">
        <is>
          <t>rice wholesale dubai</t>
        </is>
      </c>
      <c r="B295" t="inlineStr">
        <is>
          <t>Phase 1 - B2B now</t>
        </is>
      </c>
      <c r="C295" t="inlineStr">
        <is>
          <t>Wholesalers / bulk buyers</t>
        </is>
      </c>
      <c r="D295" t="inlineStr">
        <is>
          <t>Wholesale/B2B</t>
        </is>
      </c>
      <c r="E295" t="inlineStr">
        <is>
          <t>B2B</t>
        </is>
      </c>
      <c r="F295" t="inlineStr">
        <is>
          <t>Transactional (B2B)</t>
        </is>
      </c>
      <c r="G295" t="inlineStr">
        <is>
          <t>BOFU</t>
        </is>
      </c>
      <c r="H295" t="inlineStr">
        <is>
          <t>Dubai</t>
        </is>
      </c>
      <c r="I295" t="inlineStr">
        <is>
          <t>Wholesale landing page</t>
        </is>
      </c>
      <c r="J295" t="inlineStr">
        <is>
          <t>Landing</t>
        </is>
      </c>
      <c r="K295">
        <f>IFERROR(VLOOKUP($A295,'Semrush Import'!$A:$D,2,FALSE),"")</f>
        <v/>
      </c>
      <c r="L295">
        <f>IFERROR(VLOOKUP($A295,'Semrush Import'!$A:$D,3,FALSE),"")</f>
        <v/>
      </c>
      <c r="M295">
        <f>IFERROR(VLOOKUP($A295,'Semrush Import'!$A:$D,4,FALSE),"")</f>
        <v/>
      </c>
      <c r="N295">
        <f>IFERROR(VLOOKUP($A295,'KP Import'!$A:$B,2,FALSE),"")</f>
        <v/>
      </c>
      <c r="O295">
        <f>IF(K295="","",ROUND(K295/(L295+10),1))</f>
        <v/>
      </c>
      <c r="P295">
        <f>IF(O295="","",IF(O295&gt;=20,"A - Go first",IF(O295&gt;=5,"B - Next","C - Later")))</f>
        <v/>
      </c>
      <c r="Q295" t="inlineStr">
        <is>
          <t>To research</t>
        </is>
      </c>
      <c r="R295" t="inlineStr"/>
    </row>
    <row r="296">
      <c r="A296" t="inlineStr">
        <is>
          <t>bulk rice dubai</t>
        </is>
      </c>
      <c r="B296" t="inlineStr">
        <is>
          <t>Phase 1 - B2B now</t>
        </is>
      </c>
      <c r="C296" t="inlineStr">
        <is>
          <t>Wholesalers / bulk buyers</t>
        </is>
      </c>
      <c r="D296" t="inlineStr">
        <is>
          <t>Wholesale/B2B</t>
        </is>
      </c>
      <c r="E296" t="inlineStr">
        <is>
          <t>B2B</t>
        </is>
      </c>
      <c r="F296" t="inlineStr">
        <is>
          <t>Transactional (B2B)</t>
        </is>
      </c>
      <c r="G296" t="inlineStr">
        <is>
          <t>BOFU</t>
        </is>
      </c>
      <c r="H296" t="inlineStr">
        <is>
          <t>Dubai</t>
        </is>
      </c>
      <c r="I296" t="inlineStr">
        <is>
          <t>Wholesale landing page</t>
        </is>
      </c>
      <c r="J296" t="inlineStr">
        <is>
          <t>Landing</t>
        </is>
      </c>
      <c r="K296">
        <f>IFERROR(VLOOKUP($A296,'Semrush Import'!$A:$D,2,FALSE),"")</f>
        <v/>
      </c>
      <c r="L296">
        <f>IFERROR(VLOOKUP($A296,'Semrush Import'!$A:$D,3,FALSE),"")</f>
        <v/>
      </c>
      <c r="M296">
        <f>IFERROR(VLOOKUP($A296,'Semrush Import'!$A:$D,4,FALSE),"")</f>
        <v/>
      </c>
      <c r="N296">
        <f>IFERROR(VLOOKUP($A296,'KP Import'!$A:$B,2,FALSE),"")</f>
        <v/>
      </c>
      <c r="O296">
        <f>IF(K296="","",ROUND(K296/(L296+10),1))</f>
        <v/>
      </c>
      <c r="P296">
        <f>IF(O296="","",IF(O296&gt;=20,"A - Go first",IF(O296&gt;=5,"B - Next","C - Later")))</f>
        <v/>
      </c>
      <c r="Q296" t="inlineStr">
        <is>
          <t>To research</t>
        </is>
      </c>
      <c r="R296" t="inlineStr"/>
    </row>
    <row r="297">
      <c r="A297" t="inlineStr">
        <is>
          <t>rice wholesale uae</t>
        </is>
      </c>
      <c r="B297" t="inlineStr">
        <is>
          <t>Phase 1 - B2B now</t>
        </is>
      </c>
      <c r="C297" t="inlineStr">
        <is>
          <t>Wholesalers / bulk buyers</t>
        </is>
      </c>
      <c r="D297" t="inlineStr">
        <is>
          <t>Wholesale/B2B</t>
        </is>
      </c>
      <c r="E297" t="inlineStr">
        <is>
          <t>B2B</t>
        </is>
      </c>
      <c r="F297" t="inlineStr">
        <is>
          <t>Transactional (B2B)</t>
        </is>
      </c>
      <c r="G297" t="inlineStr">
        <is>
          <t>BOFU</t>
        </is>
      </c>
      <c r="H297" t="inlineStr">
        <is>
          <t>UAE</t>
        </is>
      </c>
      <c r="I297" t="inlineStr">
        <is>
          <t>Wholesale landing page</t>
        </is>
      </c>
      <c r="J297" t="inlineStr">
        <is>
          <t>Landing</t>
        </is>
      </c>
      <c r="K297">
        <f>IFERROR(VLOOKUP($A297,'Semrush Import'!$A:$D,2,FALSE),"")</f>
        <v/>
      </c>
      <c r="L297">
        <f>IFERROR(VLOOKUP($A297,'Semrush Import'!$A:$D,3,FALSE),"")</f>
        <v/>
      </c>
      <c r="M297">
        <f>IFERROR(VLOOKUP($A297,'Semrush Import'!$A:$D,4,FALSE),"")</f>
        <v/>
      </c>
      <c r="N297">
        <f>IFERROR(VLOOKUP($A297,'KP Import'!$A:$B,2,FALSE),"")</f>
        <v/>
      </c>
      <c r="O297">
        <f>IF(K297="","",ROUND(K297/(L297+10),1))</f>
        <v/>
      </c>
      <c r="P297">
        <f>IF(O297="","",IF(O297&gt;=20,"A - Go first",IF(O297&gt;=5,"B - Next","C - Later")))</f>
        <v/>
      </c>
      <c r="Q297" t="inlineStr">
        <is>
          <t>To research</t>
        </is>
      </c>
      <c r="R297" t="inlineStr"/>
    </row>
    <row r="298">
      <c r="A298" t="inlineStr">
        <is>
          <t>rice supplier dubai</t>
        </is>
      </c>
      <c r="B298" t="inlineStr">
        <is>
          <t>Phase 1 - B2B now</t>
        </is>
      </c>
      <c r="C298" t="inlineStr">
        <is>
          <t>Wholesalers / bulk buyers</t>
        </is>
      </c>
      <c r="D298" t="inlineStr">
        <is>
          <t>Wholesale/B2B</t>
        </is>
      </c>
      <c r="E298" t="inlineStr">
        <is>
          <t>B2B</t>
        </is>
      </c>
      <c r="F298" t="inlineStr">
        <is>
          <t>Transactional (B2B)</t>
        </is>
      </c>
      <c r="G298" t="inlineStr">
        <is>
          <t>BOFU</t>
        </is>
      </c>
      <c r="H298" t="inlineStr">
        <is>
          <t>Dubai</t>
        </is>
      </c>
      <c r="I298" t="inlineStr">
        <is>
          <t>Wholesale landing page</t>
        </is>
      </c>
      <c r="J298" t="inlineStr">
        <is>
          <t>Landing</t>
        </is>
      </c>
      <c r="K298">
        <f>IFERROR(VLOOKUP($A298,'Semrush Import'!$A:$D,2,FALSE),"")</f>
        <v/>
      </c>
      <c r="L298">
        <f>IFERROR(VLOOKUP($A298,'Semrush Import'!$A:$D,3,FALSE),"")</f>
        <v/>
      </c>
      <c r="M298">
        <f>IFERROR(VLOOKUP($A298,'Semrush Import'!$A:$D,4,FALSE),"")</f>
        <v/>
      </c>
      <c r="N298">
        <f>IFERROR(VLOOKUP($A298,'KP Import'!$A:$B,2,FALSE),"")</f>
        <v/>
      </c>
      <c r="O298">
        <f>IF(K298="","",ROUND(K298/(L298+10),1))</f>
        <v/>
      </c>
      <c r="P298">
        <f>IF(O298="","",IF(O298&gt;=20,"A - Go first",IF(O298&gt;=5,"B - Next","C - Later")))</f>
        <v/>
      </c>
      <c r="Q298" t="inlineStr">
        <is>
          <t>To research</t>
        </is>
      </c>
      <c r="R298" t="inlineStr"/>
    </row>
    <row r="299">
      <c r="A299" t="inlineStr">
        <is>
          <t>rice supplier uae</t>
        </is>
      </c>
      <c r="B299" t="inlineStr">
        <is>
          <t>Phase 1 - B2B now</t>
        </is>
      </c>
      <c r="C299" t="inlineStr">
        <is>
          <t>Wholesalers / bulk buyers</t>
        </is>
      </c>
      <c r="D299" t="inlineStr">
        <is>
          <t>Wholesale/B2B</t>
        </is>
      </c>
      <c r="E299" t="inlineStr">
        <is>
          <t>B2B</t>
        </is>
      </c>
      <c r="F299" t="inlineStr">
        <is>
          <t>Transactional (B2B)</t>
        </is>
      </c>
      <c r="G299" t="inlineStr">
        <is>
          <t>BOFU</t>
        </is>
      </c>
      <c r="H299" t="inlineStr">
        <is>
          <t>UAE</t>
        </is>
      </c>
      <c r="I299" t="inlineStr">
        <is>
          <t>Wholesale landing page</t>
        </is>
      </c>
      <c r="J299" t="inlineStr">
        <is>
          <t>Landing</t>
        </is>
      </c>
      <c r="K299">
        <f>IFERROR(VLOOKUP($A299,'Semrush Import'!$A:$D,2,FALSE),"")</f>
        <v/>
      </c>
      <c r="L299">
        <f>IFERROR(VLOOKUP($A299,'Semrush Import'!$A:$D,3,FALSE),"")</f>
        <v/>
      </c>
      <c r="M299">
        <f>IFERROR(VLOOKUP($A299,'Semrush Import'!$A:$D,4,FALSE),"")</f>
        <v/>
      </c>
      <c r="N299">
        <f>IFERROR(VLOOKUP($A299,'KP Import'!$A:$B,2,FALSE),"")</f>
        <v/>
      </c>
      <c r="O299">
        <f>IF(K299="","",ROUND(K299/(L299+10),1))</f>
        <v/>
      </c>
      <c r="P299">
        <f>IF(O299="","",IF(O299&gt;=20,"A - Go first",IF(O299&gt;=5,"B - Next","C - Later")))</f>
        <v/>
      </c>
      <c r="Q299" t="inlineStr">
        <is>
          <t>To research</t>
        </is>
      </c>
      <c r="R299" t="inlineStr"/>
    </row>
    <row r="300">
      <c r="A300" t="inlineStr">
        <is>
          <t>rice distributor dubai</t>
        </is>
      </c>
      <c r="B300" t="inlineStr">
        <is>
          <t>Phase 1 - B2B now</t>
        </is>
      </c>
      <c r="C300" t="inlineStr">
        <is>
          <t>Wholesalers / bulk buyers</t>
        </is>
      </c>
      <c r="D300" t="inlineStr">
        <is>
          <t>Wholesale/B2B</t>
        </is>
      </c>
      <c r="E300" t="inlineStr">
        <is>
          <t>B2B</t>
        </is>
      </c>
      <c r="F300" t="inlineStr">
        <is>
          <t>Transactional (B2B)</t>
        </is>
      </c>
      <c r="G300" t="inlineStr">
        <is>
          <t>BOFU</t>
        </is>
      </c>
      <c r="H300" t="inlineStr">
        <is>
          <t>Dubai</t>
        </is>
      </c>
      <c r="I300" t="inlineStr">
        <is>
          <t>Wholesale landing page</t>
        </is>
      </c>
      <c r="J300" t="inlineStr">
        <is>
          <t>Landing</t>
        </is>
      </c>
      <c r="K300">
        <f>IFERROR(VLOOKUP($A300,'Semrush Import'!$A:$D,2,FALSE),"")</f>
        <v/>
      </c>
      <c r="L300">
        <f>IFERROR(VLOOKUP($A300,'Semrush Import'!$A:$D,3,FALSE),"")</f>
        <v/>
      </c>
      <c r="M300">
        <f>IFERROR(VLOOKUP($A300,'Semrush Import'!$A:$D,4,FALSE),"")</f>
        <v/>
      </c>
      <c r="N300">
        <f>IFERROR(VLOOKUP($A300,'KP Import'!$A:$B,2,FALSE),"")</f>
        <v/>
      </c>
      <c r="O300">
        <f>IF(K300="","",ROUND(K300/(L300+10),1))</f>
        <v/>
      </c>
      <c r="P300">
        <f>IF(O300="","",IF(O300&gt;=20,"A - Go first",IF(O300&gt;=5,"B - Next","C - Later")))</f>
        <v/>
      </c>
      <c r="Q300" t="inlineStr">
        <is>
          <t>To research</t>
        </is>
      </c>
      <c r="R300" t="inlineStr"/>
    </row>
    <row r="301">
      <c r="A301" t="inlineStr">
        <is>
          <t>rice importer uae</t>
        </is>
      </c>
      <c r="B301" t="inlineStr">
        <is>
          <t>Phase 1 - B2B now</t>
        </is>
      </c>
      <c r="C301" t="inlineStr">
        <is>
          <t>Wholesalers / bulk buyers</t>
        </is>
      </c>
      <c r="D301" t="inlineStr">
        <is>
          <t>Wholesale/B2B</t>
        </is>
      </c>
      <c r="E301" t="inlineStr">
        <is>
          <t>B2B</t>
        </is>
      </c>
      <c r="F301" t="inlineStr">
        <is>
          <t>Transactional (B2B)</t>
        </is>
      </c>
      <c r="G301" t="inlineStr">
        <is>
          <t>BOFU</t>
        </is>
      </c>
      <c r="H301" t="inlineStr">
        <is>
          <t>UAE</t>
        </is>
      </c>
      <c r="I301" t="inlineStr">
        <is>
          <t>Wholesale landing page</t>
        </is>
      </c>
      <c r="J301" t="inlineStr">
        <is>
          <t>Landing</t>
        </is>
      </c>
      <c r="K301">
        <f>IFERROR(VLOOKUP($A301,'Semrush Import'!$A:$D,2,FALSE),"")</f>
        <v/>
      </c>
      <c r="L301">
        <f>IFERROR(VLOOKUP($A301,'Semrush Import'!$A:$D,3,FALSE),"")</f>
        <v/>
      </c>
      <c r="M301">
        <f>IFERROR(VLOOKUP($A301,'Semrush Import'!$A:$D,4,FALSE),"")</f>
        <v/>
      </c>
      <c r="N301">
        <f>IFERROR(VLOOKUP($A301,'KP Import'!$A:$B,2,FALSE),"")</f>
        <v/>
      </c>
      <c r="O301">
        <f>IF(K301="","",ROUND(K301/(L301+10),1))</f>
        <v/>
      </c>
      <c r="P301">
        <f>IF(O301="","",IF(O301&gt;=20,"A - Go first",IF(O301&gt;=5,"B - Next","C - Later")))</f>
        <v/>
      </c>
      <c r="Q301" t="inlineStr">
        <is>
          <t>To research</t>
        </is>
      </c>
      <c r="R301" t="inlineStr"/>
    </row>
    <row r="302">
      <c r="A302" t="inlineStr">
        <is>
          <t>rice trading company dubai</t>
        </is>
      </c>
      <c r="B302" t="inlineStr">
        <is>
          <t>Phase 1 - B2B now</t>
        </is>
      </c>
      <c r="C302" t="inlineStr">
        <is>
          <t>Wholesalers / bulk buyers</t>
        </is>
      </c>
      <c r="D302" t="inlineStr">
        <is>
          <t>Wholesale/B2B</t>
        </is>
      </c>
      <c r="E302" t="inlineStr">
        <is>
          <t>B2B</t>
        </is>
      </c>
      <c r="F302" t="inlineStr">
        <is>
          <t>Transactional (B2B)</t>
        </is>
      </c>
      <c r="G302" t="inlineStr">
        <is>
          <t>BOFU</t>
        </is>
      </c>
      <c r="H302" t="inlineStr">
        <is>
          <t>Dubai</t>
        </is>
      </c>
      <c r="I302" t="inlineStr">
        <is>
          <t>Wholesale landing page</t>
        </is>
      </c>
      <c r="J302" t="inlineStr">
        <is>
          <t>Landing</t>
        </is>
      </c>
      <c r="K302">
        <f>IFERROR(VLOOKUP($A302,'Semrush Import'!$A:$D,2,FALSE),"")</f>
        <v/>
      </c>
      <c r="L302">
        <f>IFERROR(VLOOKUP($A302,'Semrush Import'!$A:$D,3,FALSE),"")</f>
        <v/>
      </c>
      <c r="M302">
        <f>IFERROR(VLOOKUP($A302,'Semrush Import'!$A:$D,4,FALSE),"")</f>
        <v/>
      </c>
      <c r="N302">
        <f>IFERROR(VLOOKUP($A302,'KP Import'!$A:$B,2,FALSE),"")</f>
        <v/>
      </c>
      <c r="O302">
        <f>IF(K302="","",ROUND(K302/(L302+10),1))</f>
        <v/>
      </c>
      <c r="P302">
        <f>IF(O302="","",IF(O302&gt;=20,"A - Go first",IF(O302&gt;=5,"B - Next","C - Later")))</f>
        <v/>
      </c>
      <c r="Q302" t="inlineStr">
        <is>
          <t>To research</t>
        </is>
      </c>
      <c r="R302" t="inlineStr"/>
    </row>
    <row r="303">
      <c r="A303" t="inlineStr">
        <is>
          <t>rice trading llc dubai</t>
        </is>
      </c>
      <c r="B303" t="inlineStr">
        <is>
          <t>Phase 1 - B2B now</t>
        </is>
      </c>
      <c r="C303" t="inlineStr">
        <is>
          <t>Wholesalers / bulk buyers</t>
        </is>
      </c>
      <c r="D303" t="inlineStr">
        <is>
          <t>Wholesale/B2B</t>
        </is>
      </c>
      <c r="E303" t="inlineStr">
        <is>
          <t>B2B</t>
        </is>
      </c>
      <c r="F303" t="inlineStr">
        <is>
          <t>Transactional (B2B)</t>
        </is>
      </c>
      <c r="G303" t="inlineStr">
        <is>
          <t>BOFU</t>
        </is>
      </c>
      <c r="H303" t="inlineStr">
        <is>
          <t>Dubai</t>
        </is>
      </c>
      <c r="I303" t="inlineStr">
        <is>
          <t>Wholesale landing page</t>
        </is>
      </c>
      <c r="J303" t="inlineStr">
        <is>
          <t>Landing</t>
        </is>
      </c>
      <c r="K303">
        <f>IFERROR(VLOOKUP($A303,'Semrush Import'!$A:$D,2,FALSE),"")</f>
        <v/>
      </c>
      <c r="L303">
        <f>IFERROR(VLOOKUP($A303,'Semrush Import'!$A:$D,3,FALSE),"")</f>
        <v/>
      </c>
      <c r="M303">
        <f>IFERROR(VLOOKUP($A303,'Semrush Import'!$A:$D,4,FALSE),"")</f>
        <v/>
      </c>
      <c r="N303">
        <f>IFERROR(VLOOKUP($A303,'KP Import'!$A:$B,2,FALSE),"")</f>
        <v/>
      </c>
      <c r="O303">
        <f>IF(K303="","",ROUND(K303/(L303+10),1))</f>
        <v/>
      </c>
      <c r="P303">
        <f>IF(O303="","",IF(O303&gt;=20,"A - Go first",IF(O303&gt;=5,"B - Next","C - Later")))</f>
        <v/>
      </c>
      <c r="Q303" t="inlineStr">
        <is>
          <t>To research</t>
        </is>
      </c>
      <c r="R303" t="inlineStr"/>
    </row>
    <row r="304">
      <c r="A304" t="inlineStr">
        <is>
          <t>rice wholesale market dubai</t>
        </is>
      </c>
      <c r="B304" t="inlineStr">
        <is>
          <t>Phase 1 - B2B now</t>
        </is>
      </c>
      <c r="C304" t="inlineStr">
        <is>
          <t>Wholesalers / bulk buyers</t>
        </is>
      </c>
      <c r="D304" t="inlineStr">
        <is>
          <t>Wholesale/B2B</t>
        </is>
      </c>
      <c r="E304" t="inlineStr">
        <is>
          <t>B2B</t>
        </is>
      </c>
      <c r="F304" t="inlineStr">
        <is>
          <t>Transactional (B2B)</t>
        </is>
      </c>
      <c r="G304" t="inlineStr">
        <is>
          <t>BOFU</t>
        </is>
      </c>
      <c r="H304" t="inlineStr">
        <is>
          <t>Dubai</t>
        </is>
      </c>
      <c r="I304" t="inlineStr">
        <is>
          <t>Wholesale landing page</t>
        </is>
      </c>
      <c r="J304" t="inlineStr">
        <is>
          <t>Landing</t>
        </is>
      </c>
      <c r="K304">
        <f>IFERROR(VLOOKUP($A304,'Semrush Import'!$A:$D,2,FALSE),"")</f>
        <v/>
      </c>
      <c r="L304">
        <f>IFERROR(VLOOKUP($A304,'Semrush Import'!$A:$D,3,FALSE),"")</f>
        <v/>
      </c>
      <c r="M304">
        <f>IFERROR(VLOOKUP($A304,'Semrush Import'!$A:$D,4,FALSE),"")</f>
        <v/>
      </c>
      <c r="N304">
        <f>IFERROR(VLOOKUP($A304,'KP Import'!$A:$B,2,FALSE),"")</f>
        <v/>
      </c>
      <c r="O304">
        <f>IF(K304="","",ROUND(K304/(L304+10),1))</f>
        <v/>
      </c>
      <c r="P304">
        <f>IF(O304="","",IF(O304&gt;=20,"A - Go first",IF(O304&gt;=5,"B - Next","C - Later")))</f>
        <v/>
      </c>
      <c r="Q304" t="inlineStr">
        <is>
          <t>To research</t>
        </is>
      </c>
      <c r="R304" t="inlineStr"/>
    </row>
    <row r="305">
      <c r="A305" t="inlineStr">
        <is>
          <t>rice wholesaler near me</t>
        </is>
      </c>
      <c r="B305" t="inlineStr">
        <is>
          <t>Phase 1 - B2B now</t>
        </is>
      </c>
      <c r="C305" t="inlineStr">
        <is>
          <t>Wholesalers / bulk buyers</t>
        </is>
      </c>
      <c r="D305" t="inlineStr">
        <is>
          <t>Wholesale/B2B</t>
        </is>
      </c>
      <c r="E305" t="inlineStr">
        <is>
          <t>B2B</t>
        </is>
      </c>
      <c r="F305" t="inlineStr">
        <is>
          <t>Transactional (B2B)</t>
        </is>
      </c>
      <c r="G305" t="inlineStr">
        <is>
          <t>BOFU</t>
        </is>
      </c>
      <c r="H305" t="inlineStr">
        <is>
          <t>UAE</t>
        </is>
      </c>
      <c r="I305" t="inlineStr">
        <is>
          <t>Wholesale landing page</t>
        </is>
      </c>
      <c r="J305" t="inlineStr">
        <is>
          <t>Landing</t>
        </is>
      </c>
      <c r="K305">
        <f>IFERROR(VLOOKUP($A305,'Semrush Import'!$A:$D,2,FALSE),"")</f>
        <v/>
      </c>
      <c r="L305">
        <f>IFERROR(VLOOKUP($A305,'Semrush Import'!$A:$D,3,FALSE),"")</f>
        <v/>
      </c>
      <c r="M305">
        <f>IFERROR(VLOOKUP($A305,'Semrush Import'!$A:$D,4,FALSE),"")</f>
        <v/>
      </c>
      <c r="N305">
        <f>IFERROR(VLOOKUP($A305,'KP Import'!$A:$B,2,FALSE),"")</f>
        <v/>
      </c>
      <c r="O305">
        <f>IF(K305="","",ROUND(K305/(L305+10),1))</f>
        <v/>
      </c>
      <c r="P305">
        <f>IF(O305="","",IF(O305&gt;=20,"A - Go first",IF(O305&gt;=5,"B - Next","C - Later")))</f>
        <v/>
      </c>
      <c r="Q305" t="inlineStr">
        <is>
          <t>To research</t>
        </is>
      </c>
      <c r="R305" t="inlineStr"/>
    </row>
    <row r="306">
      <c r="A306" t="inlineStr">
        <is>
          <t>bulk rice for restaurants dubai</t>
        </is>
      </c>
      <c r="B306" t="inlineStr">
        <is>
          <t>Phase 1 - B2B now</t>
        </is>
      </c>
      <c r="C306" t="inlineStr">
        <is>
          <t>Wholesalers / bulk buyers</t>
        </is>
      </c>
      <c r="D306" t="inlineStr">
        <is>
          <t>Wholesale/B2B</t>
        </is>
      </c>
      <c r="E306" t="inlineStr">
        <is>
          <t>B2B</t>
        </is>
      </c>
      <c r="F306" t="inlineStr">
        <is>
          <t>Transactional (B2B)</t>
        </is>
      </c>
      <c r="G306" t="inlineStr">
        <is>
          <t>BOFU</t>
        </is>
      </c>
      <c r="H306" t="inlineStr">
        <is>
          <t>Dubai</t>
        </is>
      </c>
      <c r="I306" t="inlineStr">
        <is>
          <t>Wholesale landing page</t>
        </is>
      </c>
      <c r="J306" t="inlineStr">
        <is>
          <t>Landing</t>
        </is>
      </c>
      <c r="K306">
        <f>IFERROR(VLOOKUP($A306,'Semrush Import'!$A:$D,2,FALSE),"")</f>
        <v/>
      </c>
      <c r="L306">
        <f>IFERROR(VLOOKUP($A306,'Semrush Import'!$A:$D,3,FALSE),"")</f>
        <v/>
      </c>
      <c r="M306">
        <f>IFERROR(VLOOKUP($A306,'Semrush Import'!$A:$D,4,FALSE),"")</f>
        <v/>
      </c>
      <c r="N306">
        <f>IFERROR(VLOOKUP($A306,'KP Import'!$A:$B,2,FALSE),"")</f>
        <v/>
      </c>
      <c r="O306">
        <f>IF(K306="","",ROUND(K306/(L306+10),1))</f>
        <v/>
      </c>
      <c r="P306">
        <f>IF(O306="","",IF(O306&gt;=20,"A - Go first",IF(O306&gt;=5,"B - Next","C - Later")))</f>
        <v/>
      </c>
      <c r="Q306" t="inlineStr">
        <is>
          <t>To research</t>
        </is>
      </c>
      <c r="R306" t="inlineStr"/>
    </row>
    <row r="307">
      <c r="A307" t="inlineStr">
        <is>
          <t>rice for catering dubai</t>
        </is>
      </c>
      <c r="B307" t="inlineStr">
        <is>
          <t>Phase 1 - B2B now</t>
        </is>
      </c>
      <c r="C307" t="inlineStr">
        <is>
          <t>Wholesalers / bulk buyers</t>
        </is>
      </c>
      <c r="D307" t="inlineStr">
        <is>
          <t>Wholesale/B2B</t>
        </is>
      </c>
      <c r="E307" t="inlineStr">
        <is>
          <t>B2B</t>
        </is>
      </c>
      <c r="F307" t="inlineStr">
        <is>
          <t>Transactional (B2B)</t>
        </is>
      </c>
      <c r="G307" t="inlineStr">
        <is>
          <t>BOFU</t>
        </is>
      </c>
      <c r="H307" t="inlineStr">
        <is>
          <t>Dubai</t>
        </is>
      </c>
      <c r="I307" t="inlineStr">
        <is>
          <t>Wholesale landing page</t>
        </is>
      </c>
      <c r="J307" t="inlineStr">
        <is>
          <t>Landing</t>
        </is>
      </c>
      <c r="K307">
        <f>IFERROR(VLOOKUP($A307,'Semrush Import'!$A:$D,2,FALSE),"")</f>
        <v/>
      </c>
      <c r="L307">
        <f>IFERROR(VLOOKUP($A307,'Semrush Import'!$A:$D,3,FALSE),"")</f>
        <v/>
      </c>
      <c r="M307">
        <f>IFERROR(VLOOKUP($A307,'Semrush Import'!$A:$D,4,FALSE),"")</f>
        <v/>
      </c>
      <c r="N307">
        <f>IFERROR(VLOOKUP($A307,'KP Import'!$A:$B,2,FALSE),"")</f>
        <v/>
      </c>
      <c r="O307">
        <f>IF(K307="","",ROUND(K307/(L307+10),1))</f>
        <v/>
      </c>
      <c r="P307">
        <f>IF(O307="","",IF(O307&gt;=20,"A - Go first",IF(O307&gt;=5,"B - Next","C - Later")))</f>
        <v/>
      </c>
      <c r="Q307" t="inlineStr">
        <is>
          <t>To research</t>
        </is>
      </c>
      <c r="R307" t="inlineStr"/>
    </row>
    <row r="308">
      <c r="A308" t="inlineStr">
        <is>
          <t>rice supplier for hotels uae</t>
        </is>
      </c>
      <c r="B308" t="inlineStr">
        <is>
          <t>Phase 1 - B2B now</t>
        </is>
      </c>
      <c r="C308" t="inlineStr">
        <is>
          <t>Wholesalers / bulk buyers</t>
        </is>
      </c>
      <c r="D308" t="inlineStr">
        <is>
          <t>Wholesale/B2B</t>
        </is>
      </c>
      <c r="E308" t="inlineStr">
        <is>
          <t>B2B</t>
        </is>
      </c>
      <c r="F308" t="inlineStr">
        <is>
          <t>Transactional (B2B)</t>
        </is>
      </c>
      <c r="G308" t="inlineStr">
        <is>
          <t>BOFU</t>
        </is>
      </c>
      <c r="H308" t="inlineStr">
        <is>
          <t>UAE</t>
        </is>
      </c>
      <c r="I308" t="inlineStr">
        <is>
          <t>Wholesale landing page</t>
        </is>
      </c>
      <c r="J308" t="inlineStr">
        <is>
          <t>Landing</t>
        </is>
      </c>
      <c r="K308">
        <f>IFERROR(VLOOKUP($A308,'Semrush Import'!$A:$D,2,FALSE),"")</f>
        <v/>
      </c>
      <c r="L308">
        <f>IFERROR(VLOOKUP($A308,'Semrush Import'!$A:$D,3,FALSE),"")</f>
        <v/>
      </c>
      <c r="M308">
        <f>IFERROR(VLOOKUP($A308,'Semrush Import'!$A:$D,4,FALSE),"")</f>
        <v/>
      </c>
      <c r="N308">
        <f>IFERROR(VLOOKUP($A308,'KP Import'!$A:$B,2,FALSE),"")</f>
        <v/>
      </c>
      <c r="O308">
        <f>IF(K308="","",ROUND(K308/(L308+10),1))</f>
        <v/>
      </c>
      <c r="P308">
        <f>IF(O308="","",IF(O308&gt;=20,"A - Go first",IF(O308&gt;=5,"B - Next","C - Later")))</f>
        <v/>
      </c>
      <c r="Q308" t="inlineStr">
        <is>
          <t>To research</t>
        </is>
      </c>
      <c r="R308" t="inlineStr"/>
    </row>
    <row r="309">
      <c r="A309" t="inlineStr">
        <is>
          <t>rice for restaurants uae</t>
        </is>
      </c>
      <c r="B309" t="inlineStr">
        <is>
          <t>Phase 1 - B2B now</t>
        </is>
      </c>
      <c r="C309" t="inlineStr">
        <is>
          <t>Wholesalers / bulk buyers</t>
        </is>
      </c>
      <c r="D309" t="inlineStr">
        <is>
          <t>Wholesale/B2B</t>
        </is>
      </c>
      <c r="E309" t="inlineStr">
        <is>
          <t>B2B</t>
        </is>
      </c>
      <c r="F309" t="inlineStr">
        <is>
          <t>Transactional (B2B)</t>
        </is>
      </c>
      <c r="G309" t="inlineStr">
        <is>
          <t>BOFU</t>
        </is>
      </c>
      <c r="H309" t="inlineStr">
        <is>
          <t>UAE</t>
        </is>
      </c>
      <c r="I309" t="inlineStr">
        <is>
          <t>Wholesale landing page</t>
        </is>
      </c>
      <c r="J309" t="inlineStr">
        <is>
          <t>Landing</t>
        </is>
      </c>
      <c r="K309">
        <f>IFERROR(VLOOKUP($A309,'Semrush Import'!$A:$D,2,FALSE),"")</f>
        <v/>
      </c>
      <c r="L309">
        <f>IFERROR(VLOOKUP($A309,'Semrush Import'!$A:$D,3,FALSE),"")</f>
        <v/>
      </c>
      <c r="M309">
        <f>IFERROR(VLOOKUP($A309,'Semrush Import'!$A:$D,4,FALSE),"")</f>
        <v/>
      </c>
      <c r="N309">
        <f>IFERROR(VLOOKUP($A309,'KP Import'!$A:$B,2,FALSE),"")</f>
        <v/>
      </c>
      <c r="O309">
        <f>IF(K309="","",ROUND(K309/(L309+10),1))</f>
        <v/>
      </c>
      <c r="P309">
        <f>IF(O309="","",IF(O309&gt;=20,"A - Go first",IF(O309&gt;=5,"B - Next","C - Later")))</f>
        <v/>
      </c>
      <c r="Q309" t="inlineStr">
        <is>
          <t>To research</t>
        </is>
      </c>
      <c r="R309" t="inlineStr"/>
    </row>
    <row r="310">
      <c r="A310" t="inlineStr">
        <is>
          <t>rice for canteens dubai</t>
        </is>
      </c>
      <c r="B310" t="inlineStr">
        <is>
          <t>Phase 1 - B2B now</t>
        </is>
      </c>
      <c r="C310" t="inlineStr">
        <is>
          <t>Wholesalers / bulk buyers</t>
        </is>
      </c>
      <c r="D310" t="inlineStr">
        <is>
          <t>Wholesale/B2B</t>
        </is>
      </c>
      <c r="E310" t="inlineStr">
        <is>
          <t>B2B</t>
        </is>
      </c>
      <c r="F310" t="inlineStr">
        <is>
          <t>Transactional (B2B)</t>
        </is>
      </c>
      <c r="G310" t="inlineStr">
        <is>
          <t>BOFU</t>
        </is>
      </c>
      <c r="H310" t="inlineStr">
        <is>
          <t>Dubai</t>
        </is>
      </c>
      <c r="I310" t="inlineStr">
        <is>
          <t>Wholesale landing page</t>
        </is>
      </c>
      <c r="J310" t="inlineStr">
        <is>
          <t>Landing</t>
        </is>
      </c>
      <c r="K310">
        <f>IFERROR(VLOOKUP($A310,'Semrush Import'!$A:$D,2,FALSE),"")</f>
        <v/>
      </c>
      <c r="L310">
        <f>IFERROR(VLOOKUP($A310,'Semrush Import'!$A:$D,3,FALSE),"")</f>
        <v/>
      </c>
      <c r="M310">
        <f>IFERROR(VLOOKUP($A310,'Semrush Import'!$A:$D,4,FALSE),"")</f>
        <v/>
      </c>
      <c r="N310">
        <f>IFERROR(VLOOKUP($A310,'KP Import'!$A:$B,2,FALSE),"")</f>
        <v/>
      </c>
      <c r="O310">
        <f>IF(K310="","",ROUND(K310/(L310+10),1))</f>
        <v/>
      </c>
      <c r="P310">
        <f>IF(O310="","",IF(O310&gt;=20,"A - Go first",IF(O310&gt;=5,"B - Next","C - Later")))</f>
        <v/>
      </c>
      <c r="Q310" t="inlineStr">
        <is>
          <t>To research</t>
        </is>
      </c>
      <c r="R310" t="inlineStr"/>
    </row>
    <row r="311">
      <c r="A311" t="inlineStr">
        <is>
          <t>wholesale rice price dubai</t>
        </is>
      </c>
      <c r="B311" t="inlineStr">
        <is>
          <t>Phase 1 - B2B now</t>
        </is>
      </c>
      <c r="C311" t="inlineStr">
        <is>
          <t>Wholesalers / bulk buyers</t>
        </is>
      </c>
      <c r="D311" t="inlineStr">
        <is>
          <t>Wholesale/B2B</t>
        </is>
      </c>
      <c r="E311" t="inlineStr">
        <is>
          <t>B2B</t>
        </is>
      </c>
      <c r="F311" t="inlineStr">
        <is>
          <t>Transactional (B2B)</t>
        </is>
      </c>
      <c r="G311" t="inlineStr">
        <is>
          <t>BOFU</t>
        </is>
      </c>
      <c r="H311" t="inlineStr">
        <is>
          <t>Dubai</t>
        </is>
      </c>
      <c r="I311" t="inlineStr">
        <is>
          <t>Wholesale landing page</t>
        </is>
      </c>
      <c r="J311" t="inlineStr">
        <is>
          <t>Landing</t>
        </is>
      </c>
      <c r="K311">
        <f>IFERROR(VLOOKUP($A311,'Semrush Import'!$A:$D,2,FALSE),"")</f>
        <v/>
      </c>
      <c r="L311">
        <f>IFERROR(VLOOKUP($A311,'Semrush Import'!$A:$D,3,FALSE),"")</f>
        <v/>
      </c>
      <c r="M311">
        <f>IFERROR(VLOOKUP($A311,'Semrush Import'!$A:$D,4,FALSE),"")</f>
        <v/>
      </c>
      <c r="N311">
        <f>IFERROR(VLOOKUP($A311,'KP Import'!$A:$B,2,FALSE),"")</f>
        <v/>
      </c>
      <c r="O311">
        <f>IF(K311="","",ROUND(K311/(L311+10),1))</f>
        <v/>
      </c>
      <c r="P311">
        <f>IF(O311="","",IF(O311&gt;=20,"A - Go first",IF(O311&gt;=5,"B - Next","C - Later")))</f>
        <v/>
      </c>
      <c r="Q311" t="inlineStr">
        <is>
          <t>To research</t>
        </is>
      </c>
      <c r="R311" t="inlineStr"/>
    </row>
    <row r="312">
      <c r="A312" t="inlineStr">
        <is>
          <t>bulk basmati rice uae</t>
        </is>
      </c>
      <c r="B312" t="inlineStr">
        <is>
          <t>Phase 1 - B2B now</t>
        </is>
      </c>
      <c r="C312" t="inlineStr">
        <is>
          <t>Wholesalers / bulk buyers</t>
        </is>
      </c>
      <c r="D312" t="inlineStr">
        <is>
          <t>Wholesale/B2B</t>
        </is>
      </c>
      <c r="E312" t="inlineStr">
        <is>
          <t>B2B</t>
        </is>
      </c>
      <c r="F312" t="inlineStr">
        <is>
          <t>Transactional (B2B)</t>
        </is>
      </c>
      <c r="G312" t="inlineStr">
        <is>
          <t>BOFU</t>
        </is>
      </c>
      <c r="H312" t="inlineStr">
        <is>
          <t>UAE</t>
        </is>
      </c>
      <c r="I312" t="inlineStr">
        <is>
          <t>Wholesale landing page</t>
        </is>
      </c>
      <c r="J312" t="inlineStr">
        <is>
          <t>Landing</t>
        </is>
      </c>
      <c r="K312">
        <f>IFERROR(VLOOKUP($A312,'Semrush Import'!$A:$D,2,FALSE),"")</f>
        <v/>
      </c>
      <c r="L312">
        <f>IFERROR(VLOOKUP($A312,'Semrush Import'!$A:$D,3,FALSE),"")</f>
        <v/>
      </c>
      <c r="M312">
        <f>IFERROR(VLOOKUP($A312,'Semrush Import'!$A:$D,4,FALSE),"")</f>
        <v/>
      </c>
      <c r="N312">
        <f>IFERROR(VLOOKUP($A312,'KP Import'!$A:$B,2,FALSE),"")</f>
        <v/>
      </c>
      <c r="O312">
        <f>IF(K312="","",ROUND(K312/(L312+10),1))</f>
        <v/>
      </c>
      <c r="P312">
        <f>IF(O312="","",IF(O312&gt;=20,"A - Go first",IF(O312&gt;=5,"B - Next","C - Later")))</f>
        <v/>
      </c>
      <c r="Q312" t="inlineStr">
        <is>
          <t>To research</t>
        </is>
      </c>
      <c r="R312" t="inlineStr"/>
    </row>
    <row r="313">
      <c r="A313" t="inlineStr">
        <is>
          <t>rice wholesale sharjah</t>
        </is>
      </c>
      <c r="B313" t="inlineStr">
        <is>
          <t>Phase 1 - B2B now</t>
        </is>
      </c>
      <c r="C313" t="inlineStr">
        <is>
          <t>Wholesalers / bulk buyers</t>
        </is>
      </c>
      <c r="D313" t="inlineStr">
        <is>
          <t>Wholesale/B2B</t>
        </is>
      </c>
      <c r="E313" t="inlineStr">
        <is>
          <t>B2B</t>
        </is>
      </c>
      <c r="F313" t="inlineStr">
        <is>
          <t>Transactional (B2B)</t>
        </is>
      </c>
      <c r="G313" t="inlineStr">
        <is>
          <t>BOFU</t>
        </is>
      </c>
      <c r="H313" t="inlineStr">
        <is>
          <t>Sharjah</t>
        </is>
      </c>
      <c r="I313" t="inlineStr">
        <is>
          <t>Wholesale landing page</t>
        </is>
      </c>
      <c r="J313" t="inlineStr">
        <is>
          <t>Landing</t>
        </is>
      </c>
      <c r="K313">
        <f>IFERROR(VLOOKUP($A313,'Semrush Import'!$A:$D,2,FALSE),"")</f>
        <v/>
      </c>
      <c r="L313">
        <f>IFERROR(VLOOKUP($A313,'Semrush Import'!$A:$D,3,FALSE),"")</f>
        <v/>
      </c>
      <c r="M313">
        <f>IFERROR(VLOOKUP($A313,'Semrush Import'!$A:$D,4,FALSE),"")</f>
        <v/>
      </c>
      <c r="N313">
        <f>IFERROR(VLOOKUP($A313,'KP Import'!$A:$B,2,FALSE),"")</f>
        <v/>
      </c>
      <c r="O313">
        <f>IF(K313="","",ROUND(K313/(L313+10),1))</f>
        <v/>
      </c>
      <c r="P313">
        <f>IF(O313="","",IF(O313&gt;=20,"A - Go first",IF(O313&gt;=5,"B - Next","C - Later")))</f>
        <v/>
      </c>
      <c r="Q313" t="inlineStr">
        <is>
          <t>To research</t>
        </is>
      </c>
      <c r="R313" t="inlineStr"/>
    </row>
    <row r="314">
      <c r="A314" t="inlineStr">
        <is>
          <t>rice supplier abu dhabi</t>
        </is>
      </c>
      <c r="B314" t="inlineStr">
        <is>
          <t>Phase 1 - B2B now</t>
        </is>
      </c>
      <c r="C314" t="inlineStr">
        <is>
          <t>Wholesalers / bulk buyers</t>
        </is>
      </c>
      <c r="D314" t="inlineStr">
        <is>
          <t>Wholesale/B2B</t>
        </is>
      </c>
      <c r="E314" t="inlineStr">
        <is>
          <t>B2B</t>
        </is>
      </c>
      <c r="F314" t="inlineStr">
        <is>
          <t>Transactional (B2B)</t>
        </is>
      </c>
      <c r="G314" t="inlineStr">
        <is>
          <t>BOFU</t>
        </is>
      </c>
      <c r="H314" t="inlineStr">
        <is>
          <t>Abu Dhabi</t>
        </is>
      </c>
      <c r="I314" t="inlineStr">
        <is>
          <t>Wholesale landing page</t>
        </is>
      </c>
      <c r="J314" t="inlineStr">
        <is>
          <t>Landing</t>
        </is>
      </c>
      <c r="K314">
        <f>IFERROR(VLOOKUP($A314,'Semrush Import'!$A:$D,2,FALSE),"")</f>
        <v/>
      </c>
      <c r="L314">
        <f>IFERROR(VLOOKUP($A314,'Semrush Import'!$A:$D,3,FALSE),"")</f>
        <v/>
      </c>
      <c r="M314">
        <f>IFERROR(VLOOKUP($A314,'Semrush Import'!$A:$D,4,FALSE),"")</f>
        <v/>
      </c>
      <c r="N314">
        <f>IFERROR(VLOOKUP($A314,'KP Import'!$A:$B,2,FALSE),"")</f>
        <v/>
      </c>
      <c r="O314">
        <f>IF(K314="","",ROUND(K314/(L314+10),1))</f>
        <v/>
      </c>
      <c r="P314">
        <f>IF(O314="","",IF(O314&gt;=20,"A - Go first",IF(O314&gt;=5,"B - Next","C - Later")))</f>
        <v/>
      </c>
      <c r="Q314" t="inlineStr">
        <is>
          <t>To research</t>
        </is>
      </c>
      <c r="R314" t="inlineStr"/>
    </row>
    <row r="315">
      <c r="A315" t="inlineStr">
        <is>
          <t>rice suppliers in ajman</t>
        </is>
      </c>
      <c r="B315" t="inlineStr">
        <is>
          <t>Phase 1 - B2B now</t>
        </is>
      </c>
      <c r="C315" t="inlineStr">
        <is>
          <t>Wholesalers / bulk buyers</t>
        </is>
      </c>
      <c r="D315" t="inlineStr">
        <is>
          <t>Wholesale/B2B</t>
        </is>
      </c>
      <c r="E315" t="inlineStr">
        <is>
          <t>B2B</t>
        </is>
      </c>
      <c r="F315" t="inlineStr">
        <is>
          <t>Transactional (B2B)</t>
        </is>
      </c>
      <c r="G315" t="inlineStr">
        <is>
          <t>BOFU</t>
        </is>
      </c>
      <c r="H315" t="inlineStr">
        <is>
          <t>Ajman</t>
        </is>
      </c>
      <c r="I315" t="inlineStr">
        <is>
          <t>Wholesale landing page</t>
        </is>
      </c>
      <c r="J315" t="inlineStr">
        <is>
          <t>Landing</t>
        </is>
      </c>
      <c r="K315">
        <f>IFERROR(VLOOKUP($A315,'Semrush Import'!$A:$D,2,FALSE),"")</f>
        <v/>
      </c>
      <c r="L315">
        <f>IFERROR(VLOOKUP($A315,'Semrush Import'!$A:$D,3,FALSE),"")</f>
        <v/>
      </c>
      <c r="M315">
        <f>IFERROR(VLOOKUP($A315,'Semrush Import'!$A:$D,4,FALSE),"")</f>
        <v/>
      </c>
      <c r="N315">
        <f>IFERROR(VLOOKUP($A315,'KP Import'!$A:$B,2,FALSE),"")</f>
        <v/>
      </c>
      <c r="O315">
        <f>IF(K315="","",ROUND(K315/(L315+10),1))</f>
        <v/>
      </c>
      <c r="P315">
        <f>IF(O315="","",IF(O315&gt;=20,"A - Go first",IF(O315&gt;=5,"B - Next","C - Later")))</f>
        <v/>
      </c>
      <c r="Q315" t="inlineStr">
        <is>
          <t>To research</t>
        </is>
      </c>
      <c r="R315" t="inlineStr"/>
    </row>
    <row r="316">
      <c r="A316" t="inlineStr">
        <is>
          <t>rice exporter to uae</t>
        </is>
      </c>
      <c r="B316" t="inlineStr">
        <is>
          <t>Phase 1 - B2B now</t>
        </is>
      </c>
      <c r="C316" t="inlineStr">
        <is>
          <t>Wholesalers / bulk buyers</t>
        </is>
      </c>
      <c r="D316" t="inlineStr">
        <is>
          <t>Wholesale/B2B</t>
        </is>
      </c>
      <c r="E316" t="inlineStr">
        <is>
          <t>B2B</t>
        </is>
      </c>
      <c r="F316" t="inlineStr">
        <is>
          <t>Transactional (B2B)</t>
        </is>
      </c>
      <c r="G316" t="inlineStr">
        <is>
          <t>BOFU</t>
        </is>
      </c>
      <c r="H316" t="inlineStr">
        <is>
          <t>UAE</t>
        </is>
      </c>
      <c r="I316" t="inlineStr">
        <is>
          <t>Wholesale landing page</t>
        </is>
      </c>
      <c r="J316" t="inlineStr">
        <is>
          <t>Landing</t>
        </is>
      </c>
      <c r="K316">
        <f>IFERROR(VLOOKUP($A316,'Semrush Import'!$A:$D,2,FALSE),"")</f>
        <v/>
      </c>
      <c r="L316">
        <f>IFERROR(VLOOKUP($A316,'Semrush Import'!$A:$D,3,FALSE),"")</f>
        <v/>
      </c>
      <c r="M316">
        <f>IFERROR(VLOOKUP($A316,'Semrush Import'!$A:$D,4,FALSE),"")</f>
        <v/>
      </c>
      <c r="N316">
        <f>IFERROR(VLOOKUP($A316,'KP Import'!$A:$B,2,FALSE),"")</f>
        <v/>
      </c>
      <c r="O316">
        <f>IF(K316="","",ROUND(K316/(L316+10),1))</f>
        <v/>
      </c>
      <c r="P316">
        <f>IF(O316="","",IF(O316&gt;=20,"A - Go first",IF(O316&gt;=5,"B - Next","C - Later")))</f>
        <v/>
      </c>
      <c r="Q316" t="inlineStr">
        <is>
          <t>To research</t>
        </is>
      </c>
      <c r="R316" t="inlineStr"/>
    </row>
    <row r="317">
      <c r="A317" t="inlineStr">
        <is>
          <t>indian rice exporters uae</t>
        </is>
      </c>
      <c r="B317" t="inlineStr">
        <is>
          <t>Phase 1 - B2B now</t>
        </is>
      </c>
      <c r="C317" t="inlineStr">
        <is>
          <t>Wholesalers / bulk buyers</t>
        </is>
      </c>
      <c r="D317" t="inlineStr">
        <is>
          <t>Wholesale/B2B</t>
        </is>
      </c>
      <c r="E317" t="inlineStr">
        <is>
          <t>B2B</t>
        </is>
      </c>
      <c r="F317" t="inlineStr">
        <is>
          <t>Transactional (B2B)</t>
        </is>
      </c>
      <c r="G317" t="inlineStr">
        <is>
          <t>BOFU</t>
        </is>
      </c>
      <c r="H317" t="inlineStr">
        <is>
          <t>UAE</t>
        </is>
      </c>
      <c r="I317" t="inlineStr">
        <is>
          <t>Wholesale landing page</t>
        </is>
      </c>
      <c r="J317" t="inlineStr">
        <is>
          <t>Landing</t>
        </is>
      </c>
      <c r="K317">
        <f>IFERROR(VLOOKUP($A317,'Semrush Import'!$A:$D,2,FALSE),"")</f>
        <v/>
      </c>
      <c r="L317">
        <f>IFERROR(VLOOKUP($A317,'Semrush Import'!$A:$D,3,FALSE),"")</f>
        <v/>
      </c>
      <c r="M317">
        <f>IFERROR(VLOOKUP($A317,'Semrush Import'!$A:$D,4,FALSE),"")</f>
        <v/>
      </c>
      <c r="N317">
        <f>IFERROR(VLOOKUP($A317,'KP Import'!$A:$B,2,FALSE),"")</f>
        <v/>
      </c>
      <c r="O317">
        <f>IF(K317="","",ROUND(K317/(L317+10),1))</f>
        <v/>
      </c>
      <c r="P317">
        <f>IF(O317="","",IF(O317&gt;=20,"A - Go first",IF(O317&gt;=5,"B - Next","C - Later")))</f>
        <v/>
      </c>
      <c r="Q317" t="inlineStr">
        <is>
          <t>To research</t>
        </is>
      </c>
      <c r="R317" t="inlineStr"/>
    </row>
    <row r="318">
      <c r="A318" t="inlineStr">
        <is>
          <t>private label rice uae</t>
        </is>
      </c>
      <c r="B318" t="inlineStr">
        <is>
          <t>Phase 1 - B2B now</t>
        </is>
      </c>
      <c r="C318" t="inlineStr">
        <is>
          <t>Wholesalers / bulk buyers</t>
        </is>
      </c>
      <c r="D318" t="inlineStr">
        <is>
          <t>Wholesale/B2B</t>
        </is>
      </c>
      <c r="E318" t="inlineStr">
        <is>
          <t>B2B</t>
        </is>
      </c>
      <c r="F318" t="inlineStr">
        <is>
          <t>Transactional (B2B)</t>
        </is>
      </c>
      <c r="G318" t="inlineStr">
        <is>
          <t>BOFU</t>
        </is>
      </c>
      <c r="H318" t="inlineStr">
        <is>
          <t>UAE</t>
        </is>
      </c>
      <c r="I318" t="inlineStr">
        <is>
          <t>Wholesale landing page</t>
        </is>
      </c>
      <c r="J318" t="inlineStr">
        <is>
          <t>Landing</t>
        </is>
      </c>
      <c r="K318">
        <f>IFERROR(VLOOKUP($A318,'Semrush Import'!$A:$D,2,FALSE),"")</f>
        <v/>
      </c>
      <c r="L318">
        <f>IFERROR(VLOOKUP($A318,'Semrush Import'!$A:$D,3,FALSE),"")</f>
        <v/>
      </c>
      <c r="M318">
        <f>IFERROR(VLOOKUP($A318,'Semrush Import'!$A:$D,4,FALSE),"")</f>
        <v/>
      </c>
      <c r="N318">
        <f>IFERROR(VLOOKUP($A318,'KP Import'!$A:$B,2,FALSE),"")</f>
        <v/>
      </c>
      <c r="O318">
        <f>IF(K318="","",ROUND(K318/(L318+10),1))</f>
        <v/>
      </c>
      <c r="P318">
        <f>IF(O318="","",IF(O318&gt;=20,"A - Go first",IF(O318&gt;=5,"B - Next","C - Later")))</f>
        <v/>
      </c>
      <c r="Q318" t="inlineStr">
        <is>
          <t>To research</t>
        </is>
      </c>
      <c r="R318" t="inlineStr"/>
    </row>
    <row r="319">
      <c r="A319" t="inlineStr">
        <is>
          <t>rice in bulk 50kg uae</t>
        </is>
      </c>
      <c r="B319" t="inlineStr">
        <is>
          <t>Phase 1 - B2B now</t>
        </is>
      </c>
      <c r="C319" t="inlineStr">
        <is>
          <t>Wholesalers / bulk buyers</t>
        </is>
      </c>
      <c r="D319" t="inlineStr">
        <is>
          <t>Wholesale/B2B</t>
        </is>
      </c>
      <c r="E319" t="inlineStr">
        <is>
          <t>B2B</t>
        </is>
      </c>
      <c r="F319" t="inlineStr">
        <is>
          <t>Transactional (B2B)</t>
        </is>
      </c>
      <c r="G319" t="inlineStr">
        <is>
          <t>BOFU</t>
        </is>
      </c>
      <c r="H319" t="inlineStr">
        <is>
          <t>UAE</t>
        </is>
      </c>
      <c r="I319" t="inlineStr">
        <is>
          <t>Wholesale landing page</t>
        </is>
      </c>
      <c r="J319" t="inlineStr">
        <is>
          <t>Landing</t>
        </is>
      </c>
      <c r="K319">
        <f>IFERROR(VLOOKUP($A319,'Semrush Import'!$A:$D,2,FALSE),"")</f>
        <v/>
      </c>
      <c r="L319">
        <f>IFERROR(VLOOKUP($A319,'Semrush Import'!$A:$D,3,FALSE),"")</f>
        <v/>
      </c>
      <c r="M319">
        <f>IFERROR(VLOOKUP($A319,'Semrush Import'!$A:$D,4,FALSE),"")</f>
        <v/>
      </c>
      <c r="N319">
        <f>IFERROR(VLOOKUP($A319,'KP Import'!$A:$B,2,FALSE),"")</f>
        <v/>
      </c>
      <c r="O319">
        <f>IF(K319="","",ROUND(K319/(L319+10),1))</f>
        <v/>
      </c>
      <c r="P319">
        <f>IF(O319="","",IF(O319&gt;=20,"A - Go first",IF(O319&gt;=5,"B - Next","C - Later")))</f>
        <v/>
      </c>
      <c r="Q319" t="inlineStr">
        <is>
          <t>To research</t>
        </is>
      </c>
      <c r="R319" t="inlineStr"/>
    </row>
    <row r="320">
      <c r="A320" t="inlineStr">
        <is>
          <t>rice container import uae</t>
        </is>
      </c>
      <c r="B320" t="inlineStr">
        <is>
          <t>Phase 1 - B2B now</t>
        </is>
      </c>
      <c r="C320" t="inlineStr">
        <is>
          <t>Wholesalers / bulk buyers</t>
        </is>
      </c>
      <c r="D320" t="inlineStr">
        <is>
          <t>Wholesale/B2B</t>
        </is>
      </c>
      <c r="E320" t="inlineStr">
        <is>
          <t>B2B</t>
        </is>
      </c>
      <c r="F320" t="inlineStr">
        <is>
          <t>Transactional (B2B)</t>
        </is>
      </c>
      <c r="G320" t="inlineStr">
        <is>
          <t>BOFU</t>
        </is>
      </c>
      <c r="H320" t="inlineStr">
        <is>
          <t>UAE</t>
        </is>
      </c>
      <c r="I320" t="inlineStr">
        <is>
          <t>Wholesale landing page</t>
        </is>
      </c>
      <c r="J320" t="inlineStr">
        <is>
          <t>Landing</t>
        </is>
      </c>
      <c r="K320">
        <f>IFERROR(VLOOKUP($A320,'Semrush Import'!$A:$D,2,FALSE),"")</f>
        <v/>
      </c>
      <c r="L320">
        <f>IFERROR(VLOOKUP($A320,'Semrush Import'!$A:$D,3,FALSE),"")</f>
        <v/>
      </c>
      <c r="M320">
        <f>IFERROR(VLOOKUP($A320,'Semrush Import'!$A:$D,4,FALSE),"")</f>
        <v/>
      </c>
      <c r="N320">
        <f>IFERROR(VLOOKUP($A320,'KP Import'!$A:$B,2,FALSE),"")</f>
        <v/>
      </c>
      <c r="O320">
        <f>IF(K320="","",ROUND(K320/(L320+10),1))</f>
        <v/>
      </c>
      <c r="P320">
        <f>IF(O320="","",IF(O320&gt;=20,"A - Go first",IF(O320&gt;=5,"B - Next","C - Later")))</f>
        <v/>
      </c>
      <c r="Q320" t="inlineStr">
        <is>
          <t>To research</t>
        </is>
      </c>
      <c r="R320" t="inlineStr"/>
    </row>
    <row r="321">
      <c r="A321" t="inlineStr">
        <is>
          <t>food stuff trading dubai</t>
        </is>
      </c>
      <c r="B321" t="inlineStr">
        <is>
          <t>Phase 1 - B2B now</t>
        </is>
      </c>
      <c r="C321" t="inlineStr">
        <is>
          <t>Wholesalers / bulk buyers</t>
        </is>
      </c>
      <c r="D321" t="inlineStr">
        <is>
          <t>Wholesale/B2B</t>
        </is>
      </c>
      <c r="E321" t="inlineStr">
        <is>
          <t>B2B</t>
        </is>
      </c>
      <c r="F321" t="inlineStr">
        <is>
          <t>Transactional (B2B)</t>
        </is>
      </c>
      <c r="G321" t="inlineStr">
        <is>
          <t>BOFU</t>
        </is>
      </c>
      <c r="H321" t="inlineStr">
        <is>
          <t>Dubai</t>
        </is>
      </c>
      <c r="I321" t="inlineStr">
        <is>
          <t>Wholesale landing page</t>
        </is>
      </c>
      <c r="J321" t="inlineStr">
        <is>
          <t>Landing</t>
        </is>
      </c>
      <c r="K321">
        <f>IFERROR(VLOOKUP($A321,'Semrush Import'!$A:$D,2,FALSE),"")</f>
        <v/>
      </c>
      <c r="L321">
        <f>IFERROR(VLOOKUP($A321,'Semrush Import'!$A:$D,3,FALSE),"")</f>
        <v/>
      </c>
      <c r="M321">
        <f>IFERROR(VLOOKUP($A321,'Semrush Import'!$A:$D,4,FALSE),"")</f>
        <v/>
      </c>
      <c r="N321">
        <f>IFERROR(VLOOKUP($A321,'KP Import'!$A:$B,2,FALSE),"")</f>
        <v/>
      </c>
      <c r="O321">
        <f>IF(K321="","",ROUND(K321/(L321+10),1))</f>
        <v/>
      </c>
      <c r="P321">
        <f>IF(O321="","",IF(O321&gt;=20,"A - Go first",IF(O321&gt;=5,"B - Next","C - Later")))</f>
        <v/>
      </c>
      <c r="Q321" t="inlineStr">
        <is>
          <t>To research</t>
        </is>
      </c>
      <c r="R321" t="inlineStr"/>
    </row>
    <row r="322">
      <c r="A322" t="inlineStr">
        <is>
          <t>foodstuff wholesale dubai</t>
        </is>
      </c>
      <c r="B322" t="inlineStr">
        <is>
          <t>Phase 1 - B2B now</t>
        </is>
      </c>
      <c r="C322" t="inlineStr">
        <is>
          <t>Wholesalers / bulk buyers</t>
        </is>
      </c>
      <c r="D322" t="inlineStr">
        <is>
          <t>Wholesale/B2B</t>
        </is>
      </c>
      <c r="E322" t="inlineStr">
        <is>
          <t>B2B</t>
        </is>
      </c>
      <c r="F322" t="inlineStr">
        <is>
          <t>Transactional (B2B)</t>
        </is>
      </c>
      <c r="G322" t="inlineStr">
        <is>
          <t>BOFU</t>
        </is>
      </c>
      <c r="H322" t="inlineStr">
        <is>
          <t>Dubai</t>
        </is>
      </c>
      <c r="I322" t="inlineStr">
        <is>
          <t>Wholesale landing page</t>
        </is>
      </c>
      <c r="J322" t="inlineStr">
        <is>
          <t>Landing</t>
        </is>
      </c>
      <c r="K322">
        <f>IFERROR(VLOOKUP($A322,'Semrush Import'!$A:$D,2,FALSE),"")</f>
        <v/>
      </c>
      <c r="L322">
        <f>IFERROR(VLOOKUP($A322,'Semrush Import'!$A:$D,3,FALSE),"")</f>
        <v/>
      </c>
      <c r="M322">
        <f>IFERROR(VLOOKUP($A322,'Semrush Import'!$A:$D,4,FALSE),"")</f>
        <v/>
      </c>
      <c r="N322">
        <f>IFERROR(VLOOKUP($A322,'KP Import'!$A:$B,2,FALSE),"")</f>
        <v/>
      </c>
      <c r="O322">
        <f>IF(K322="","",ROUND(K322/(L322+10),1))</f>
        <v/>
      </c>
      <c r="P322">
        <f>IF(O322="","",IF(O322&gt;=20,"A - Go first",IF(O322&gt;=5,"B - Next","C - Later")))</f>
        <v/>
      </c>
      <c r="Q322" t="inlineStr">
        <is>
          <t>To research</t>
        </is>
      </c>
      <c r="R322" t="inlineStr"/>
    </row>
    <row r="323">
      <c r="A323" t="inlineStr">
        <is>
          <t>grocery wholesale dubai</t>
        </is>
      </c>
      <c r="B323" t="inlineStr">
        <is>
          <t>Phase 1 - B2B now</t>
        </is>
      </c>
      <c r="C323" t="inlineStr">
        <is>
          <t>Wholesalers / bulk buyers</t>
        </is>
      </c>
      <c r="D323" t="inlineStr">
        <is>
          <t>Wholesale/B2B</t>
        </is>
      </c>
      <c r="E323" t="inlineStr">
        <is>
          <t>B2B</t>
        </is>
      </c>
      <c r="F323" t="inlineStr">
        <is>
          <t>Transactional (B2B)</t>
        </is>
      </c>
      <c r="G323" t="inlineStr">
        <is>
          <t>BOFU</t>
        </is>
      </c>
      <c r="H323" t="inlineStr">
        <is>
          <t>Dubai</t>
        </is>
      </c>
      <c r="I323" t="inlineStr">
        <is>
          <t>Wholesale landing page</t>
        </is>
      </c>
      <c r="J323" t="inlineStr">
        <is>
          <t>Landing</t>
        </is>
      </c>
      <c r="K323">
        <f>IFERROR(VLOOKUP($A323,'Semrush Import'!$A:$D,2,FALSE),"")</f>
        <v/>
      </c>
      <c r="L323">
        <f>IFERROR(VLOOKUP($A323,'Semrush Import'!$A:$D,3,FALSE),"")</f>
        <v/>
      </c>
      <c r="M323">
        <f>IFERROR(VLOOKUP($A323,'Semrush Import'!$A:$D,4,FALSE),"")</f>
        <v/>
      </c>
      <c r="N323">
        <f>IFERROR(VLOOKUP($A323,'KP Import'!$A:$B,2,FALSE),"")</f>
        <v/>
      </c>
      <c r="O323">
        <f>IF(K323="","",ROUND(K323/(L323+10),1))</f>
        <v/>
      </c>
      <c r="P323">
        <f>IF(O323="","",IF(O323&gt;=20,"A - Go first",IF(O323&gt;=5,"B - Next","C - Later")))</f>
        <v/>
      </c>
      <c r="Q323" t="inlineStr">
        <is>
          <t>To research</t>
        </is>
      </c>
      <c r="R323" t="inlineStr"/>
    </row>
    <row r="324">
      <c r="A324" t="inlineStr">
        <is>
          <t>rice online dubai</t>
        </is>
      </c>
      <c r="B324" t="inlineStr">
        <is>
          <t>Phase 2 - B2C (later)</t>
        </is>
      </c>
      <c r="C324" t="inlineStr">
        <is>
          <t>Consumer / household</t>
        </is>
      </c>
      <c r="D324" t="inlineStr">
        <is>
          <t>Retail/B2C</t>
        </is>
      </c>
      <c r="E324" t="inlineStr">
        <is>
          <t>Retail</t>
        </is>
      </c>
      <c r="F324" t="inlineStr">
        <is>
          <t>Transactional</t>
        </is>
      </c>
      <c r="G324" t="inlineStr">
        <is>
          <t>BOFU</t>
        </is>
      </c>
      <c r="H324" t="inlineStr">
        <is>
          <t>Dubai</t>
        </is>
      </c>
      <c r="I324" t="inlineStr">
        <is>
          <t>Home page</t>
        </is>
      </c>
      <c r="J324" t="inlineStr">
        <is>
          <t>Home</t>
        </is>
      </c>
      <c r="K324">
        <f>IFERROR(VLOOKUP($A324,'Semrush Import'!$A:$D,2,FALSE),"")</f>
        <v/>
      </c>
      <c r="L324">
        <f>IFERROR(VLOOKUP($A324,'Semrush Import'!$A:$D,3,FALSE),"")</f>
        <v/>
      </c>
      <c r="M324">
        <f>IFERROR(VLOOKUP($A324,'Semrush Import'!$A:$D,4,FALSE),"")</f>
        <v/>
      </c>
      <c r="N324">
        <f>IFERROR(VLOOKUP($A324,'KP Import'!$A:$B,2,FALSE),"")</f>
        <v/>
      </c>
      <c r="O324">
        <f>IF(K324="","",ROUND(K324/(L324+10),1))</f>
        <v/>
      </c>
      <c r="P324">
        <f>IF(O324="","",IF(O324&gt;=20,"A - Go first",IF(O324&gt;=5,"B - Next","C - Later")))</f>
        <v/>
      </c>
      <c r="Q324" t="inlineStr">
        <is>
          <t>To research</t>
        </is>
      </c>
      <c r="R324" t="inlineStr"/>
    </row>
    <row r="325">
      <c r="A325" t="inlineStr">
        <is>
          <t>buy rice online uae</t>
        </is>
      </c>
      <c r="B325" t="inlineStr">
        <is>
          <t>Phase 2 - B2C (later)</t>
        </is>
      </c>
      <c r="C325" t="inlineStr">
        <is>
          <t>Consumer / household</t>
        </is>
      </c>
      <c r="D325" t="inlineStr">
        <is>
          <t>Retail/B2C</t>
        </is>
      </c>
      <c r="E325" t="inlineStr">
        <is>
          <t>Retail</t>
        </is>
      </c>
      <c r="F325" t="inlineStr">
        <is>
          <t>Transactional</t>
        </is>
      </c>
      <c r="G325" t="inlineStr">
        <is>
          <t>BOFU</t>
        </is>
      </c>
      <c r="H325" t="inlineStr">
        <is>
          <t>UAE</t>
        </is>
      </c>
      <c r="I325" t="inlineStr">
        <is>
          <t>Home page</t>
        </is>
      </c>
      <c r="J325" t="inlineStr">
        <is>
          <t>Home</t>
        </is>
      </c>
      <c r="K325">
        <f>IFERROR(VLOOKUP($A325,'Semrush Import'!$A:$D,2,FALSE),"")</f>
        <v/>
      </c>
      <c r="L325">
        <f>IFERROR(VLOOKUP($A325,'Semrush Import'!$A:$D,3,FALSE),"")</f>
        <v/>
      </c>
      <c r="M325">
        <f>IFERROR(VLOOKUP($A325,'Semrush Import'!$A:$D,4,FALSE),"")</f>
        <v/>
      </c>
      <c r="N325">
        <f>IFERROR(VLOOKUP($A325,'KP Import'!$A:$B,2,FALSE),"")</f>
        <v/>
      </c>
      <c r="O325">
        <f>IF(K325="","",ROUND(K325/(L325+10),1))</f>
        <v/>
      </c>
      <c r="P325">
        <f>IF(O325="","",IF(O325&gt;=20,"A - Go first",IF(O325&gt;=5,"B - Next","C - Later")))</f>
        <v/>
      </c>
      <c r="Q325" t="inlineStr">
        <is>
          <t>To research</t>
        </is>
      </c>
      <c r="R325" t="inlineStr"/>
    </row>
    <row r="326">
      <c r="A326" t="inlineStr">
        <is>
          <t>rice delivery dubai</t>
        </is>
      </c>
      <c r="B326" t="inlineStr">
        <is>
          <t>Phase 2 - B2C (later)</t>
        </is>
      </c>
      <c r="C326" t="inlineStr">
        <is>
          <t>Consumer / household</t>
        </is>
      </c>
      <c r="D326" t="inlineStr">
        <is>
          <t>Retail/B2C</t>
        </is>
      </c>
      <c r="E326" t="inlineStr">
        <is>
          <t>Retail</t>
        </is>
      </c>
      <c r="F326" t="inlineStr">
        <is>
          <t>Transactional</t>
        </is>
      </c>
      <c r="G326" t="inlineStr">
        <is>
          <t>BOFU</t>
        </is>
      </c>
      <c r="H326" t="inlineStr">
        <is>
          <t>Dubai</t>
        </is>
      </c>
      <c r="I326" t="inlineStr">
        <is>
          <t>Home page</t>
        </is>
      </c>
      <c r="J326" t="inlineStr">
        <is>
          <t>Home</t>
        </is>
      </c>
      <c r="K326">
        <f>IFERROR(VLOOKUP($A326,'Semrush Import'!$A:$D,2,FALSE),"")</f>
        <v/>
      </c>
      <c r="L326">
        <f>IFERROR(VLOOKUP($A326,'Semrush Import'!$A:$D,3,FALSE),"")</f>
        <v/>
      </c>
      <c r="M326">
        <f>IFERROR(VLOOKUP($A326,'Semrush Import'!$A:$D,4,FALSE),"")</f>
        <v/>
      </c>
      <c r="N326">
        <f>IFERROR(VLOOKUP($A326,'KP Import'!$A:$B,2,FALSE),"")</f>
        <v/>
      </c>
      <c r="O326">
        <f>IF(K326="","",ROUND(K326/(L326+10),1))</f>
        <v/>
      </c>
      <c r="P326">
        <f>IF(O326="","",IF(O326&gt;=20,"A - Go first",IF(O326&gt;=5,"B - Next","C - Later")))</f>
        <v/>
      </c>
      <c r="Q326" t="inlineStr">
        <is>
          <t>To research</t>
        </is>
      </c>
      <c r="R326" t="inlineStr"/>
    </row>
    <row r="327">
      <c r="A327" t="inlineStr">
        <is>
          <t>rice home delivery uae</t>
        </is>
      </c>
      <c r="B327" t="inlineStr">
        <is>
          <t>Phase 2 - B2C (later)</t>
        </is>
      </c>
      <c r="C327" t="inlineStr">
        <is>
          <t>Consumer / household</t>
        </is>
      </c>
      <c r="D327" t="inlineStr">
        <is>
          <t>Retail/B2C</t>
        </is>
      </c>
      <c r="E327" t="inlineStr">
        <is>
          <t>Retail</t>
        </is>
      </c>
      <c r="F327" t="inlineStr">
        <is>
          <t>Transactional</t>
        </is>
      </c>
      <c r="G327" t="inlineStr">
        <is>
          <t>BOFU</t>
        </is>
      </c>
      <c r="H327" t="inlineStr">
        <is>
          <t>UAE</t>
        </is>
      </c>
      <c r="I327" t="inlineStr">
        <is>
          <t>Shop / category page</t>
        </is>
      </c>
      <c r="J327" t="inlineStr">
        <is>
          <t>Category</t>
        </is>
      </c>
      <c r="K327">
        <f>IFERROR(VLOOKUP($A327,'Semrush Import'!$A:$D,2,FALSE),"")</f>
        <v/>
      </c>
      <c r="L327">
        <f>IFERROR(VLOOKUP($A327,'Semrush Import'!$A:$D,3,FALSE),"")</f>
        <v/>
      </c>
      <c r="M327">
        <f>IFERROR(VLOOKUP($A327,'Semrush Import'!$A:$D,4,FALSE),"")</f>
        <v/>
      </c>
      <c r="N327">
        <f>IFERROR(VLOOKUP($A327,'KP Import'!$A:$B,2,FALSE),"")</f>
        <v/>
      </c>
      <c r="O327">
        <f>IF(K327="","",ROUND(K327/(L327+10),1))</f>
        <v/>
      </c>
      <c r="P327">
        <f>IF(O327="","",IF(O327&gt;=20,"A - Go first",IF(O327&gt;=5,"B - Next","C - Later")))</f>
        <v/>
      </c>
      <c r="Q327" t="inlineStr">
        <is>
          <t>To research</t>
        </is>
      </c>
      <c r="R327" t="inlineStr"/>
    </row>
    <row r="328">
      <c r="A328" t="inlineStr">
        <is>
          <t>order rice online dubai</t>
        </is>
      </c>
      <c r="B328" t="inlineStr">
        <is>
          <t>Phase 2 - B2C (later)</t>
        </is>
      </c>
      <c r="C328" t="inlineStr">
        <is>
          <t>Consumer / household</t>
        </is>
      </c>
      <c r="D328" t="inlineStr">
        <is>
          <t>Retail/B2C</t>
        </is>
      </c>
      <c r="E328" t="inlineStr">
        <is>
          <t>Retail</t>
        </is>
      </c>
      <c r="F328" t="inlineStr">
        <is>
          <t>Transactional</t>
        </is>
      </c>
      <c r="G328" t="inlineStr">
        <is>
          <t>BOFU</t>
        </is>
      </c>
      <c r="H328" t="inlineStr">
        <is>
          <t>Dubai</t>
        </is>
      </c>
      <c r="I328" t="inlineStr">
        <is>
          <t>Shop / category page</t>
        </is>
      </c>
      <c r="J328" t="inlineStr">
        <is>
          <t>Category</t>
        </is>
      </c>
      <c r="K328">
        <f>IFERROR(VLOOKUP($A328,'Semrush Import'!$A:$D,2,FALSE),"")</f>
        <v/>
      </c>
      <c r="L328">
        <f>IFERROR(VLOOKUP($A328,'Semrush Import'!$A:$D,3,FALSE),"")</f>
        <v/>
      </c>
      <c r="M328">
        <f>IFERROR(VLOOKUP($A328,'Semrush Import'!$A:$D,4,FALSE),"")</f>
        <v/>
      </c>
      <c r="N328">
        <f>IFERROR(VLOOKUP($A328,'KP Import'!$A:$B,2,FALSE),"")</f>
        <v/>
      </c>
      <c r="O328">
        <f>IF(K328="","",ROUND(K328/(L328+10),1))</f>
        <v/>
      </c>
      <c r="P328">
        <f>IF(O328="","",IF(O328&gt;=20,"A - Go first",IF(O328&gt;=5,"B - Next","C - Later")))</f>
        <v/>
      </c>
      <c r="Q328" t="inlineStr">
        <is>
          <t>To research</t>
        </is>
      </c>
      <c r="R328" t="inlineStr"/>
    </row>
    <row r="329">
      <c r="A329" t="inlineStr">
        <is>
          <t>rice delivery near me</t>
        </is>
      </c>
      <c r="B329" t="inlineStr">
        <is>
          <t>Phase 2 - B2C (later)</t>
        </is>
      </c>
      <c r="C329" t="inlineStr">
        <is>
          <t>Consumer / household</t>
        </is>
      </c>
      <c r="D329" t="inlineStr">
        <is>
          <t>Retail/B2C</t>
        </is>
      </c>
      <c r="E329" t="inlineStr">
        <is>
          <t>Retail</t>
        </is>
      </c>
      <c r="F329" t="inlineStr">
        <is>
          <t>Transactional</t>
        </is>
      </c>
      <c r="G329" t="inlineStr">
        <is>
          <t>BOFU</t>
        </is>
      </c>
      <c r="H329" t="inlineStr">
        <is>
          <t>UAE</t>
        </is>
      </c>
      <c r="I329" t="inlineStr">
        <is>
          <t>Shop / category page</t>
        </is>
      </c>
      <c r="J329" t="inlineStr">
        <is>
          <t>Category</t>
        </is>
      </c>
      <c r="K329">
        <f>IFERROR(VLOOKUP($A329,'Semrush Import'!$A:$D,2,FALSE),"")</f>
        <v/>
      </c>
      <c r="L329">
        <f>IFERROR(VLOOKUP($A329,'Semrush Import'!$A:$D,3,FALSE),"")</f>
        <v/>
      </c>
      <c r="M329">
        <f>IFERROR(VLOOKUP($A329,'Semrush Import'!$A:$D,4,FALSE),"")</f>
        <v/>
      </c>
      <c r="N329">
        <f>IFERROR(VLOOKUP($A329,'KP Import'!$A:$B,2,FALSE),"")</f>
        <v/>
      </c>
      <c r="O329">
        <f>IF(K329="","",ROUND(K329/(L329+10),1))</f>
        <v/>
      </c>
      <c r="P329">
        <f>IF(O329="","",IF(O329&gt;=20,"A - Go first",IF(O329&gt;=5,"B - Next","C - Later")))</f>
        <v/>
      </c>
      <c r="Q329" t="inlineStr">
        <is>
          <t>To research</t>
        </is>
      </c>
      <c r="R329" t="inlineStr"/>
    </row>
    <row r="330">
      <c r="A330" t="inlineStr">
        <is>
          <t>online grocery rice dubai</t>
        </is>
      </c>
      <c r="B330" t="inlineStr">
        <is>
          <t>Phase 2 - B2C (later)</t>
        </is>
      </c>
      <c r="C330" t="inlineStr">
        <is>
          <t>Consumer / household</t>
        </is>
      </c>
      <c r="D330" t="inlineStr">
        <is>
          <t>Retail/B2C</t>
        </is>
      </c>
      <c r="E330" t="inlineStr">
        <is>
          <t>Retail</t>
        </is>
      </c>
      <c r="F330" t="inlineStr">
        <is>
          <t>Transactional</t>
        </is>
      </c>
      <c r="G330" t="inlineStr">
        <is>
          <t>BOFU</t>
        </is>
      </c>
      <c r="H330" t="inlineStr">
        <is>
          <t>Dubai</t>
        </is>
      </c>
      <c r="I330" t="inlineStr">
        <is>
          <t>Shop / category page</t>
        </is>
      </c>
      <c r="J330" t="inlineStr">
        <is>
          <t>Category</t>
        </is>
      </c>
      <c r="K330">
        <f>IFERROR(VLOOKUP($A330,'Semrush Import'!$A:$D,2,FALSE),"")</f>
        <v/>
      </c>
      <c r="L330">
        <f>IFERROR(VLOOKUP($A330,'Semrush Import'!$A:$D,3,FALSE),"")</f>
        <v/>
      </c>
      <c r="M330">
        <f>IFERROR(VLOOKUP($A330,'Semrush Import'!$A:$D,4,FALSE),"")</f>
        <v/>
      </c>
      <c r="N330">
        <f>IFERROR(VLOOKUP($A330,'KP Import'!$A:$B,2,FALSE),"")</f>
        <v/>
      </c>
      <c r="O330">
        <f>IF(K330="","",ROUND(K330/(L330+10),1))</f>
        <v/>
      </c>
      <c r="P330">
        <f>IF(O330="","",IF(O330&gt;=20,"A - Go first",IF(O330&gt;=5,"B - Next","C - Later")))</f>
        <v/>
      </c>
      <c r="Q330" t="inlineStr">
        <is>
          <t>To research</t>
        </is>
      </c>
      <c r="R330" t="inlineStr"/>
    </row>
    <row r="331">
      <c r="A331" t="inlineStr">
        <is>
          <t>best basmati rice in uae</t>
        </is>
      </c>
      <c r="B331" t="inlineStr">
        <is>
          <t>Phase 2 - B2C (later)</t>
        </is>
      </c>
      <c r="C331" t="inlineStr">
        <is>
          <t>Consumer / household</t>
        </is>
      </c>
      <c r="D331" t="inlineStr">
        <is>
          <t>Retail/B2C</t>
        </is>
      </c>
      <c r="E331" t="inlineStr">
        <is>
          <t>Retail</t>
        </is>
      </c>
      <c r="F331" t="inlineStr">
        <is>
          <t>Transactional</t>
        </is>
      </c>
      <c r="G331" t="inlineStr">
        <is>
          <t>BOFU</t>
        </is>
      </c>
      <c r="H331" t="inlineStr">
        <is>
          <t>UAE</t>
        </is>
      </c>
      <c r="I331" t="inlineStr">
        <is>
          <t>Shop / category page</t>
        </is>
      </c>
      <c r="J331" t="inlineStr">
        <is>
          <t>Category</t>
        </is>
      </c>
      <c r="K331">
        <f>IFERROR(VLOOKUP($A331,'Semrush Import'!$A:$D,2,FALSE),"")</f>
        <v/>
      </c>
      <c r="L331">
        <f>IFERROR(VLOOKUP($A331,'Semrush Import'!$A:$D,3,FALSE),"")</f>
        <v/>
      </c>
      <c r="M331">
        <f>IFERROR(VLOOKUP($A331,'Semrush Import'!$A:$D,4,FALSE),"")</f>
        <v/>
      </c>
      <c r="N331">
        <f>IFERROR(VLOOKUP($A331,'KP Import'!$A:$B,2,FALSE),"")</f>
        <v/>
      </c>
      <c r="O331">
        <f>IF(K331="","",ROUND(K331/(L331+10),1))</f>
        <v/>
      </c>
      <c r="P331">
        <f>IF(O331="","",IF(O331&gt;=20,"A - Go first",IF(O331&gt;=5,"B - Next","C - Later")))</f>
        <v/>
      </c>
      <c r="Q331" t="inlineStr">
        <is>
          <t>To research</t>
        </is>
      </c>
      <c r="R331" t="inlineStr"/>
    </row>
    <row r="332">
      <c r="A332" t="inlineStr">
        <is>
          <t>best basmati rice in dubai</t>
        </is>
      </c>
      <c r="B332" t="inlineStr">
        <is>
          <t>Phase 2 - B2C (later)</t>
        </is>
      </c>
      <c r="C332" t="inlineStr">
        <is>
          <t>Consumer / household</t>
        </is>
      </c>
      <c r="D332" t="inlineStr">
        <is>
          <t>Retail/B2C</t>
        </is>
      </c>
      <c r="E332" t="inlineStr">
        <is>
          <t>Retail</t>
        </is>
      </c>
      <c r="F332" t="inlineStr">
        <is>
          <t>Transactional</t>
        </is>
      </c>
      <c r="G332" t="inlineStr">
        <is>
          <t>BOFU</t>
        </is>
      </c>
      <c r="H332" t="inlineStr">
        <is>
          <t>Dubai</t>
        </is>
      </c>
      <c r="I332" t="inlineStr">
        <is>
          <t>Shop / category page</t>
        </is>
      </c>
      <c r="J332" t="inlineStr">
        <is>
          <t>Category</t>
        </is>
      </c>
      <c r="K332">
        <f>IFERROR(VLOOKUP($A332,'Semrush Import'!$A:$D,2,FALSE),"")</f>
        <v/>
      </c>
      <c r="L332">
        <f>IFERROR(VLOOKUP($A332,'Semrush Import'!$A:$D,3,FALSE),"")</f>
        <v/>
      </c>
      <c r="M332">
        <f>IFERROR(VLOOKUP($A332,'Semrush Import'!$A:$D,4,FALSE),"")</f>
        <v/>
      </c>
      <c r="N332">
        <f>IFERROR(VLOOKUP($A332,'KP Import'!$A:$B,2,FALSE),"")</f>
        <v/>
      </c>
      <c r="O332">
        <f>IF(K332="","",ROUND(K332/(L332+10),1))</f>
        <v/>
      </c>
      <c r="P332">
        <f>IF(O332="","",IF(O332&gt;=20,"A - Go first",IF(O332&gt;=5,"B - Next","C - Later")))</f>
        <v/>
      </c>
      <c r="Q332" t="inlineStr">
        <is>
          <t>To research</t>
        </is>
      </c>
      <c r="R332" t="inlineStr"/>
    </row>
    <row r="333">
      <c r="A333" t="inlineStr">
        <is>
          <t>best rice brand in uae</t>
        </is>
      </c>
      <c r="B333" t="inlineStr">
        <is>
          <t>Phase 2 - B2C (later)</t>
        </is>
      </c>
      <c r="C333" t="inlineStr">
        <is>
          <t>Consumer / household</t>
        </is>
      </c>
      <c r="D333" t="inlineStr">
        <is>
          <t>Retail/B2C</t>
        </is>
      </c>
      <c r="E333" t="inlineStr">
        <is>
          <t>Retail</t>
        </is>
      </c>
      <c r="F333" t="inlineStr">
        <is>
          <t>Transactional</t>
        </is>
      </c>
      <c r="G333" t="inlineStr">
        <is>
          <t>BOFU</t>
        </is>
      </c>
      <c r="H333" t="inlineStr">
        <is>
          <t>UAE</t>
        </is>
      </c>
      <c r="I333" t="inlineStr">
        <is>
          <t>Shop / category page</t>
        </is>
      </c>
      <c r="J333" t="inlineStr">
        <is>
          <t>Category</t>
        </is>
      </c>
      <c r="K333">
        <f>IFERROR(VLOOKUP($A333,'Semrush Import'!$A:$D,2,FALSE),"")</f>
        <v/>
      </c>
      <c r="L333">
        <f>IFERROR(VLOOKUP($A333,'Semrush Import'!$A:$D,3,FALSE),"")</f>
        <v/>
      </c>
      <c r="M333">
        <f>IFERROR(VLOOKUP($A333,'Semrush Import'!$A:$D,4,FALSE),"")</f>
        <v/>
      </c>
      <c r="N333">
        <f>IFERROR(VLOOKUP($A333,'KP Import'!$A:$B,2,FALSE),"")</f>
        <v/>
      </c>
      <c r="O333">
        <f>IF(K333="","",ROUND(K333/(L333+10),1))</f>
        <v/>
      </c>
      <c r="P333">
        <f>IF(O333="","",IF(O333&gt;=20,"A - Go first",IF(O333&gt;=5,"B - Next","C - Later")))</f>
        <v/>
      </c>
      <c r="Q333" t="inlineStr">
        <is>
          <t>To research</t>
        </is>
      </c>
      <c r="R333" t="inlineStr"/>
    </row>
    <row r="334">
      <c r="A334" t="inlineStr">
        <is>
          <t>best rice for biryani in dubai</t>
        </is>
      </c>
      <c r="B334" t="inlineStr">
        <is>
          <t>Phase 2 - B2C (later)</t>
        </is>
      </c>
      <c r="C334" t="inlineStr">
        <is>
          <t>Consumer / household</t>
        </is>
      </c>
      <c r="D334" t="inlineStr">
        <is>
          <t>Retail/B2C</t>
        </is>
      </c>
      <c r="E334" t="inlineStr">
        <is>
          <t>Retail</t>
        </is>
      </c>
      <c r="F334" t="inlineStr">
        <is>
          <t>Transactional</t>
        </is>
      </c>
      <c r="G334" t="inlineStr">
        <is>
          <t>BOFU</t>
        </is>
      </c>
      <c r="H334" t="inlineStr">
        <is>
          <t>Dubai</t>
        </is>
      </c>
      <c r="I334" t="inlineStr">
        <is>
          <t>Shop / category page</t>
        </is>
      </c>
      <c r="J334" t="inlineStr">
        <is>
          <t>Category</t>
        </is>
      </c>
      <c r="K334">
        <f>IFERROR(VLOOKUP($A334,'Semrush Import'!$A:$D,2,FALSE),"")</f>
        <v/>
      </c>
      <c r="L334">
        <f>IFERROR(VLOOKUP($A334,'Semrush Import'!$A:$D,3,FALSE),"")</f>
        <v/>
      </c>
      <c r="M334">
        <f>IFERROR(VLOOKUP($A334,'Semrush Import'!$A:$D,4,FALSE),"")</f>
        <v/>
      </c>
      <c r="N334">
        <f>IFERROR(VLOOKUP($A334,'KP Import'!$A:$B,2,FALSE),"")</f>
        <v/>
      </c>
      <c r="O334">
        <f>IF(K334="","",ROUND(K334/(L334+10),1))</f>
        <v/>
      </c>
      <c r="P334">
        <f>IF(O334="","",IF(O334&gt;=20,"A - Go first",IF(O334&gt;=5,"B - Next","C - Later")))</f>
        <v/>
      </c>
      <c r="Q334" t="inlineStr">
        <is>
          <t>To research</t>
        </is>
      </c>
      <c r="R334" t="inlineStr"/>
    </row>
    <row r="335">
      <c r="A335" t="inlineStr">
        <is>
          <t>cheap rice dubai</t>
        </is>
      </c>
      <c r="B335" t="inlineStr">
        <is>
          <t>Phase 2 - B2C (later)</t>
        </is>
      </c>
      <c r="C335" t="inlineStr">
        <is>
          <t>Consumer / household</t>
        </is>
      </c>
      <c r="D335" t="inlineStr">
        <is>
          <t>Retail/B2C</t>
        </is>
      </c>
      <c r="E335" t="inlineStr">
        <is>
          <t>Retail</t>
        </is>
      </c>
      <c r="F335" t="inlineStr">
        <is>
          <t>Transactional</t>
        </is>
      </c>
      <c r="G335" t="inlineStr">
        <is>
          <t>BOFU</t>
        </is>
      </c>
      <c r="H335" t="inlineStr">
        <is>
          <t>Dubai</t>
        </is>
      </c>
      <c r="I335" t="inlineStr">
        <is>
          <t>Shop / category page</t>
        </is>
      </c>
      <c r="J335" t="inlineStr">
        <is>
          <t>Category</t>
        </is>
      </c>
      <c r="K335">
        <f>IFERROR(VLOOKUP($A335,'Semrush Import'!$A:$D,2,FALSE),"")</f>
        <v/>
      </c>
      <c r="L335">
        <f>IFERROR(VLOOKUP($A335,'Semrush Import'!$A:$D,3,FALSE),"")</f>
        <v/>
      </c>
      <c r="M335">
        <f>IFERROR(VLOOKUP($A335,'Semrush Import'!$A:$D,4,FALSE),"")</f>
        <v/>
      </c>
      <c r="N335">
        <f>IFERROR(VLOOKUP($A335,'KP Import'!$A:$B,2,FALSE),"")</f>
        <v/>
      </c>
      <c r="O335">
        <f>IF(K335="","",ROUND(K335/(L335+10),1))</f>
        <v/>
      </c>
      <c r="P335">
        <f>IF(O335="","",IF(O335&gt;=20,"A - Go first",IF(O335&gt;=5,"B - Next","C - Later")))</f>
        <v/>
      </c>
      <c r="Q335" t="inlineStr">
        <is>
          <t>To research</t>
        </is>
      </c>
      <c r="R335" t="inlineStr"/>
    </row>
    <row r="336">
      <c r="A336" t="inlineStr">
        <is>
          <t>rice offers uae</t>
        </is>
      </c>
      <c r="B336" t="inlineStr">
        <is>
          <t>Phase 2 - B2C (later)</t>
        </is>
      </c>
      <c r="C336" t="inlineStr">
        <is>
          <t>Consumer / household</t>
        </is>
      </c>
      <c r="D336" t="inlineStr">
        <is>
          <t>Retail/B2C</t>
        </is>
      </c>
      <c r="E336" t="inlineStr">
        <is>
          <t>Retail</t>
        </is>
      </c>
      <c r="F336" t="inlineStr">
        <is>
          <t>Transactional</t>
        </is>
      </c>
      <c r="G336" t="inlineStr">
        <is>
          <t>BOFU</t>
        </is>
      </c>
      <c r="H336" t="inlineStr">
        <is>
          <t>UAE</t>
        </is>
      </c>
      <c r="I336" t="inlineStr">
        <is>
          <t>Shop / category page</t>
        </is>
      </c>
      <c r="J336" t="inlineStr">
        <is>
          <t>Category</t>
        </is>
      </c>
      <c r="K336">
        <f>IFERROR(VLOOKUP($A336,'Semrush Import'!$A:$D,2,FALSE),"")</f>
        <v/>
      </c>
      <c r="L336">
        <f>IFERROR(VLOOKUP($A336,'Semrush Import'!$A:$D,3,FALSE),"")</f>
        <v/>
      </c>
      <c r="M336">
        <f>IFERROR(VLOOKUP($A336,'Semrush Import'!$A:$D,4,FALSE),"")</f>
        <v/>
      </c>
      <c r="N336">
        <f>IFERROR(VLOOKUP($A336,'KP Import'!$A:$B,2,FALSE),"")</f>
        <v/>
      </c>
      <c r="O336">
        <f>IF(K336="","",ROUND(K336/(L336+10),1))</f>
        <v/>
      </c>
      <c r="P336">
        <f>IF(O336="","",IF(O336&gt;=20,"A - Go first",IF(O336&gt;=5,"B - Next","C - Later")))</f>
        <v/>
      </c>
      <c r="Q336" t="inlineStr">
        <is>
          <t>To research</t>
        </is>
      </c>
      <c r="R336" t="inlineStr"/>
    </row>
    <row r="337">
      <c r="A337" t="inlineStr">
        <is>
          <t>rice sale dubai</t>
        </is>
      </c>
      <c r="B337" t="inlineStr">
        <is>
          <t>Phase 2 - B2C (later)</t>
        </is>
      </c>
      <c r="C337" t="inlineStr">
        <is>
          <t>Consumer / household</t>
        </is>
      </c>
      <c r="D337" t="inlineStr">
        <is>
          <t>Retail/B2C</t>
        </is>
      </c>
      <c r="E337" t="inlineStr">
        <is>
          <t>Retail</t>
        </is>
      </c>
      <c r="F337" t="inlineStr">
        <is>
          <t>Transactional</t>
        </is>
      </c>
      <c r="G337" t="inlineStr">
        <is>
          <t>BOFU</t>
        </is>
      </c>
      <c r="H337" t="inlineStr">
        <is>
          <t>Dubai</t>
        </is>
      </c>
      <c r="I337" t="inlineStr">
        <is>
          <t>Shop / category page</t>
        </is>
      </c>
      <c r="J337" t="inlineStr">
        <is>
          <t>Category</t>
        </is>
      </c>
      <c r="K337">
        <f>IFERROR(VLOOKUP($A337,'Semrush Import'!$A:$D,2,FALSE),"")</f>
        <v/>
      </c>
      <c r="L337">
        <f>IFERROR(VLOOKUP($A337,'Semrush Import'!$A:$D,3,FALSE),"")</f>
        <v/>
      </c>
      <c r="M337">
        <f>IFERROR(VLOOKUP($A337,'Semrush Import'!$A:$D,4,FALSE),"")</f>
        <v/>
      </c>
      <c r="N337">
        <f>IFERROR(VLOOKUP($A337,'KP Import'!$A:$B,2,FALSE),"")</f>
        <v/>
      </c>
      <c r="O337">
        <f>IF(K337="","",ROUND(K337/(L337+10),1))</f>
        <v/>
      </c>
      <c r="P337">
        <f>IF(O337="","",IF(O337&gt;=20,"A - Go first",IF(O337&gt;=5,"B - Next","C - Later")))</f>
        <v/>
      </c>
      <c r="Q337" t="inlineStr">
        <is>
          <t>To research</t>
        </is>
      </c>
      <c r="R337" t="inlineStr"/>
    </row>
    <row r="338">
      <c r="A338" t="inlineStr">
        <is>
          <t>rice discount uae</t>
        </is>
      </c>
      <c r="B338" t="inlineStr">
        <is>
          <t>Phase 2 - B2C (later)</t>
        </is>
      </c>
      <c r="C338" t="inlineStr">
        <is>
          <t>Consumer / household</t>
        </is>
      </c>
      <c r="D338" t="inlineStr">
        <is>
          <t>Retail/B2C</t>
        </is>
      </c>
      <c r="E338" t="inlineStr">
        <is>
          <t>Retail</t>
        </is>
      </c>
      <c r="F338" t="inlineStr">
        <is>
          <t>Transactional</t>
        </is>
      </c>
      <c r="G338" t="inlineStr">
        <is>
          <t>BOFU</t>
        </is>
      </c>
      <c r="H338" t="inlineStr">
        <is>
          <t>UAE</t>
        </is>
      </c>
      <c r="I338" t="inlineStr">
        <is>
          <t>Shop / category page</t>
        </is>
      </c>
      <c r="J338" t="inlineStr">
        <is>
          <t>Category</t>
        </is>
      </c>
      <c r="K338">
        <f>IFERROR(VLOOKUP($A338,'Semrush Import'!$A:$D,2,FALSE),"")</f>
        <v/>
      </c>
      <c r="L338">
        <f>IFERROR(VLOOKUP($A338,'Semrush Import'!$A:$D,3,FALSE),"")</f>
        <v/>
      </c>
      <c r="M338">
        <f>IFERROR(VLOOKUP($A338,'Semrush Import'!$A:$D,4,FALSE),"")</f>
        <v/>
      </c>
      <c r="N338">
        <f>IFERROR(VLOOKUP($A338,'KP Import'!$A:$B,2,FALSE),"")</f>
        <v/>
      </c>
      <c r="O338">
        <f>IF(K338="","",ROUND(K338/(L338+10),1))</f>
        <v/>
      </c>
      <c r="P338">
        <f>IF(O338="","",IF(O338&gt;=20,"A - Go first",IF(O338&gt;=5,"B - Next","C - Later")))</f>
        <v/>
      </c>
      <c r="Q338" t="inlineStr">
        <is>
          <t>To research</t>
        </is>
      </c>
      <c r="R338" t="inlineStr"/>
    </row>
    <row r="339">
      <c r="A339" t="inlineStr">
        <is>
          <t>rice price today dubai</t>
        </is>
      </c>
      <c r="B339" t="inlineStr">
        <is>
          <t>Phase 2 - B2C (later)</t>
        </is>
      </c>
      <c r="C339" t="inlineStr">
        <is>
          <t>Consumer / household</t>
        </is>
      </c>
      <c r="D339" t="inlineStr">
        <is>
          <t>Retail/B2C</t>
        </is>
      </c>
      <c r="E339" t="inlineStr">
        <is>
          <t>Retail</t>
        </is>
      </c>
      <c r="F339" t="inlineStr">
        <is>
          <t>Transactional</t>
        </is>
      </c>
      <c r="G339" t="inlineStr">
        <is>
          <t>BOFU</t>
        </is>
      </c>
      <c r="H339" t="inlineStr">
        <is>
          <t>Dubai</t>
        </is>
      </c>
      <c r="I339" t="inlineStr">
        <is>
          <t>Shop / category page</t>
        </is>
      </c>
      <c r="J339" t="inlineStr">
        <is>
          <t>Category</t>
        </is>
      </c>
      <c r="K339">
        <f>IFERROR(VLOOKUP($A339,'Semrush Import'!$A:$D,2,FALSE),"")</f>
        <v/>
      </c>
      <c r="L339">
        <f>IFERROR(VLOOKUP($A339,'Semrush Import'!$A:$D,3,FALSE),"")</f>
        <v/>
      </c>
      <c r="M339">
        <f>IFERROR(VLOOKUP($A339,'Semrush Import'!$A:$D,4,FALSE),"")</f>
        <v/>
      </c>
      <c r="N339">
        <f>IFERROR(VLOOKUP($A339,'KP Import'!$A:$B,2,FALSE),"")</f>
        <v/>
      </c>
      <c r="O339">
        <f>IF(K339="","",ROUND(K339/(L339+10),1))</f>
        <v/>
      </c>
      <c r="P339">
        <f>IF(O339="","",IF(O339&gt;=20,"A - Go first",IF(O339&gt;=5,"B - Next","C - Later")))</f>
        <v/>
      </c>
      <c r="Q339" t="inlineStr">
        <is>
          <t>To research</t>
        </is>
      </c>
      <c r="R339" t="inlineStr"/>
    </row>
    <row r="340">
      <c r="A340" t="inlineStr">
        <is>
          <t>rice price list uae</t>
        </is>
      </c>
      <c r="B340" t="inlineStr">
        <is>
          <t>Phase 2 - B2C (later)</t>
        </is>
      </c>
      <c r="C340" t="inlineStr">
        <is>
          <t>Consumer / household</t>
        </is>
      </c>
      <c r="D340" t="inlineStr">
        <is>
          <t>Retail/B2C</t>
        </is>
      </c>
      <c r="E340" t="inlineStr">
        <is>
          <t>Retail</t>
        </is>
      </c>
      <c r="F340" t="inlineStr">
        <is>
          <t>Transactional</t>
        </is>
      </c>
      <c r="G340" t="inlineStr">
        <is>
          <t>BOFU</t>
        </is>
      </c>
      <c r="H340" t="inlineStr">
        <is>
          <t>UAE</t>
        </is>
      </c>
      <c r="I340" t="inlineStr">
        <is>
          <t>Shop / category page</t>
        </is>
      </c>
      <c r="J340" t="inlineStr">
        <is>
          <t>Category</t>
        </is>
      </c>
      <c r="K340">
        <f>IFERROR(VLOOKUP($A340,'Semrush Import'!$A:$D,2,FALSE),"")</f>
        <v/>
      </c>
      <c r="L340">
        <f>IFERROR(VLOOKUP($A340,'Semrush Import'!$A:$D,3,FALSE),"")</f>
        <v/>
      </c>
      <c r="M340">
        <f>IFERROR(VLOOKUP($A340,'Semrush Import'!$A:$D,4,FALSE),"")</f>
        <v/>
      </c>
      <c r="N340">
        <f>IFERROR(VLOOKUP($A340,'KP Import'!$A:$B,2,FALSE),"")</f>
        <v/>
      </c>
      <c r="O340">
        <f>IF(K340="","",ROUND(K340/(L340+10),1))</f>
        <v/>
      </c>
      <c r="P340">
        <f>IF(O340="","",IF(O340&gt;=20,"A - Go first",IF(O340&gt;=5,"B - Next","C - Later")))</f>
        <v/>
      </c>
      <c r="Q340" t="inlineStr">
        <is>
          <t>To research</t>
        </is>
      </c>
      <c r="R340" t="inlineStr"/>
    </row>
    <row r="341">
      <c r="A341" t="inlineStr">
        <is>
          <t>rice shop dubai</t>
        </is>
      </c>
      <c r="B341" t="inlineStr">
        <is>
          <t>Phase 2 - B2C (later)</t>
        </is>
      </c>
      <c r="C341" t="inlineStr">
        <is>
          <t>Consumer / household</t>
        </is>
      </c>
      <c r="D341" t="inlineStr">
        <is>
          <t>Retail/B2C</t>
        </is>
      </c>
      <c r="E341" t="inlineStr">
        <is>
          <t>Retail</t>
        </is>
      </c>
      <c r="F341" t="inlineStr">
        <is>
          <t>Transactional</t>
        </is>
      </c>
      <c r="G341" t="inlineStr">
        <is>
          <t>BOFU</t>
        </is>
      </c>
      <c r="H341" t="inlineStr">
        <is>
          <t>Dubai</t>
        </is>
      </c>
      <c r="I341" t="inlineStr">
        <is>
          <t>Shop / category page</t>
        </is>
      </c>
      <c r="J341" t="inlineStr">
        <is>
          <t>Category</t>
        </is>
      </c>
      <c r="K341">
        <f>IFERROR(VLOOKUP($A341,'Semrush Import'!$A:$D,2,FALSE),"")</f>
        <v/>
      </c>
      <c r="L341">
        <f>IFERROR(VLOOKUP($A341,'Semrush Import'!$A:$D,3,FALSE),"")</f>
        <v/>
      </c>
      <c r="M341">
        <f>IFERROR(VLOOKUP($A341,'Semrush Import'!$A:$D,4,FALSE),"")</f>
        <v/>
      </c>
      <c r="N341">
        <f>IFERROR(VLOOKUP($A341,'KP Import'!$A:$B,2,FALSE),"")</f>
        <v/>
      </c>
      <c r="O341">
        <f>IF(K341="","",ROUND(K341/(L341+10),1))</f>
        <v/>
      </c>
      <c r="P341">
        <f>IF(O341="","",IF(O341&gt;=20,"A - Go first",IF(O341&gt;=5,"B - Next","C - Later")))</f>
        <v/>
      </c>
      <c r="Q341" t="inlineStr">
        <is>
          <t>To research</t>
        </is>
      </c>
      <c r="R341" t="inlineStr"/>
    </row>
    <row r="342">
      <c r="A342" t="inlineStr">
        <is>
          <t>rice shop near me</t>
        </is>
      </c>
      <c r="B342" t="inlineStr">
        <is>
          <t>Phase 2 - B2C (later)</t>
        </is>
      </c>
      <c r="C342" t="inlineStr">
        <is>
          <t>Consumer / household</t>
        </is>
      </c>
      <c r="D342" t="inlineStr">
        <is>
          <t>Retail/B2C</t>
        </is>
      </c>
      <c r="E342" t="inlineStr">
        <is>
          <t>Retail</t>
        </is>
      </c>
      <c r="F342" t="inlineStr">
        <is>
          <t>Transactional</t>
        </is>
      </c>
      <c r="G342" t="inlineStr">
        <is>
          <t>BOFU</t>
        </is>
      </c>
      <c r="H342" t="inlineStr">
        <is>
          <t>UAE</t>
        </is>
      </c>
      <c r="I342" t="inlineStr">
        <is>
          <t>Shop / category page</t>
        </is>
      </c>
      <c r="J342" t="inlineStr">
        <is>
          <t>Category</t>
        </is>
      </c>
      <c r="K342">
        <f>IFERROR(VLOOKUP($A342,'Semrush Import'!$A:$D,2,FALSE),"")</f>
        <v/>
      </c>
      <c r="L342">
        <f>IFERROR(VLOOKUP($A342,'Semrush Import'!$A:$D,3,FALSE),"")</f>
        <v/>
      </c>
      <c r="M342">
        <f>IFERROR(VLOOKUP($A342,'Semrush Import'!$A:$D,4,FALSE),"")</f>
        <v/>
      </c>
      <c r="N342">
        <f>IFERROR(VLOOKUP($A342,'KP Import'!$A:$B,2,FALSE),"")</f>
        <v/>
      </c>
      <c r="O342">
        <f>IF(K342="","",ROUND(K342/(L342+10),1))</f>
        <v/>
      </c>
      <c r="P342">
        <f>IF(O342="","",IF(O342&gt;=20,"A - Go first",IF(O342&gt;=5,"B - Next","C - Later")))</f>
        <v/>
      </c>
      <c r="Q342" t="inlineStr">
        <is>
          <t>To research</t>
        </is>
      </c>
      <c r="R342" t="inlineStr"/>
    </row>
    <row r="343">
      <c r="A343" t="inlineStr">
        <is>
          <t>same day rice delivery dubai</t>
        </is>
      </c>
      <c r="B343" t="inlineStr">
        <is>
          <t>Phase 2 - B2C (later)</t>
        </is>
      </c>
      <c r="C343" t="inlineStr">
        <is>
          <t>Consumer / household</t>
        </is>
      </c>
      <c r="D343" t="inlineStr">
        <is>
          <t>Retail/B2C</t>
        </is>
      </c>
      <c r="E343" t="inlineStr">
        <is>
          <t>Retail</t>
        </is>
      </c>
      <c r="F343" t="inlineStr">
        <is>
          <t>Transactional</t>
        </is>
      </c>
      <c r="G343" t="inlineStr">
        <is>
          <t>BOFU</t>
        </is>
      </c>
      <c r="H343" t="inlineStr">
        <is>
          <t>Dubai</t>
        </is>
      </c>
      <c r="I343" t="inlineStr">
        <is>
          <t>Shop / category page</t>
        </is>
      </c>
      <c r="J343" t="inlineStr">
        <is>
          <t>Category</t>
        </is>
      </c>
      <c r="K343">
        <f>IFERROR(VLOOKUP($A343,'Semrush Import'!$A:$D,2,FALSE),"")</f>
        <v/>
      </c>
      <c r="L343">
        <f>IFERROR(VLOOKUP($A343,'Semrush Import'!$A:$D,3,FALSE),"")</f>
        <v/>
      </c>
      <c r="M343">
        <f>IFERROR(VLOOKUP($A343,'Semrush Import'!$A:$D,4,FALSE),"")</f>
        <v/>
      </c>
      <c r="N343">
        <f>IFERROR(VLOOKUP($A343,'KP Import'!$A:$B,2,FALSE),"")</f>
        <v/>
      </c>
      <c r="O343">
        <f>IF(K343="","",ROUND(K343/(L343+10),1))</f>
        <v/>
      </c>
      <c r="P343">
        <f>IF(O343="","",IF(O343&gt;=20,"A - Go first",IF(O343&gt;=5,"B - Next","C - Later")))</f>
        <v/>
      </c>
      <c r="Q343" t="inlineStr">
        <is>
          <t>To research</t>
        </is>
      </c>
      <c r="R343" t="inlineStr"/>
    </row>
    <row r="344">
      <c r="A344" t="inlineStr">
        <is>
          <t>cash on delivery rice uae</t>
        </is>
      </c>
      <c r="B344" t="inlineStr">
        <is>
          <t>Phase 2 - B2C (later)</t>
        </is>
      </c>
      <c r="C344" t="inlineStr">
        <is>
          <t>Consumer / household</t>
        </is>
      </c>
      <c r="D344" t="inlineStr">
        <is>
          <t>Retail/B2C</t>
        </is>
      </c>
      <c r="E344" t="inlineStr">
        <is>
          <t>Retail</t>
        </is>
      </c>
      <c r="F344" t="inlineStr">
        <is>
          <t>Transactional</t>
        </is>
      </c>
      <c r="G344" t="inlineStr">
        <is>
          <t>BOFU</t>
        </is>
      </c>
      <c r="H344" t="inlineStr">
        <is>
          <t>UAE</t>
        </is>
      </c>
      <c r="I344" t="inlineStr">
        <is>
          <t>Shop / category page</t>
        </is>
      </c>
      <c r="J344" t="inlineStr">
        <is>
          <t>Category</t>
        </is>
      </c>
      <c r="K344">
        <f>IFERROR(VLOOKUP($A344,'Semrush Import'!$A:$D,2,FALSE),"")</f>
        <v/>
      </c>
      <c r="L344">
        <f>IFERROR(VLOOKUP($A344,'Semrush Import'!$A:$D,3,FALSE),"")</f>
        <v/>
      </c>
      <c r="M344">
        <f>IFERROR(VLOOKUP($A344,'Semrush Import'!$A:$D,4,FALSE),"")</f>
        <v/>
      </c>
      <c r="N344">
        <f>IFERROR(VLOOKUP($A344,'KP Import'!$A:$B,2,FALSE),"")</f>
        <v/>
      </c>
      <c r="O344">
        <f>IF(K344="","",ROUND(K344/(L344+10),1))</f>
        <v/>
      </c>
      <c r="P344">
        <f>IF(O344="","",IF(O344&gt;=20,"A - Go first",IF(O344&gt;=5,"B - Next","C - Later")))</f>
        <v/>
      </c>
      <c r="Q344" t="inlineStr">
        <is>
          <t>To research</t>
        </is>
      </c>
      <c r="R344" t="inlineStr"/>
    </row>
    <row r="345">
      <c r="A345" t="inlineStr">
        <is>
          <t>rice subscription uae</t>
        </is>
      </c>
      <c r="B345" t="inlineStr">
        <is>
          <t>Phase 2 - B2C (later)</t>
        </is>
      </c>
      <c r="C345" t="inlineStr">
        <is>
          <t>Consumer / household</t>
        </is>
      </c>
      <c r="D345" t="inlineStr">
        <is>
          <t>Retail/B2C</t>
        </is>
      </c>
      <c r="E345" t="inlineStr">
        <is>
          <t>Retail</t>
        </is>
      </c>
      <c r="F345" t="inlineStr">
        <is>
          <t>Transactional</t>
        </is>
      </c>
      <c r="G345" t="inlineStr">
        <is>
          <t>BOFU</t>
        </is>
      </c>
      <c r="H345" t="inlineStr">
        <is>
          <t>UAE</t>
        </is>
      </c>
      <c r="I345" t="inlineStr">
        <is>
          <t>Shop / category page</t>
        </is>
      </c>
      <c r="J345" t="inlineStr">
        <is>
          <t>Category</t>
        </is>
      </c>
      <c r="K345">
        <f>IFERROR(VLOOKUP($A345,'Semrush Import'!$A:$D,2,FALSE),"")</f>
        <v/>
      </c>
      <c r="L345">
        <f>IFERROR(VLOOKUP($A345,'Semrush Import'!$A:$D,3,FALSE),"")</f>
        <v/>
      </c>
      <c r="M345">
        <f>IFERROR(VLOOKUP($A345,'Semrush Import'!$A:$D,4,FALSE),"")</f>
        <v/>
      </c>
      <c r="N345">
        <f>IFERROR(VLOOKUP($A345,'KP Import'!$A:$B,2,FALSE),"")</f>
        <v/>
      </c>
      <c r="O345">
        <f>IF(K345="","",ROUND(K345/(L345+10),1))</f>
        <v/>
      </c>
      <c r="P345">
        <f>IF(O345="","",IF(O345&gt;=20,"A - Go first",IF(O345&gt;=5,"B - Next","C - Later")))</f>
        <v/>
      </c>
      <c r="Q345" t="inlineStr">
        <is>
          <t>To research</t>
        </is>
      </c>
      <c r="R345" t="inlineStr"/>
    </row>
    <row r="346">
      <c r="A346" t="inlineStr">
        <is>
          <t>monthly grocery rice dubai</t>
        </is>
      </c>
      <c r="B346" t="inlineStr">
        <is>
          <t>Phase 2 - B2C (later)</t>
        </is>
      </c>
      <c r="C346" t="inlineStr">
        <is>
          <t>Consumer / household</t>
        </is>
      </c>
      <c r="D346" t="inlineStr">
        <is>
          <t>Retail/B2C</t>
        </is>
      </c>
      <c r="E346" t="inlineStr">
        <is>
          <t>Retail</t>
        </is>
      </c>
      <c r="F346" t="inlineStr">
        <is>
          <t>Transactional</t>
        </is>
      </c>
      <c r="G346" t="inlineStr">
        <is>
          <t>BOFU</t>
        </is>
      </c>
      <c r="H346" t="inlineStr">
        <is>
          <t>Dubai</t>
        </is>
      </c>
      <c r="I346" t="inlineStr">
        <is>
          <t>Shop / category page</t>
        </is>
      </c>
      <c r="J346" t="inlineStr">
        <is>
          <t>Category</t>
        </is>
      </c>
      <c r="K346">
        <f>IFERROR(VLOOKUP($A346,'Semrush Import'!$A:$D,2,FALSE),"")</f>
        <v/>
      </c>
      <c r="L346">
        <f>IFERROR(VLOOKUP($A346,'Semrush Import'!$A:$D,3,FALSE),"")</f>
        <v/>
      </c>
      <c r="M346">
        <f>IFERROR(VLOOKUP($A346,'Semrush Import'!$A:$D,4,FALSE),"")</f>
        <v/>
      </c>
      <c r="N346">
        <f>IFERROR(VLOOKUP($A346,'KP Import'!$A:$B,2,FALSE),"")</f>
        <v/>
      </c>
      <c r="O346">
        <f>IF(K346="","",ROUND(K346/(L346+10),1))</f>
        <v/>
      </c>
      <c r="P346">
        <f>IF(O346="","",IF(O346&gt;=20,"A - Go first",IF(O346&gt;=5,"B - Next","C - Later")))</f>
        <v/>
      </c>
      <c r="Q346" t="inlineStr">
        <is>
          <t>To research</t>
        </is>
      </c>
      <c r="R346" t="inlineStr"/>
    </row>
    <row r="347">
      <c r="A347" t="inlineStr">
        <is>
          <t>rice cod dubai</t>
        </is>
      </c>
      <c r="B347" t="inlineStr">
        <is>
          <t>Phase 2 - B2C (later)</t>
        </is>
      </c>
      <c r="C347" t="inlineStr">
        <is>
          <t>Consumer / household</t>
        </is>
      </c>
      <c r="D347" t="inlineStr">
        <is>
          <t>Retail/B2C</t>
        </is>
      </c>
      <c r="E347" t="inlineStr">
        <is>
          <t>Retail</t>
        </is>
      </c>
      <c r="F347" t="inlineStr">
        <is>
          <t>Transactional</t>
        </is>
      </c>
      <c r="G347" t="inlineStr">
        <is>
          <t>BOFU</t>
        </is>
      </c>
      <c r="H347" t="inlineStr">
        <is>
          <t>Dubai</t>
        </is>
      </c>
      <c r="I347" t="inlineStr">
        <is>
          <t>Shop / category page</t>
        </is>
      </c>
      <c r="J347" t="inlineStr">
        <is>
          <t>Category</t>
        </is>
      </c>
      <c r="K347">
        <f>IFERROR(VLOOKUP($A347,'Semrush Import'!$A:$D,2,FALSE),"")</f>
        <v/>
      </c>
      <c r="L347">
        <f>IFERROR(VLOOKUP($A347,'Semrush Import'!$A:$D,3,FALSE),"")</f>
        <v/>
      </c>
      <c r="M347">
        <f>IFERROR(VLOOKUP($A347,'Semrush Import'!$A:$D,4,FALSE),"")</f>
        <v/>
      </c>
      <c r="N347">
        <f>IFERROR(VLOOKUP($A347,'KP Import'!$A:$B,2,FALSE),"")</f>
        <v/>
      </c>
      <c r="O347">
        <f>IF(K347="","",ROUND(K347/(L347+10),1))</f>
        <v/>
      </c>
      <c r="P347">
        <f>IF(O347="","",IF(O347&gt;=20,"A - Go first",IF(O347&gt;=5,"B - Next","C - Later")))</f>
        <v/>
      </c>
      <c r="Q347" t="inlineStr">
        <is>
          <t>To research</t>
        </is>
      </c>
      <c r="R347" t="inlineStr"/>
    </row>
    <row r="348">
      <c r="A348" t="inlineStr">
        <is>
          <t>rice online shopping uae</t>
        </is>
      </c>
      <c r="B348" t="inlineStr">
        <is>
          <t>Phase 2 - B2C (later)</t>
        </is>
      </c>
      <c r="C348" t="inlineStr">
        <is>
          <t>Consumer / household</t>
        </is>
      </c>
      <c r="D348" t="inlineStr">
        <is>
          <t>Retail/B2C</t>
        </is>
      </c>
      <c r="E348" t="inlineStr">
        <is>
          <t>Retail</t>
        </is>
      </c>
      <c r="F348" t="inlineStr">
        <is>
          <t>Transactional</t>
        </is>
      </c>
      <c r="G348" t="inlineStr">
        <is>
          <t>BOFU</t>
        </is>
      </c>
      <c r="H348" t="inlineStr">
        <is>
          <t>UAE</t>
        </is>
      </c>
      <c r="I348" t="inlineStr">
        <is>
          <t>Shop / category page</t>
        </is>
      </c>
      <c r="J348" t="inlineStr">
        <is>
          <t>Category</t>
        </is>
      </c>
      <c r="K348">
        <f>IFERROR(VLOOKUP($A348,'Semrush Import'!$A:$D,2,FALSE),"")</f>
        <v/>
      </c>
      <c r="L348">
        <f>IFERROR(VLOOKUP($A348,'Semrush Import'!$A:$D,3,FALSE),"")</f>
        <v/>
      </c>
      <c r="M348">
        <f>IFERROR(VLOOKUP($A348,'Semrush Import'!$A:$D,4,FALSE),"")</f>
        <v/>
      </c>
      <c r="N348">
        <f>IFERROR(VLOOKUP($A348,'KP Import'!$A:$B,2,FALSE),"")</f>
        <v/>
      </c>
      <c r="O348">
        <f>IF(K348="","",ROUND(K348/(L348+10),1))</f>
        <v/>
      </c>
      <c r="P348">
        <f>IF(O348="","",IF(O348&gt;=20,"A - Go first",IF(O348&gt;=5,"B - Next","C - Later")))</f>
        <v/>
      </c>
      <c r="Q348" t="inlineStr">
        <is>
          <t>To research</t>
        </is>
      </c>
      <c r="R348" t="inlineStr"/>
    </row>
    <row r="349">
      <c r="A349" t="inlineStr">
        <is>
          <t>halal rice uae</t>
        </is>
      </c>
      <c r="B349" t="inlineStr">
        <is>
          <t>Phase 2 - B2C (later)</t>
        </is>
      </c>
      <c r="C349" t="inlineStr">
        <is>
          <t>Consumer / household</t>
        </is>
      </c>
      <c r="D349" t="inlineStr">
        <is>
          <t>Retail/B2C</t>
        </is>
      </c>
      <c r="E349" t="inlineStr">
        <is>
          <t>Retail</t>
        </is>
      </c>
      <c r="F349" t="inlineStr">
        <is>
          <t>Transactional</t>
        </is>
      </c>
      <c r="G349" t="inlineStr">
        <is>
          <t>BOFU</t>
        </is>
      </c>
      <c r="H349" t="inlineStr">
        <is>
          <t>UAE</t>
        </is>
      </c>
      <c r="I349" t="inlineStr">
        <is>
          <t>Shop / category page</t>
        </is>
      </c>
      <c r="J349" t="inlineStr">
        <is>
          <t>Category</t>
        </is>
      </c>
      <c r="K349">
        <f>IFERROR(VLOOKUP($A349,'Semrush Import'!$A:$D,2,FALSE),"")</f>
        <v/>
      </c>
      <c r="L349">
        <f>IFERROR(VLOOKUP($A349,'Semrush Import'!$A:$D,3,FALSE),"")</f>
        <v/>
      </c>
      <c r="M349">
        <f>IFERROR(VLOOKUP($A349,'Semrush Import'!$A:$D,4,FALSE),"")</f>
        <v/>
      </c>
      <c r="N349">
        <f>IFERROR(VLOOKUP($A349,'KP Import'!$A:$B,2,FALSE),"")</f>
        <v/>
      </c>
      <c r="O349">
        <f>IF(K349="","",ROUND(K349/(L349+10),1))</f>
        <v/>
      </c>
      <c r="P349">
        <f>IF(O349="","",IF(O349&gt;=20,"A - Go first",IF(O349&gt;=5,"B - Next","C - Later")))</f>
        <v/>
      </c>
      <c r="Q349" t="inlineStr">
        <is>
          <t>To research</t>
        </is>
      </c>
      <c r="R349" t="inlineStr"/>
    </row>
    <row r="350">
      <c r="A350" t="inlineStr">
        <is>
          <t>organic rice uae</t>
        </is>
      </c>
      <c r="B350" t="inlineStr">
        <is>
          <t>Phase 2 - B2C (later)</t>
        </is>
      </c>
      <c r="C350" t="inlineStr">
        <is>
          <t>Consumer / household</t>
        </is>
      </c>
      <c r="D350" t="inlineStr">
        <is>
          <t>Retail/B2C</t>
        </is>
      </c>
      <c r="E350" t="inlineStr">
        <is>
          <t>Retail</t>
        </is>
      </c>
      <c r="F350" t="inlineStr">
        <is>
          <t>Transactional</t>
        </is>
      </c>
      <c r="G350" t="inlineStr">
        <is>
          <t>BOFU</t>
        </is>
      </c>
      <c r="H350" t="inlineStr">
        <is>
          <t>UAE</t>
        </is>
      </c>
      <c r="I350" t="inlineStr">
        <is>
          <t>Shop / category page</t>
        </is>
      </c>
      <c r="J350" t="inlineStr">
        <is>
          <t>Category</t>
        </is>
      </c>
      <c r="K350">
        <f>IFERROR(VLOOKUP($A350,'Semrush Import'!$A:$D,2,FALSE),"")</f>
        <v/>
      </c>
      <c r="L350">
        <f>IFERROR(VLOOKUP($A350,'Semrush Import'!$A:$D,3,FALSE),"")</f>
        <v/>
      </c>
      <c r="M350">
        <f>IFERROR(VLOOKUP($A350,'Semrush Import'!$A:$D,4,FALSE),"")</f>
        <v/>
      </c>
      <c r="N350">
        <f>IFERROR(VLOOKUP($A350,'KP Import'!$A:$B,2,FALSE),"")</f>
        <v/>
      </c>
      <c r="O350">
        <f>IF(K350="","",ROUND(K350/(L350+10),1))</f>
        <v/>
      </c>
      <c r="P350">
        <f>IF(O350="","",IF(O350&gt;=20,"A - Go first",IF(O350&gt;=5,"B - Next","C - Later")))</f>
        <v/>
      </c>
      <c r="Q350" t="inlineStr">
        <is>
          <t>To research</t>
        </is>
      </c>
      <c r="R350" t="inlineStr"/>
    </row>
    <row r="351">
      <c r="A351" t="inlineStr">
        <is>
          <t>organic basmati rice dubai</t>
        </is>
      </c>
      <c r="B351" t="inlineStr">
        <is>
          <t>Phase 2 - B2C (later)</t>
        </is>
      </c>
      <c r="C351" t="inlineStr">
        <is>
          <t>Consumer / household</t>
        </is>
      </c>
      <c r="D351" t="inlineStr">
        <is>
          <t>Retail/B2C</t>
        </is>
      </c>
      <c r="E351" t="inlineStr">
        <is>
          <t>Retail</t>
        </is>
      </c>
      <c r="F351" t="inlineStr">
        <is>
          <t>Transactional</t>
        </is>
      </c>
      <c r="G351" t="inlineStr">
        <is>
          <t>BOFU</t>
        </is>
      </c>
      <c r="H351" t="inlineStr">
        <is>
          <t>Dubai</t>
        </is>
      </c>
      <c r="I351" t="inlineStr">
        <is>
          <t>Shop / category page</t>
        </is>
      </c>
      <c r="J351" t="inlineStr">
        <is>
          <t>Category</t>
        </is>
      </c>
      <c r="K351">
        <f>IFERROR(VLOOKUP($A351,'Semrush Import'!$A:$D,2,FALSE),"")</f>
        <v/>
      </c>
      <c r="L351">
        <f>IFERROR(VLOOKUP($A351,'Semrush Import'!$A:$D,3,FALSE),"")</f>
        <v/>
      </c>
      <c r="M351">
        <f>IFERROR(VLOOKUP($A351,'Semrush Import'!$A:$D,4,FALSE),"")</f>
        <v/>
      </c>
      <c r="N351">
        <f>IFERROR(VLOOKUP($A351,'KP Import'!$A:$B,2,FALSE),"")</f>
        <v/>
      </c>
      <c r="O351">
        <f>IF(K351="","",ROUND(K351/(L351+10),1))</f>
        <v/>
      </c>
      <c r="P351">
        <f>IF(O351="","",IF(O351&gt;=20,"A - Go first",IF(O351&gt;=5,"B - Next","C - Later")))</f>
        <v/>
      </c>
      <c r="Q351" t="inlineStr">
        <is>
          <t>To research</t>
        </is>
      </c>
      <c r="R351" t="inlineStr"/>
    </row>
    <row r="352">
      <c r="A352" t="inlineStr">
        <is>
          <t>gluten free rice uae</t>
        </is>
      </c>
      <c r="B352" t="inlineStr">
        <is>
          <t>Phase 2 - B2C (later)</t>
        </is>
      </c>
      <c r="C352" t="inlineStr">
        <is>
          <t>Consumer / household</t>
        </is>
      </c>
      <c r="D352" t="inlineStr">
        <is>
          <t>Retail/B2C</t>
        </is>
      </c>
      <c r="E352" t="inlineStr">
        <is>
          <t>Retail</t>
        </is>
      </c>
      <c r="F352" t="inlineStr">
        <is>
          <t>Transactional</t>
        </is>
      </c>
      <c r="G352" t="inlineStr">
        <is>
          <t>BOFU</t>
        </is>
      </c>
      <c r="H352" t="inlineStr">
        <is>
          <t>UAE</t>
        </is>
      </c>
      <c r="I352" t="inlineStr">
        <is>
          <t>Shop / category page</t>
        </is>
      </c>
      <c r="J352" t="inlineStr">
        <is>
          <t>Category</t>
        </is>
      </c>
      <c r="K352">
        <f>IFERROR(VLOOKUP($A352,'Semrush Import'!$A:$D,2,FALSE),"")</f>
        <v/>
      </c>
      <c r="L352">
        <f>IFERROR(VLOOKUP($A352,'Semrush Import'!$A:$D,3,FALSE),"")</f>
        <v/>
      </c>
      <c r="M352">
        <f>IFERROR(VLOOKUP($A352,'Semrush Import'!$A:$D,4,FALSE),"")</f>
        <v/>
      </c>
      <c r="N352">
        <f>IFERROR(VLOOKUP($A352,'KP Import'!$A:$B,2,FALSE),"")</f>
        <v/>
      </c>
      <c r="O352">
        <f>IF(K352="","",ROUND(K352/(L352+10),1))</f>
        <v/>
      </c>
      <c r="P352">
        <f>IF(O352="","",IF(O352&gt;=20,"A - Go first",IF(O352&gt;=5,"B - Next","C - Later")))</f>
        <v/>
      </c>
      <c r="Q352" t="inlineStr">
        <is>
          <t>To research</t>
        </is>
      </c>
      <c r="R352" t="inlineStr"/>
    </row>
    <row r="353">
      <c r="A353" t="inlineStr">
        <is>
          <t>export quality basmati rice uae</t>
        </is>
      </c>
      <c r="B353" t="inlineStr">
        <is>
          <t>Phase 2 - B2C (later)</t>
        </is>
      </c>
      <c r="C353" t="inlineStr">
        <is>
          <t>Consumer / household</t>
        </is>
      </c>
      <c r="D353" t="inlineStr">
        <is>
          <t>Retail/B2C</t>
        </is>
      </c>
      <c r="E353" t="inlineStr">
        <is>
          <t>Retail</t>
        </is>
      </c>
      <c r="F353" t="inlineStr">
        <is>
          <t>Transactional</t>
        </is>
      </c>
      <c r="G353" t="inlineStr">
        <is>
          <t>BOFU</t>
        </is>
      </c>
      <c r="H353" t="inlineStr">
        <is>
          <t>UAE</t>
        </is>
      </c>
      <c r="I353" t="inlineStr">
        <is>
          <t>Shop / category page</t>
        </is>
      </c>
      <c r="J353" t="inlineStr">
        <is>
          <t>Category</t>
        </is>
      </c>
      <c r="K353">
        <f>IFERROR(VLOOKUP($A353,'Semrush Import'!$A:$D,2,FALSE),"")</f>
        <v/>
      </c>
      <c r="L353">
        <f>IFERROR(VLOOKUP($A353,'Semrush Import'!$A:$D,3,FALSE),"")</f>
        <v/>
      </c>
      <c r="M353">
        <f>IFERROR(VLOOKUP($A353,'Semrush Import'!$A:$D,4,FALSE),"")</f>
        <v/>
      </c>
      <c r="N353">
        <f>IFERROR(VLOOKUP($A353,'KP Import'!$A:$B,2,FALSE),"")</f>
        <v/>
      </c>
      <c r="O353">
        <f>IF(K353="","",ROUND(K353/(L353+10),1))</f>
        <v/>
      </c>
      <c r="P353">
        <f>IF(O353="","",IF(O353&gt;=20,"A - Go first",IF(O353&gt;=5,"B - Next","C - Later")))</f>
        <v/>
      </c>
      <c r="Q353" t="inlineStr">
        <is>
          <t>To research</t>
        </is>
      </c>
      <c r="R353" t="inlineStr"/>
    </row>
    <row r="354">
      <c r="A354" t="inlineStr">
        <is>
          <t>basmati rice dubai</t>
        </is>
      </c>
      <c r="B354" t="inlineStr">
        <is>
          <t>Phase 1 - B2B now</t>
        </is>
      </c>
      <c r="C354" t="inlineStr">
        <is>
          <t>Wholesalers / bulk buyers</t>
        </is>
      </c>
      <c r="D354" t="inlineStr">
        <is>
          <t>Location</t>
        </is>
      </c>
      <c r="E354" t="inlineStr">
        <is>
          <t>Basmati Rice</t>
        </is>
      </c>
      <c r="F354" t="inlineStr">
        <is>
          <t>Local/Transactional</t>
        </is>
      </c>
      <c r="G354" t="inlineStr">
        <is>
          <t>BOFU</t>
        </is>
      </c>
      <c r="H354" t="inlineStr">
        <is>
          <t>Dubai</t>
        </is>
      </c>
      <c r="I354" t="inlineStr">
        <is>
          <t>Dubai location landing page</t>
        </is>
      </c>
      <c r="J354" t="inlineStr">
        <is>
          <t>Location landing</t>
        </is>
      </c>
      <c r="K354">
        <f>IFERROR(VLOOKUP($A354,'Semrush Import'!$A:$D,2,FALSE),"")</f>
        <v/>
      </c>
      <c r="L354">
        <f>IFERROR(VLOOKUP($A354,'Semrush Import'!$A:$D,3,FALSE),"")</f>
        <v/>
      </c>
      <c r="M354">
        <f>IFERROR(VLOOKUP($A354,'Semrush Import'!$A:$D,4,FALSE),"")</f>
        <v/>
      </c>
      <c r="N354">
        <f>IFERROR(VLOOKUP($A354,'KP Import'!$A:$B,2,FALSE),"")</f>
        <v/>
      </c>
      <c r="O354">
        <f>IF(K354="","",ROUND(K354/(L354+10),1))</f>
        <v/>
      </c>
      <c r="P354">
        <f>IF(O354="","",IF(O354&gt;=20,"A - Go first",IF(O354&gt;=5,"B - Next","C - Later")))</f>
        <v/>
      </c>
      <c r="Q354" t="inlineStr">
        <is>
          <t>To research</t>
        </is>
      </c>
      <c r="R354" t="inlineStr"/>
    </row>
    <row r="355">
      <c r="A355" t="inlineStr">
        <is>
          <t>buy rice online dubai</t>
        </is>
      </c>
      <c r="B355" t="inlineStr">
        <is>
          <t>Phase 2 - B2C (later)</t>
        </is>
      </c>
      <c r="C355" t="inlineStr">
        <is>
          <t>Consumer / household</t>
        </is>
      </c>
      <c r="D355" t="inlineStr">
        <is>
          <t>Location</t>
        </is>
      </c>
      <c r="E355" t="inlineStr">
        <is>
          <t>Buy Rice Online</t>
        </is>
      </c>
      <c r="F355" t="inlineStr">
        <is>
          <t>Local/Transactional</t>
        </is>
      </c>
      <c r="G355" t="inlineStr">
        <is>
          <t>BOFU</t>
        </is>
      </c>
      <c r="H355" t="inlineStr">
        <is>
          <t>Dubai</t>
        </is>
      </c>
      <c r="I355" t="inlineStr">
        <is>
          <t>Dubai location landing page</t>
        </is>
      </c>
      <c r="J355" t="inlineStr">
        <is>
          <t>Location landing</t>
        </is>
      </c>
      <c r="K355">
        <f>IFERROR(VLOOKUP($A355,'Semrush Import'!$A:$D,2,FALSE),"")</f>
        <v/>
      </c>
      <c r="L355">
        <f>IFERROR(VLOOKUP($A355,'Semrush Import'!$A:$D,3,FALSE),"")</f>
        <v/>
      </c>
      <c r="M355">
        <f>IFERROR(VLOOKUP($A355,'Semrush Import'!$A:$D,4,FALSE),"")</f>
        <v/>
      </c>
      <c r="N355">
        <f>IFERROR(VLOOKUP($A355,'KP Import'!$A:$B,2,FALSE),"")</f>
        <v/>
      </c>
      <c r="O355">
        <f>IF(K355="","",ROUND(K355/(L355+10),1))</f>
        <v/>
      </c>
      <c r="P355">
        <f>IF(O355="","",IF(O355&gt;=20,"A - Go first",IF(O355&gt;=5,"B - Next","C - Later")))</f>
        <v/>
      </c>
      <c r="Q355" t="inlineStr">
        <is>
          <t>To research</t>
        </is>
      </c>
      <c r="R355" t="inlineStr"/>
    </row>
    <row r="356">
      <c r="A356" t="inlineStr">
        <is>
          <t>sella basmati rice dubai</t>
        </is>
      </c>
      <c r="B356" t="inlineStr">
        <is>
          <t>Phase 1 - B2B now</t>
        </is>
      </c>
      <c r="C356" t="inlineStr">
        <is>
          <t>Wholesalers / bulk buyers</t>
        </is>
      </c>
      <c r="D356" t="inlineStr">
        <is>
          <t>Location</t>
        </is>
      </c>
      <c r="E356" t="inlineStr">
        <is>
          <t>Sella Basmati Rice</t>
        </is>
      </c>
      <c r="F356" t="inlineStr">
        <is>
          <t>Local/Transactional</t>
        </is>
      </c>
      <c r="G356" t="inlineStr">
        <is>
          <t>BOFU</t>
        </is>
      </c>
      <c r="H356" t="inlineStr">
        <is>
          <t>Dubai</t>
        </is>
      </c>
      <c r="I356" t="inlineStr">
        <is>
          <t>Dubai location landing page</t>
        </is>
      </c>
      <c r="J356" t="inlineStr">
        <is>
          <t>Location landing</t>
        </is>
      </c>
      <c r="K356">
        <f>IFERROR(VLOOKUP($A356,'Semrush Import'!$A:$D,2,FALSE),"")</f>
        <v/>
      </c>
      <c r="L356">
        <f>IFERROR(VLOOKUP($A356,'Semrush Import'!$A:$D,3,FALSE),"")</f>
        <v/>
      </c>
      <c r="M356">
        <f>IFERROR(VLOOKUP($A356,'Semrush Import'!$A:$D,4,FALSE),"")</f>
        <v/>
      </c>
      <c r="N356">
        <f>IFERROR(VLOOKUP($A356,'KP Import'!$A:$B,2,FALSE),"")</f>
        <v/>
      </c>
      <c r="O356">
        <f>IF(K356="","",ROUND(K356/(L356+10),1))</f>
        <v/>
      </c>
      <c r="P356">
        <f>IF(O356="","",IF(O356&gt;=20,"A - Go first",IF(O356&gt;=5,"B - Next","C - Later")))</f>
        <v/>
      </c>
      <c r="Q356" t="inlineStr">
        <is>
          <t>To research</t>
        </is>
      </c>
      <c r="R356" t="inlineStr"/>
    </row>
    <row r="357">
      <c r="A357" t="inlineStr">
        <is>
          <t>basmati rice abu dhabi</t>
        </is>
      </c>
      <c r="B357" t="inlineStr">
        <is>
          <t>Phase 1 - B2B now</t>
        </is>
      </c>
      <c r="C357" t="inlineStr">
        <is>
          <t>Wholesalers / bulk buyers</t>
        </is>
      </c>
      <c r="D357" t="inlineStr">
        <is>
          <t>Location</t>
        </is>
      </c>
      <c r="E357" t="inlineStr">
        <is>
          <t>Basmati Rice</t>
        </is>
      </c>
      <c r="F357" t="inlineStr">
        <is>
          <t>Local/Transactional</t>
        </is>
      </c>
      <c r="G357" t="inlineStr">
        <is>
          <t>BOFU</t>
        </is>
      </c>
      <c r="H357" t="inlineStr">
        <is>
          <t>Abu Dhabi</t>
        </is>
      </c>
      <c r="I357" t="inlineStr">
        <is>
          <t>Abu Dhabi location landing page</t>
        </is>
      </c>
      <c r="J357" t="inlineStr">
        <is>
          <t>Location landing</t>
        </is>
      </c>
      <c r="K357">
        <f>IFERROR(VLOOKUP($A357,'Semrush Import'!$A:$D,2,FALSE),"")</f>
        <v/>
      </c>
      <c r="L357">
        <f>IFERROR(VLOOKUP($A357,'Semrush Import'!$A:$D,3,FALSE),"")</f>
        <v/>
      </c>
      <c r="M357">
        <f>IFERROR(VLOOKUP($A357,'Semrush Import'!$A:$D,4,FALSE),"")</f>
        <v/>
      </c>
      <c r="N357">
        <f>IFERROR(VLOOKUP($A357,'KP Import'!$A:$B,2,FALSE),"")</f>
        <v/>
      </c>
      <c r="O357">
        <f>IF(K357="","",ROUND(K357/(L357+10),1))</f>
        <v/>
      </c>
      <c r="P357">
        <f>IF(O357="","",IF(O357&gt;=20,"A - Go first",IF(O357&gt;=5,"B - Next","C - Later")))</f>
        <v/>
      </c>
      <c r="Q357" t="inlineStr">
        <is>
          <t>To research</t>
        </is>
      </c>
      <c r="R357" t="inlineStr"/>
    </row>
    <row r="358">
      <c r="A358" t="inlineStr">
        <is>
          <t>rice wholesale abu dhabi</t>
        </is>
      </c>
      <c r="B358" t="inlineStr">
        <is>
          <t>Phase 2 - B2C (later)</t>
        </is>
      </c>
      <c r="C358" t="inlineStr">
        <is>
          <t>Consumer / household</t>
        </is>
      </c>
      <c r="D358" t="inlineStr">
        <is>
          <t>Location</t>
        </is>
      </c>
      <c r="E358" t="inlineStr">
        <is>
          <t>Rice Wholesale</t>
        </is>
      </c>
      <c r="F358" t="inlineStr">
        <is>
          <t>Local/Transactional</t>
        </is>
      </c>
      <c r="G358" t="inlineStr">
        <is>
          <t>BOFU</t>
        </is>
      </c>
      <c r="H358" t="inlineStr">
        <is>
          <t>Abu Dhabi</t>
        </is>
      </c>
      <c r="I358" t="inlineStr">
        <is>
          <t>Abu Dhabi location landing page</t>
        </is>
      </c>
      <c r="J358" t="inlineStr">
        <is>
          <t>Location landing</t>
        </is>
      </c>
      <c r="K358">
        <f>IFERROR(VLOOKUP($A358,'Semrush Import'!$A:$D,2,FALSE),"")</f>
        <v/>
      </c>
      <c r="L358">
        <f>IFERROR(VLOOKUP($A358,'Semrush Import'!$A:$D,3,FALSE),"")</f>
        <v/>
      </c>
      <c r="M358">
        <f>IFERROR(VLOOKUP($A358,'Semrush Import'!$A:$D,4,FALSE),"")</f>
        <v/>
      </c>
      <c r="N358">
        <f>IFERROR(VLOOKUP($A358,'KP Import'!$A:$B,2,FALSE),"")</f>
        <v/>
      </c>
      <c r="O358">
        <f>IF(K358="","",ROUND(K358/(L358+10),1))</f>
        <v/>
      </c>
      <c r="P358">
        <f>IF(O358="","",IF(O358&gt;=20,"A - Go first",IF(O358&gt;=5,"B - Next","C - Later")))</f>
        <v/>
      </c>
      <c r="Q358" t="inlineStr">
        <is>
          <t>To research</t>
        </is>
      </c>
      <c r="R358" t="inlineStr"/>
    </row>
    <row r="359">
      <c r="A359" t="inlineStr">
        <is>
          <t>buy rice online abu dhabi</t>
        </is>
      </c>
      <c r="B359" t="inlineStr">
        <is>
          <t>Phase 2 - B2C (later)</t>
        </is>
      </c>
      <c r="C359" t="inlineStr">
        <is>
          <t>Consumer / household</t>
        </is>
      </c>
      <c r="D359" t="inlineStr">
        <is>
          <t>Location</t>
        </is>
      </c>
      <c r="E359" t="inlineStr">
        <is>
          <t>Buy Rice Online</t>
        </is>
      </c>
      <c r="F359" t="inlineStr">
        <is>
          <t>Local/Transactional</t>
        </is>
      </c>
      <c r="G359" t="inlineStr">
        <is>
          <t>BOFU</t>
        </is>
      </c>
      <c r="H359" t="inlineStr">
        <is>
          <t>Abu Dhabi</t>
        </is>
      </c>
      <c r="I359" t="inlineStr">
        <is>
          <t>Abu Dhabi location landing page</t>
        </is>
      </c>
      <c r="J359" t="inlineStr">
        <is>
          <t>Location landing</t>
        </is>
      </c>
      <c r="K359">
        <f>IFERROR(VLOOKUP($A359,'Semrush Import'!$A:$D,2,FALSE),"")</f>
        <v/>
      </c>
      <c r="L359">
        <f>IFERROR(VLOOKUP($A359,'Semrush Import'!$A:$D,3,FALSE),"")</f>
        <v/>
      </c>
      <c r="M359">
        <f>IFERROR(VLOOKUP($A359,'Semrush Import'!$A:$D,4,FALSE),"")</f>
        <v/>
      </c>
      <c r="N359">
        <f>IFERROR(VLOOKUP($A359,'KP Import'!$A:$B,2,FALSE),"")</f>
        <v/>
      </c>
      <c r="O359">
        <f>IF(K359="","",ROUND(K359/(L359+10),1))</f>
        <v/>
      </c>
      <c r="P359">
        <f>IF(O359="","",IF(O359&gt;=20,"A - Go first",IF(O359&gt;=5,"B - Next","C - Later")))</f>
        <v/>
      </c>
      <c r="Q359" t="inlineStr">
        <is>
          <t>To research</t>
        </is>
      </c>
      <c r="R359" t="inlineStr"/>
    </row>
    <row r="360">
      <c r="A360" t="inlineStr">
        <is>
          <t>rice delivery abu dhabi</t>
        </is>
      </c>
      <c r="B360" t="inlineStr">
        <is>
          <t>Phase 2 - B2C (later)</t>
        </is>
      </c>
      <c r="C360" t="inlineStr">
        <is>
          <t>Consumer / household</t>
        </is>
      </c>
      <c r="D360" t="inlineStr">
        <is>
          <t>Location</t>
        </is>
      </c>
      <c r="E360" t="inlineStr">
        <is>
          <t>Rice Delivery</t>
        </is>
      </c>
      <c r="F360" t="inlineStr">
        <is>
          <t>Local/Transactional</t>
        </is>
      </c>
      <c r="G360" t="inlineStr">
        <is>
          <t>BOFU</t>
        </is>
      </c>
      <c r="H360" t="inlineStr">
        <is>
          <t>Abu Dhabi</t>
        </is>
      </c>
      <c r="I360" t="inlineStr">
        <is>
          <t>Abu Dhabi location landing page</t>
        </is>
      </c>
      <c r="J360" t="inlineStr">
        <is>
          <t>Location landing</t>
        </is>
      </c>
      <c r="K360">
        <f>IFERROR(VLOOKUP($A360,'Semrush Import'!$A:$D,2,FALSE),"")</f>
        <v/>
      </c>
      <c r="L360">
        <f>IFERROR(VLOOKUP($A360,'Semrush Import'!$A:$D,3,FALSE),"")</f>
        <v/>
      </c>
      <c r="M360">
        <f>IFERROR(VLOOKUP($A360,'Semrush Import'!$A:$D,4,FALSE),"")</f>
        <v/>
      </c>
      <c r="N360">
        <f>IFERROR(VLOOKUP($A360,'KP Import'!$A:$B,2,FALSE),"")</f>
        <v/>
      </c>
      <c r="O360">
        <f>IF(K360="","",ROUND(K360/(L360+10),1))</f>
        <v/>
      </c>
      <c r="P360">
        <f>IF(O360="","",IF(O360&gt;=20,"A - Go first",IF(O360&gt;=5,"B - Next","C - Later")))</f>
        <v/>
      </c>
      <c r="Q360" t="inlineStr">
        <is>
          <t>To research</t>
        </is>
      </c>
      <c r="R360" t="inlineStr"/>
    </row>
    <row r="361">
      <c r="A361" t="inlineStr">
        <is>
          <t>sella basmati rice abu dhabi</t>
        </is>
      </c>
      <c r="B361" t="inlineStr">
        <is>
          <t>Phase 1 - B2B now</t>
        </is>
      </c>
      <c r="C361" t="inlineStr">
        <is>
          <t>Wholesalers / bulk buyers</t>
        </is>
      </c>
      <c r="D361" t="inlineStr">
        <is>
          <t>Location</t>
        </is>
      </c>
      <c r="E361" t="inlineStr">
        <is>
          <t>Sella Basmati Rice</t>
        </is>
      </c>
      <c r="F361" t="inlineStr">
        <is>
          <t>Local/Transactional</t>
        </is>
      </c>
      <c r="G361" t="inlineStr">
        <is>
          <t>BOFU</t>
        </is>
      </c>
      <c r="H361" t="inlineStr">
        <is>
          <t>Abu Dhabi</t>
        </is>
      </c>
      <c r="I361" t="inlineStr">
        <is>
          <t>Abu Dhabi location landing page</t>
        </is>
      </c>
      <c r="J361" t="inlineStr">
        <is>
          <t>Location landing</t>
        </is>
      </c>
      <c r="K361">
        <f>IFERROR(VLOOKUP($A361,'Semrush Import'!$A:$D,2,FALSE),"")</f>
        <v/>
      </c>
      <c r="L361">
        <f>IFERROR(VLOOKUP($A361,'Semrush Import'!$A:$D,3,FALSE),"")</f>
        <v/>
      </c>
      <c r="M361">
        <f>IFERROR(VLOOKUP($A361,'Semrush Import'!$A:$D,4,FALSE),"")</f>
        <v/>
      </c>
      <c r="N361">
        <f>IFERROR(VLOOKUP($A361,'KP Import'!$A:$B,2,FALSE),"")</f>
        <v/>
      </c>
      <c r="O361">
        <f>IF(K361="","",ROUND(K361/(L361+10),1))</f>
        <v/>
      </c>
      <c r="P361">
        <f>IF(O361="","",IF(O361&gt;=20,"A - Go first",IF(O361&gt;=5,"B - Next","C - Later")))</f>
        <v/>
      </c>
      <c r="Q361" t="inlineStr">
        <is>
          <t>To research</t>
        </is>
      </c>
      <c r="R361" t="inlineStr"/>
    </row>
    <row r="362">
      <c r="A362" t="inlineStr">
        <is>
          <t>basmati rice sharjah</t>
        </is>
      </c>
      <c r="B362" t="inlineStr">
        <is>
          <t>Phase 1 - B2B now</t>
        </is>
      </c>
      <c r="C362" t="inlineStr">
        <is>
          <t>Wholesalers / bulk buyers</t>
        </is>
      </c>
      <c r="D362" t="inlineStr">
        <is>
          <t>Location</t>
        </is>
      </c>
      <c r="E362" t="inlineStr">
        <is>
          <t>Basmati Rice</t>
        </is>
      </c>
      <c r="F362" t="inlineStr">
        <is>
          <t>Local/Transactional</t>
        </is>
      </c>
      <c r="G362" t="inlineStr">
        <is>
          <t>BOFU</t>
        </is>
      </c>
      <c r="H362" t="inlineStr">
        <is>
          <t>Sharjah</t>
        </is>
      </c>
      <c r="I362" t="inlineStr">
        <is>
          <t>Sharjah location landing page</t>
        </is>
      </c>
      <c r="J362" t="inlineStr">
        <is>
          <t>Location landing</t>
        </is>
      </c>
      <c r="K362">
        <f>IFERROR(VLOOKUP($A362,'Semrush Import'!$A:$D,2,FALSE),"")</f>
        <v/>
      </c>
      <c r="L362">
        <f>IFERROR(VLOOKUP($A362,'Semrush Import'!$A:$D,3,FALSE),"")</f>
        <v/>
      </c>
      <c r="M362">
        <f>IFERROR(VLOOKUP($A362,'Semrush Import'!$A:$D,4,FALSE),"")</f>
        <v/>
      </c>
      <c r="N362">
        <f>IFERROR(VLOOKUP($A362,'KP Import'!$A:$B,2,FALSE),"")</f>
        <v/>
      </c>
      <c r="O362">
        <f>IF(K362="","",ROUND(K362/(L362+10),1))</f>
        <v/>
      </c>
      <c r="P362">
        <f>IF(O362="","",IF(O362&gt;=20,"A - Go first",IF(O362&gt;=5,"B - Next","C - Later")))</f>
        <v/>
      </c>
      <c r="Q362" t="inlineStr">
        <is>
          <t>To research</t>
        </is>
      </c>
      <c r="R362" t="inlineStr"/>
    </row>
    <row r="363">
      <c r="A363" t="inlineStr">
        <is>
          <t>rice supplier sharjah</t>
        </is>
      </c>
      <c r="B363" t="inlineStr">
        <is>
          <t>Phase 1 - B2B now</t>
        </is>
      </c>
      <c r="C363" t="inlineStr">
        <is>
          <t>Wholesalers / bulk buyers</t>
        </is>
      </c>
      <c r="D363" t="inlineStr">
        <is>
          <t>Location</t>
        </is>
      </c>
      <c r="E363" t="inlineStr">
        <is>
          <t>Rice Supplier</t>
        </is>
      </c>
      <c r="F363" t="inlineStr">
        <is>
          <t>Local/Transactional</t>
        </is>
      </c>
      <c r="G363" t="inlineStr">
        <is>
          <t>BOFU</t>
        </is>
      </c>
      <c r="H363" t="inlineStr">
        <is>
          <t>Sharjah</t>
        </is>
      </c>
      <c r="I363" t="inlineStr">
        <is>
          <t>Sharjah location landing page</t>
        </is>
      </c>
      <c r="J363" t="inlineStr">
        <is>
          <t>Location landing</t>
        </is>
      </c>
      <c r="K363">
        <f>IFERROR(VLOOKUP($A363,'Semrush Import'!$A:$D,2,FALSE),"")</f>
        <v/>
      </c>
      <c r="L363">
        <f>IFERROR(VLOOKUP($A363,'Semrush Import'!$A:$D,3,FALSE),"")</f>
        <v/>
      </c>
      <c r="M363">
        <f>IFERROR(VLOOKUP($A363,'Semrush Import'!$A:$D,4,FALSE),"")</f>
        <v/>
      </c>
      <c r="N363">
        <f>IFERROR(VLOOKUP($A363,'KP Import'!$A:$B,2,FALSE),"")</f>
        <v/>
      </c>
      <c r="O363">
        <f>IF(K363="","",ROUND(K363/(L363+10),1))</f>
        <v/>
      </c>
      <c r="P363">
        <f>IF(O363="","",IF(O363&gt;=20,"A - Go first",IF(O363&gt;=5,"B - Next","C - Later")))</f>
        <v/>
      </c>
      <c r="Q363" t="inlineStr">
        <is>
          <t>To research</t>
        </is>
      </c>
      <c r="R363" t="inlineStr"/>
    </row>
    <row r="364">
      <c r="A364" t="inlineStr">
        <is>
          <t>buy rice online sharjah</t>
        </is>
      </c>
      <c r="B364" t="inlineStr">
        <is>
          <t>Phase 2 - B2C (later)</t>
        </is>
      </c>
      <c r="C364" t="inlineStr">
        <is>
          <t>Consumer / household</t>
        </is>
      </c>
      <c r="D364" t="inlineStr">
        <is>
          <t>Location</t>
        </is>
      </c>
      <c r="E364" t="inlineStr">
        <is>
          <t>Buy Rice Online</t>
        </is>
      </c>
      <c r="F364" t="inlineStr">
        <is>
          <t>Local/Transactional</t>
        </is>
      </c>
      <c r="G364" t="inlineStr">
        <is>
          <t>BOFU</t>
        </is>
      </c>
      <c r="H364" t="inlineStr">
        <is>
          <t>Sharjah</t>
        </is>
      </c>
      <c r="I364" t="inlineStr">
        <is>
          <t>Sharjah location landing page</t>
        </is>
      </c>
      <c r="J364" t="inlineStr">
        <is>
          <t>Location landing</t>
        </is>
      </c>
      <c r="K364">
        <f>IFERROR(VLOOKUP($A364,'Semrush Import'!$A:$D,2,FALSE),"")</f>
        <v/>
      </c>
      <c r="L364">
        <f>IFERROR(VLOOKUP($A364,'Semrush Import'!$A:$D,3,FALSE),"")</f>
        <v/>
      </c>
      <c r="M364">
        <f>IFERROR(VLOOKUP($A364,'Semrush Import'!$A:$D,4,FALSE),"")</f>
        <v/>
      </c>
      <c r="N364">
        <f>IFERROR(VLOOKUP($A364,'KP Import'!$A:$B,2,FALSE),"")</f>
        <v/>
      </c>
      <c r="O364">
        <f>IF(K364="","",ROUND(K364/(L364+10),1))</f>
        <v/>
      </c>
      <c r="P364">
        <f>IF(O364="","",IF(O364&gt;=20,"A - Go first",IF(O364&gt;=5,"B - Next","C - Later")))</f>
        <v/>
      </c>
      <c r="Q364" t="inlineStr">
        <is>
          <t>To research</t>
        </is>
      </c>
      <c r="R364" t="inlineStr"/>
    </row>
    <row r="365">
      <c r="A365" t="inlineStr">
        <is>
          <t>rice delivery sharjah</t>
        </is>
      </c>
      <c r="B365" t="inlineStr">
        <is>
          <t>Phase 2 - B2C (later)</t>
        </is>
      </c>
      <c r="C365" t="inlineStr">
        <is>
          <t>Consumer / household</t>
        </is>
      </c>
      <c r="D365" t="inlineStr">
        <is>
          <t>Location</t>
        </is>
      </c>
      <c r="E365" t="inlineStr">
        <is>
          <t>Rice Delivery</t>
        </is>
      </c>
      <c r="F365" t="inlineStr">
        <is>
          <t>Local/Transactional</t>
        </is>
      </c>
      <c r="G365" t="inlineStr">
        <is>
          <t>BOFU</t>
        </is>
      </c>
      <c r="H365" t="inlineStr">
        <is>
          <t>Sharjah</t>
        </is>
      </c>
      <c r="I365" t="inlineStr">
        <is>
          <t>Sharjah location landing page</t>
        </is>
      </c>
      <c r="J365" t="inlineStr">
        <is>
          <t>Location landing</t>
        </is>
      </c>
      <c r="K365">
        <f>IFERROR(VLOOKUP($A365,'Semrush Import'!$A:$D,2,FALSE),"")</f>
        <v/>
      </c>
      <c r="L365">
        <f>IFERROR(VLOOKUP($A365,'Semrush Import'!$A:$D,3,FALSE),"")</f>
        <v/>
      </c>
      <c r="M365">
        <f>IFERROR(VLOOKUP($A365,'Semrush Import'!$A:$D,4,FALSE),"")</f>
        <v/>
      </c>
      <c r="N365">
        <f>IFERROR(VLOOKUP($A365,'KP Import'!$A:$B,2,FALSE),"")</f>
        <v/>
      </c>
      <c r="O365">
        <f>IF(K365="","",ROUND(K365/(L365+10),1))</f>
        <v/>
      </c>
      <c r="P365">
        <f>IF(O365="","",IF(O365&gt;=20,"A - Go first",IF(O365&gt;=5,"B - Next","C - Later")))</f>
        <v/>
      </c>
      <c r="Q365" t="inlineStr">
        <is>
          <t>To research</t>
        </is>
      </c>
      <c r="R365" t="inlineStr"/>
    </row>
    <row r="366">
      <c r="A366" t="inlineStr">
        <is>
          <t>sella basmati rice sharjah</t>
        </is>
      </c>
      <c r="B366" t="inlineStr">
        <is>
          <t>Phase 1 - B2B now</t>
        </is>
      </c>
      <c r="C366" t="inlineStr">
        <is>
          <t>Wholesalers / bulk buyers</t>
        </is>
      </c>
      <c r="D366" t="inlineStr">
        <is>
          <t>Location</t>
        </is>
      </c>
      <c r="E366" t="inlineStr">
        <is>
          <t>Sella Basmati Rice</t>
        </is>
      </c>
      <c r="F366" t="inlineStr">
        <is>
          <t>Local/Transactional</t>
        </is>
      </c>
      <c r="G366" t="inlineStr">
        <is>
          <t>BOFU</t>
        </is>
      </c>
      <c r="H366" t="inlineStr">
        <is>
          <t>Sharjah</t>
        </is>
      </c>
      <c r="I366" t="inlineStr">
        <is>
          <t>Sharjah location landing page</t>
        </is>
      </c>
      <c r="J366" t="inlineStr">
        <is>
          <t>Location landing</t>
        </is>
      </c>
      <c r="K366">
        <f>IFERROR(VLOOKUP($A366,'Semrush Import'!$A:$D,2,FALSE),"")</f>
        <v/>
      </c>
      <c r="L366">
        <f>IFERROR(VLOOKUP($A366,'Semrush Import'!$A:$D,3,FALSE),"")</f>
        <v/>
      </c>
      <c r="M366">
        <f>IFERROR(VLOOKUP($A366,'Semrush Import'!$A:$D,4,FALSE),"")</f>
        <v/>
      </c>
      <c r="N366">
        <f>IFERROR(VLOOKUP($A366,'KP Import'!$A:$B,2,FALSE),"")</f>
        <v/>
      </c>
      <c r="O366">
        <f>IF(K366="","",ROUND(K366/(L366+10),1))</f>
        <v/>
      </c>
      <c r="P366">
        <f>IF(O366="","",IF(O366&gt;=20,"A - Go first",IF(O366&gt;=5,"B - Next","C - Later")))</f>
        <v/>
      </c>
      <c r="Q366" t="inlineStr">
        <is>
          <t>To research</t>
        </is>
      </c>
      <c r="R366" t="inlineStr"/>
    </row>
    <row r="367">
      <c r="A367" t="inlineStr">
        <is>
          <t>basmati rice ajman</t>
        </is>
      </c>
      <c r="B367" t="inlineStr">
        <is>
          <t>Phase 1 - B2B now</t>
        </is>
      </c>
      <c r="C367" t="inlineStr">
        <is>
          <t>Wholesalers / bulk buyers</t>
        </is>
      </c>
      <c r="D367" t="inlineStr">
        <is>
          <t>Location</t>
        </is>
      </c>
      <c r="E367" t="inlineStr">
        <is>
          <t>Basmati Rice</t>
        </is>
      </c>
      <c r="F367" t="inlineStr">
        <is>
          <t>Local/Transactional</t>
        </is>
      </c>
      <c r="G367" t="inlineStr">
        <is>
          <t>BOFU</t>
        </is>
      </c>
      <c r="H367" t="inlineStr">
        <is>
          <t>Ajman</t>
        </is>
      </c>
      <c r="I367" t="inlineStr">
        <is>
          <t>Ajman location landing page</t>
        </is>
      </c>
      <c r="J367" t="inlineStr">
        <is>
          <t>Location landing</t>
        </is>
      </c>
      <c r="K367">
        <f>IFERROR(VLOOKUP($A367,'Semrush Import'!$A:$D,2,FALSE),"")</f>
        <v/>
      </c>
      <c r="L367">
        <f>IFERROR(VLOOKUP($A367,'Semrush Import'!$A:$D,3,FALSE),"")</f>
        <v/>
      </c>
      <c r="M367">
        <f>IFERROR(VLOOKUP($A367,'Semrush Import'!$A:$D,4,FALSE),"")</f>
        <v/>
      </c>
      <c r="N367">
        <f>IFERROR(VLOOKUP($A367,'KP Import'!$A:$B,2,FALSE),"")</f>
        <v/>
      </c>
      <c r="O367">
        <f>IF(K367="","",ROUND(K367/(L367+10),1))</f>
        <v/>
      </c>
      <c r="P367">
        <f>IF(O367="","",IF(O367&gt;=20,"A - Go first",IF(O367&gt;=5,"B - Next","C - Later")))</f>
        <v/>
      </c>
      <c r="Q367" t="inlineStr">
        <is>
          <t>To research</t>
        </is>
      </c>
      <c r="R367" t="inlineStr"/>
    </row>
    <row r="368">
      <c r="A368" t="inlineStr">
        <is>
          <t>rice wholesale ajman</t>
        </is>
      </c>
      <c r="B368" t="inlineStr">
        <is>
          <t>Phase 2 - B2C (later)</t>
        </is>
      </c>
      <c r="C368" t="inlineStr">
        <is>
          <t>Consumer / household</t>
        </is>
      </c>
      <c r="D368" t="inlineStr">
        <is>
          <t>Location</t>
        </is>
      </c>
      <c r="E368" t="inlineStr">
        <is>
          <t>Rice Wholesale</t>
        </is>
      </c>
      <c r="F368" t="inlineStr">
        <is>
          <t>Local/Transactional</t>
        </is>
      </c>
      <c r="G368" t="inlineStr">
        <is>
          <t>BOFU</t>
        </is>
      </c>
      <c r="H368" t="inlineStr">
        <is>
          <t>Ajman</t>
        </is>
      </c>
      <c r="I368" t="inlineStr">
        <is>
          <t>Ajman location landing page</t>
        </is>
      </c>
      <c r="J368" t="inlineStr">
        <is>
          <t>Location landing</t>
        </is>
      </c>
      <c r="K368">
        <f>IFERROR(VLOOKUP($A368,'Semrush Import'!$A:$D,2,FALSE),"")</f>
        <v/>
      </c>
      <c r="L368">
        <f>IFERROR(VLOOKUP($A368,'Semrush Import'!$A:$D,3,FALSE),"")</f>
        <v/>
      </c>
      <c r="M368">
        <f>IFERROR(VLOOKUP($A368,'Semrush Import'!$A:$D,4,FALSE),"")</f>
        <v/>
      </c>
      <c r="N368">
        <f>IFERROR(VLOOKUP($A368,'KP Import'!$A:$B,2,FALSE),"")</f>
        <v/>
      </c>
      <c r="O368">
        <f>IF(K368="","",ROUND(K368/(L368+10),1))</f>
        <v/>
      </c>
      <c r="P368">
        <f>IF(O368="","",IF(O368&gt;=20,"A - Go first",IF(O368&gt;=5,"B - Next","C - Later")))</f>
        <v/>
      </c>
      <c r="Q368" t="inlineStr">
        <is>
          <t>To research</t>
        </is>
      </c>
      <c r="R368" t="inlineStr"/>
    </row>
    <row r="369">
      <c r="A369" t="inlineStr">
        <is>
          <t>rice supplier ajman</t>
        </is>
      </c>
      <c r="B369" t="inlineStr">
        <is>
          <t>Phase 1 - B2B now</t>
        </is>
      </c>
      <c r="C369" t="inlineStr">
        <is>
          <t>Wholesalers / bulk buyers</t>
        </is>
      </c>
      <c r="D369" t="inlineStr">
        <is>
          <t>Location</t>
        </is>
      </c>
      <c r="E369" t="inlineStr">
        <is>
          <t>Rice Supplier</t>
        </is>
      </c>
      <c r="F369" t="inlineStr">
        <is>
          <t>Local/Transactional</t>
        </is>
      </c>
      <c r="G369" t="inlineStr">
        <is>
          <t>BOFU</t>
        </is>
      </c>
      <c r="H369" t="inlineStr">
        <is>
          <t>Ajman</t>
        </is>
      </c>
      <c r="I369" t="inlineStr">
        <is>
          <t>Ajman location landing page</t>
        </is>
      </c>
      <c r="J369" t="inlineStr">
        <is>
          <t>Location landing</t>
        </is>
      </c>
      <c r="K369">
        <f>IFERROR(VLOOKUP($A369,'Semrush Import'!$A:$D,2,FALSE),"")</f>
        <v/>
      </c>
      <c r="L369">
        <f>IFERROR(VLOOKUP($A369,'Semrush Import'!$A:$D,3,FALSE),"")</f>
        <v/>
      </c>
      <c r="M369">
        <f>IFERROR(VLOOKUP($A369,'Semrush Import'!$A:$D,4,FALSE),"")</f>
        <v/>
      </c>
      <c r="N369">
        <f>IFERROR(VLOOKUP($A369,'KP Import'!$A:$B,2,FALSE),"")</f>
        <v/>
      </c>
      <c r="O369">
        <f>IF(K369="","",ROUND(K369/(L369+10),1))</f>
        <v/>
      </c>
      <c r="P369">
        <f>IF(O369="","",IF(O369&gt;=20,"A - Go first",IF(O369&gt;=5,"B - Next","C - Later")))</f>
        <v/>
      </c>
      <c r="Q369" t="inlineStr">
        <is>
          <t>To research</t>
        </is>
      </c>
      <c r="R369" t="inlineStr"/>
    </row>
    <row r="370">
      <c r="A370" t="inlineStr">
        <is>
          <t>buy rice online ajman</t>
        </is>
      </c>
      <c r="B370" t="inlineStr">
        <is>
          <t>Phase 2 - B2C (later)</t>
        </is>
      </c>
      <c r="C370" t="inlineStr">
        <is>
          <t>Consumer / household</t>
        </is>
      </c>
      <c r="D370" t="inlineStr">
        <is>
          <t>Location</t>
        </is>
      </c>
      <c r="E370" t="inlineStr">
        <is>
          <t>Buy Rice Online</t>
        </is>
      </c>
      <c r="F370" t="inlineStr">
        <is>
          <t>Local/Transactional</t>
        </is>
      </c>
      <c r="G370" t="inlineStr">
        <is>
          <t>BOFU</t>
        </is>
      </c>
      <c r="H370" t="inlineStr">
        <is>
          <t>Ajman</t>
        </is>
      </c>
      <c r="I370" t="inlineStr">
        <is>
          <t>Ajman location landing page</t>
        </is>
      </c>
      <c r="J370" t="inlineStr">
        <is>
          <t>Location landing</t>
        </is>
      </c>
      <c r="K370">
        <f>IFERROR(VLOOKUP($A370,'Semrush Import'!$A:$D,2,FALSE),"")</f>
        <v/>
      </c>
      <c r="L370">
        <f>IFERROR(VLOOKUP($A370,'Semrush Import'!$A:$D,3,FALSE),"")</f>
        <v/>
      </c>
      <c r="M370">
        <f>IFERROR(VLOOKUP($A370,'Semrush Import'!$A:$D,4,FALSE),"")</f>
        <v/>
      </c>
      <c r="N370">
        <f>IFERROR(VLOOKUP($A370,'KP Import'!$A:$B,2,FALSE),"")</f>
        <v/>
      </c>
      <c r="O370">
        <f>IF(K370="","",ROUND(K370/(L370+10),1))</f>
        <v/>
      </c>
      <c r="P370">
        <f>IF(O370="","",IF(O370&gt;=20,"A - Go first",IF(O370&gt;=5,"B - Next","C - Later")))</f>
        <v/>
      </c>
      <c r="Q370" t="inlineStr">
        <is>
          <t>To research</t>
        </is>
      </c>
      <c r="R370" t="inlineStr"/>
    </row>
    <row r="371">
      <c r="A371" t="inlineStr">
        <is>
          <t>rice delivery ajman</t>
        </is>
      </c>
      <c r="B371" t="inlineStr">
        <is>
          <t>Phase 2 - B2C (later)</t>
        </is>
      </c>
      <c r="C371" t="inlineStr">
        <is>
          <t>Consumer / household</t>
        </is>
      </c>
      <c r="D371" t="inlineStr">
        <is>
          <t>Location</t>
        </is>
      </c>
      <c r="E371" t="inlineStr">
        <is>
          <t>Rice Delivery</t>
        </is>
      </c>
      <c r="F371" t="inlineStr">
        <is>
          <t>Local/Transactional</t>
        </is>
      </c>
      <c r="G371" t="inlineStr">
        <is>
          <t>BOFU</t>
        </is>
      </c>
      <c r="H371" t="inlineStr">
        <is>
          <t>Ajman</t>
        </is>
      </c>
      <c r="I371" t="inlineStr">
        <is>
          <t>Ajman location landing page</t>
        </is>
      </c>
      <c r="J371" t="inlineStr">
        <is>
          <t>Location landing</t>
        </is>
      </c>
      <c r="K371">
        <f>IFERROR(VLOOKUP($A371,'Semrush Import'!$A:$D,2,FALSE),"")</f>
        <v/>
      </c>
      <c r="L371">
        <f>IFERROR(VLOOKUP($A371,'Semrush Import'!$A:$D,3,FALSE),"")</f>
        <v/>
      </c>
      <c r="M371">
        <f>IFERROR(VLOOKUP($A371,'Semrush Import'!$A:$D,4,FALSE),"")</f>
        <v/>
      </c>
      <c r="N371">
        <f>IFERROR(VLOOKUP($A371,'KP Import'!$A:$B,2,FALSE),"")</f>
        <v/>
      </c>
      <c r="O371">
        <f>IF(K371="","",ROUND(K371/(L371+10),1))</f>
        <v/>
      </c>
      <c r="P371">
        <f>IF(O371="","",IF(O371&gt;=20,"A - Go first",IF(O371&gt;=5,"B - Next","C - Later")))</f>
        <v/>
      </c>
      <c r="Q371" t="inlineStr">
        <is>
          <t>To research</t>
        </is>
      </c>
      <c r="R371" t="inlineStr"/>
    </row>
    <row r="372">
      <c r="A372" t="inlineStr">
        <is>
          <t>sella basmati rice ajman</t>
        </is>
      </c>
      <c r="B372" t="inlineStr">
        <is>
          <t>Phase 1 - B2B now</t>
        </is>
      </c>
      <c r="C372" t="inlineStr">
        <is>
          <t>Wholesalers / bulk buyers</t>
        </is>
      </c>
      <c r="D372" t="inlineStr">
        <is>
          <t>Location</t>
        </is>
      </c>
      <c r="E372" t="inlineStr">
        <is>
          <t>Sella Basmati Rice</t>
        </is>
      </c>
      <c r="F372" t="inlineStr">
        <is>
          <t>Local/Transactional</t>
        </is>
      </c>
      <c r="G372" t="inlineStr">
        <is>
          <t>BOFU</t>
        </is>
      </c>
      <c r="H372" t="inlineStr">
        <is>
          <t>Ajman</t>
        </is>
      </c>
      <c r="I372" t="inlineStr">
        <is>
          <t>Ajman location landing page</t>
        </is>
      </c>
      <c r="J372" t="inlineStr">
        <is>
          <t>Location landing</t>
        </is>
      </c>
      <c r="K372">
        <f>IFERROR(VLOOKUP($A372,'Semrush Import'!$A:$D,2,FALSE),"")</f>
        <v/>
      </c>
      <c r="L372">
        <f>IFERROR(VLOOKUP($A372,'Semrush Import'!$A:$D,3,FALSE),"")</f>
        <v/>
      </c>
      <c r="M372">
        <f>IFERROR(VLOOKUP($A372,'Semrush Import'!$A:$D,4,FALSE),"")</f>
        <v/>
      </c>
      <c r="N372">
        <f>IFERROR(VLOOKUP($A372,'KP Import'!$A:$B,2,FALSE),"")</f>
        <v/>
      </c>
      <c r="O372">
        <f>IF(K372="","",ROUND(K372/(L372+10),1))</f>
        <v/>
      </c>
      <c r="P372">
        <f>IF(O372="","",IF(O372&gt;=20,"A - Go first",IF(O372&gt;=5,"B - Next","C - Later")))</f>
        <v/>
      </c>
      <c r="Q372" t="inlineStr">
        <is>
          <t>To research</t>
        </is>
      </c>
      <c r="R372" t="inlineStr"/>
    </row>
    <row r="373">
      <c r="A373" t="inlineStr">
        <is>
          <t>basmati rice ras al khaimah</t>
        </is>
      </c>
      <c r="B373" t="inlineStr">
        <is>
          <t>Phase 1 - B2B now</t>
        </is>
      </c>
      <c r="C373" t="inlineStr">
        <is>
          <t>Wholesalers / bulk buyers</t>
        </is>
      </c>
      <c r="D373" t="inlineStr">
        <is>
          <t>Location</t>
        </is>
      </c>
      <c r="E373" t="inlineStr">
        <is>
          <t>Basmati Rice</t>
        </is>
      </c>
      <c r="F373" t="inlineStr">
        <is>
          <t>Local/Transactional</t>
        </is>
      </c>
      <c r="G373" t="inlineStr">
        <is>
          <t>BOFU</t>
        </is>
      </c>
      <c r="H373" t="inlineStr">
        <is>
          <t>Ras Al Khaimah</t>
        </is>
      </c>
      <c r="I373" t="inlineStr">
        <is>
          <t>Ras Al Khaimah location landing page</t>
        </is>
      </c>
      <c r="J373" t="inlineStr">
        <is>
          <t>Location landing</t>
        </is>
      </c>
      <c r="K373">
        <f>IFERROR(VLOOKUP($A373,'Semrush Import'!$A:$D,2,FALSE),"")</f>
        <v/>
      </c>
      <c r="L373">
        <f>IFERROR(VLOOKUP($A373,'Semrush Import'!$A:$D,3,FALSE),"")</f>
        <v/>
      </c>
      <c r="M373">
        <f>IFERROR(VLOOKUP($A373,'Semrush Import'!$A:$D,4,FALSE),"")</f>
        <v/>
      </c>
      <c r="N373">
        <f>IFERROR(VLOOKUP($A373,'KP Import'!$A:$B,2,FALSE),"")</f>
        <v/>
      </c>
      <c r="O373">
        <f>IF(K373="","",ROUND(K373/(L373+10),1))</f>
        <v/>
      </c>
      <c r="P373">
        <f>IF(O373="","",IF(O373&gt;=20,"A - Go first",IF(O373&gt;=5,"B - Next","C - Later")))</f>
        <v/>
      </c>
      <c r="Q373" t="inlineStr">
        <is>
          <t>To research</t>
        </is>
      </c>
      <c r="R373" t="inlineStr"/>
    </row>
    <row r="374">
      <c r="A374" t="inlineStr">
        <is>
          <t>rice wholesale ras al khaimah</t>
        </is>
      </c>
      <c r="B374" t="inlineStr">
        <is>
          <t>Phase 2 - B2C (later)</t>
        </is>
      </c>
      <c r="C374" t="inlineStr">
        <is>
          <t>Consumer / household</t>
        </is>
      </c>
      <c r="D374" t="inlineStr">
        <is>
          <t>Location</t>
        </is>
      </c>
      <c r="E374" t="inlineStr">
        <is>
          <t>Rice Wholesale</t>
        </is>
      </c>
      <c r="F374" t="inlineStr">
        <is>
          <t>Local/Transactional</t>
        </is>
      </c>
      <c r="G374" t="inlineStr">
        <is>
          <t>BOFU</t>
        </is>
      </c>
      <c r="H374" t="inlineStr">
        <is>
          <t>Ras Al Khaimah</t>
        </is>
      </c>
      <c r="I374" t="inlineStr">
        <is>
          <t>Ras Al Khaimah location landing page</t>
        </is>
      </c>
      <c r="J374" t="inlineStr">
        <is>
          <t>Location landing</t>
        </is>
      </c>
      <c r="K374">
        <f>IFERROR(VLOOKUP($A374,'Semrush Import'!$A:$D,2,FALSE),"")</f>
        <v/>
      </c>
      <c r="L374">
        <f>IFERROR(VLOOKUP($A374,'Semrush Import'!$A:$D,3,FALSE),"")</f>
        <v/>
      </c>
      <c r="M374">
        <f>IFERROR(VLOOKUP($A374,'Semrush Import'!$A:$D,4,FALSE),"")</f>
        <v/>
      </c>
      <c r="N374">
        <f>IFERROR(VLOOKUP($A374,'KP Import'!$A:$B,2,FALSE),"")</f>
        <v/>
      </c>
      <c r="O374">
        <f>IF(K374="","",ROUND(K374/(L374+10),1))</f>
        <v/>
      </c>
      <c r="P374">
        <f>IF(O374="","",IF(O374&gt;=20,"A - Go first",IF(O374&gt;=5,"B - Next","C - Later")))</f>
        <v/>
      </c>
      <c r="Q374" t="inlineStr">
        <is>
          <t>To research</t>
        </is>
      </c>
      <c r="R374" t="inlineStr"/>
    </row>
    <row r="375">
      <c r="A375" t="inlineStr">
        <is>
          <t>rice supplier ras al khaimah</t>
        </is>
      </c>
      <c r="B375" t="inlineStr">
        <is>
          <t>Phase 1 - B2B now</t>
        </is>
      </c>
      <c r="C375" t="inlineStr">
        <is>
          <t>Wholesalers / bulk buyers</t>
        </is>
      </c>
      <c r="D375" t="inlineStr">
        <is>
          <t>Location</t>
        </is>
      </c>
      <c r="E375" t="inlineStr">
        <is>
          <t>Rice Supplier</t>
        </is>
      </c>
      <c r="F375" t="inlineStr">
        <is>
          <t>Local/Transactional</t>
        </is>
      </c>
      <c r="G375" t="inlineStr">
        <is>
          <t>BOFU</t>
        </is>
      </c>
      <c r="H375" t="inlineStr">
        <is>
          <t>Ras Al Khaimah</t>
        </is>
      </c>
      <c r="I375" t="inlineStr">
        <is>
          <t>Ras Al Khaimah location landing page</t>
        </is>
      </c>
      <c r="J375" t="inlineStr">
        <is>
          <t>Location landing</t>
        </is>
      </c>
      <c r="K375">
        <f>IFERROR(VLOOKUP($A375,'Semrush Import'!$A:$D,2,FALSE),"")</f>
        <v/>
      </c>
      <c r="L375">
        <f>IFERROR(VLOOKUP($A375,'Semrush Import'!$A:$D,3,FALSE),"")</f>
        <v/>
      </c>
      <c r="M375">
        <f>IFERROR(VLOOKUP($A375,'Semrush Import'!$A:$D,4,FALSE),"")</f>
        <v/>
      </c>
      <c r="N375">
        <f>IFERROR(VLOOKUP($A375,'KP Import'!$A:$B,2,FALSE),"")</f>
        <v/>
      </c>
      <c r="O375">
        <f>IF(K375="","",ROUND(K375/(L375+10),1))</f>
        <v/>
      </c>
      <c r="P375">
        <f>IF(O375="","",IF(O375&gt;=20,"A - Go first",IF(O375&gt;=5,"B - Next","C - Later")))</f>
        <v/>
      </c>
      <c r="Q375" t="inlineStr">
        <is>
          <t>To research</t>
        </is>
      </c>
      <c r="R375" t="inlineStr"/>
    </row>
    <row r="376">
      <c r="A376" t="inlineStr">
        <is>
          <t>buy rice online ras al khaimah</t>
        </is>
      </c>
      <c r="B376" t="inlineStr">
        <is>
          <t>Phase 2 - B2C (later)</t>
        </is>
      </c>
      <c r="C376" t="inlineStr">
        <is>
          <t>Consumer / household</t>
        </is>
      </c>
      <c r="D376" t="inlineStr">
        <is>
          <t>Location</t>
        </is>
      </c>
      <c r="E376" t="inlineStr">
        <is>
          <t>Buy Rice Online</t>
        </is>
      </c>
      <c r="F376" t="inlineStr">
        <is>
          <t>Local/Transactional</t>
        </is>
      </c>
      <c r="G376" t="inlineStr">
        <is>
          <t>BOFU</t>
        </is>
      </c>
      <c r="H376" t="inlineStr">
        <is>
          <t>Ras Al Khaimah</t>
        </is>
      </c>
      <c r="I376" t="inlineStr">
        <is>
          <t>Ras Al Khaimah location landing page</t>
        </is>
      </c>
      <c r="J376" t="inlineStr">
        <is>
          <t>Location landing</t>
        </is>
      </c>
      <c r="K376">
        <f>IFERROR(VLOOKUP($A376,'Semrush Import'!$A:$D,2,FALSE),"")</f>
        <v/>
      </c>
      <c r="L376">
        <f>IFERROR(VLOOKUP($A376,'Semrush Import'!$A:$D,3,FALSE),"")</f>
        <v/>
      </c>
      <c r="M376">
        <f>IFERROR(VLOOKUP($A376,'Semrush Import'!$A:$D,4,FALSE),"")</f>
        <v/>
      </c>
      <c r="N376">
        <f>IFERROR(VLOOKUP($A376,'KP Import'!$A:$B,2,FALSE),"")</f>
        <v/>
      </c>
      <c r="O376">
        <f>IF(K376="","",ROUND(K376/(L376+10),1))</f>
        <v/>
      </c>
      <c r="P376">
        <f>IF(O376="","",IF(O376&gt;=20,"A - Go first",IF(O376&gt;=5,"B - Next","C - Later")))</f>
        <v/>
      </c>
      <c r="Q376" t="inlineStr">
        <is>
          <t>To research</t>
        </is>
      </c>
      <c r="R376" t="inlineStr"/>
    </row>
    <row r="377">
      <c r="A377" t="inlineStr">
        <is>
          <t>rice delivery ras al khaimah</t>
        </is>
      </c>
      <c r="B377" t="inlineStr">
        <is>
          <t>Phase 2 - B2C (later)</t>
        </is>
      </c>
      <c r="C377" t="inlineStr">
        <is>
          <t>Consumer / household</t>
        </is>
      </c>
      <c r="D377" t="inlineStr">
        <is>
          <t>Location</t>
        </is>
      </c>
      <c r="E377" t="inlineStr">
        <is>
          <t>Rice Delivery</t>
        </is>
      </c>
      <c r="F377" t="inlineStr">
        <is>
          <t>Local/Transactional</t>
        </is>
      </c>
      <c r="G377" t="inlineStr">
        <is>
          <t>BOFU</t>
        </is>
      </c>
      <c r="H377" t="inlineStr">
        <is>
          <t>Ras Al Khaimah</t>
        </is>
      </c>
      <c r="I377" t="inlineStr">
        <is>
          <t>Ras Al Khaimah location landing page</t>
        </is>
      </c>
      <c r="J377" t="inlineStr">
        <is>
          <t>Location landing</t>
        </is>
      </c>
      <c r="K377">
        <f>IFERROR(VLOOKUP($A377,'Semrush Import'!$A:$D,2,FALSE),"")</f>
        <v/>
      </c>
      <c r="L377">
        <f>IFERROR(VLOOKUP($A377,'Semrush Import'!$A:$D,3,FALSE),"")</f>
        <v/>
      </c>
      <c r="M377">
        <f>IFERROR(VLOOKUP($A377,'Semrush Import'!$A:$D,4,FALSE),"")</f>
        <v/>
      </c>
      <c r="N377">
        <f>IFERROR(VLOOKUP($A377,'KP Import'!$A:$B,2,FALSE),"")</f>
        <v/>
      </c>
      <c r="O377">
        <f>IF(K377="","",ROUND(K377/(L377+10),1))</f>
        <v/>
      </c>
      <c r="P377">
        <f>IF(O377="","",IF(O377&gt;=20,"A - Go first",IF(O377&gt;=5,"B - Next","C - Later")))</f>
        <v/>
      </c>
      <c r="Q377" t="inlineStr">
        <is>
          <t>To research</t>
        </is>
      </c>
      <c r="R377" t="inlineStr"/>
    </row>
    <row r="378">
      <c r="A378" t="inlineStr">
        <is>
          <t>sella basmati rice ras al khaimah</t>
        </is>
      </c>
      <c r="B378" t="inlineStr">
        <is>
          <t>Phase 1 - B2B now</t>
        </is>
      </c>
      <c r="C378" t="inlineStr">
        <is>
          <t>Wholesalers / bulk buyers</t>
        </is>
      </c>
      <c r="D378" t="inlineStr">
        <is>
          <t>Location</t>
        </is>
      </c>
      <c r="E378" t="inlineStr">
        <is>
          <t>Sella Basmati Rice</t>
        </is>
      </c>
      <c r="F378" t="inlineStr">
        <is>
          <t>Local/Transactional</t>
        </is>
      </c>
      <c r="G378" t="inlineStr">
        <is>
          <t>BOFU</t>
        </is>
      </c>
      <c r="H378" t="inlineStr">
        <is>
          <t>Ras Al Khaimah</t>
        </is>
      </c>
      <c r="I378" t="inlineStr">
        <is>
          <t>Ras Al Khaimah location landing page</t>
        </is>
      </c>
      <c r="J378" t="inlineStr">
        <is>
          <t>Location landing</t>
        </is>
      </c>
      <c r="K378">
        <f>IFERROR(VLOOKUP($A378,'Semrush Import'!$A:$D,2,FALSE),"")</f>
        <v/>
      </c>
      <c r="L378">
        <f>IFERROR(VLOOKUP($A378,'Semrush Import'!$A:$D,3,FALSE),"")</f>
        <v/>
      </c>
      <c r="M378">
        <f>IFERROR(VLOOKUP($A378,'Semrush Import'!$A:$D,4,FALSE),"")</f>
        <v/>
      </c>
      <c r="N378">
        <f>IFERROR(VLOOKUP($A378,'KP Import'!$A:$B,2,FALSE),"")</f>
        <v/>
      </c>
      <c r="O378">
        <f>IF(K378="","",ROUND(K378/(L378+10),1))</f>
        <v/>
      </c>
      <c r="P378">
        <f>IF(O378="","",IF(O378&gt;=20,"A - Go first",IF(O378&gt;=5,"B - Next","C - Later")))</f>
        <v/>
      </c>
      <c r="Q378" t="inlineStr">
        <is>
          <t>To research</t>
        </is>
      </c>
      <c r="R378" t="inlineStr"/>
    </row>
    <row r="379">
      <c r="A379" t="inlineStr">
        <is>
          <t>basmati rice fujairah</t>
        </is>
      </c>
      <c r="B379" t="inlineStr">
        <is>
          <t>Phase 1 - B2B now</t>
        </is>
      </c>
      <c r="C379" t="inlineStr">
        <is>
          <t>Wholesalers / bulk buyers</t>
        </is>
      </c>
      <c r="D379" t="inlineStr">
        <is>
          <t>Location</t>
        </is>
      </c>
      <c r="E379" t="inlineStr">
        <is>
          <t>Basmati Rice</t>
        </is>
      </c>
      <c r="F379" t="inlineStr">
        <is>
          <t>Local/Transactional</t>
        </is>
      </c>
      <c r="G379" t="inlineStr">
        <is>
          <t>BOFU</t>
        </is>
      </c>
      <c r="H379" t="inlineStr">
        <is>
          <t>Fujairah</t>
        </is>
      </c>
      <c r="I379" t="inlineStr">
        <is>
          <t>Fujairah location landing page</t>
        </is>
      </c>
      <c r="J379" t="inlineStr">
        <is>
          <t>Location landing</t>
        </is>
      </c>
      <c r="K379">
        <f>IFERROR(VLOOKUP($A379,'Semrush Import'!$A:$D,2,FALSE),"")</f>
        <v/>
      </c>
      <c r="L379">
        <f>IFERROR(VLOOKUP($A379,'Semrush Import'!$A:$D,3,FALSE),"")</f>
        <v/>
      </c>
      <c r="M379">
        <f>IFERROR(VLOOKUP($A379,'Semrush Import'!$A:$D,4,FALSE),"")</f>
        <v/>
      </c>
      <c r="N379">
        <f>IFERROR(VLOOKUP($A379,'KP Import'!$A:$B,2,FALSE),"")</f>
        <v/>
      </c>
      <c r="O379">
        <f>IF(K379="","",ROUND(K379/(L379+10),1))</f>
        <v/>
      </c>
      <c r="P379">
        <f>IF(O379="","",IF(O379&gt;=20,"A - Go first",IF(O379&gt;=5,"B - Next","C - Later")))</f>
        <v/>
      </c>
      <c r="Q379" t="inlineStr">
        <is>
          <t>To research</t>
        </is>
      </c>
      <c r="R379" t="inlineStr"/>
    </row>
    <row r="380">
      <c r="A380" t="inlineStr">
        <is>
          <t>rice wholesale fujairah</t>
        </is>
      </c>
      <c r="B380" t="inlineStr">
        <is>
          <t>Phase 2 - B2C (later)</t>
        </is>
      </c>
      <c r="C380" t="inlineStr">
        <is>
          <t>Consumer / household</t>
        </is>
      </c>
      <c r="D380" t="inlineStr">
        <is>
          <t>Location</t>
        </is>
      </c>
      <c r="E380" t="inlineStr">
        <is>
          <t>Rice Wholesale</t>
        </is>
      </c>
      <c r="F380" t="inlineStr">
        <is>
          <t>Local/Transactional</t>
        </is>
      </c>
      <c r="G380" t="inlineStr">
        <is>
          <t>BOFU</t>
        </is>
      </c>
      <c r="H380" t="inlineStr">
        <is>
          <t>Fujairah</t>
        </is>
      </c>
      <c r="I380" t="inlineStr">
        <is>
          <t>Fujairah location landing page</t>
        </is>
      </c>
      <c r="J380" t="inlineStr">
        <is>
          <t>Location landing</t>
        </is>
      </c>
      <c r="K380">
        <f>IFERROR(VLOOKUP($A380,'Semrush Import'!$A:$D,2,FALSE),"")</f>
        <v/>
      </c>
      <c r="L380">
        <f>IFERROR(VLOOKUP($A380,'Semrush Import'!$A:$D,3,FALSE),"")</f>
        <v/>
      </c>
      <c r="M380">
        <f>IFERROR(VLOOKUP($A380,'Semrush Import'!$A:$D,4,FALSE),"")</f>
        <v/>
      </c>
      <c r="N380">
        <f>IFERROR(VLOOKUP($A380,'KP Import'!$A:$B,2,FALSE),"")</f>
        <v/>
      </c>
      <c r="O380">
        <f>IF(K380="","",ROUND(K380/(L380+10),1))</f>
        <v/>
      </c>
      <c r="P380">
        <f>IF(O380="","",IF(O380&gt;=20,"A - Go first",IF(O380&gt;=5,"B - Next","C - Later")))</f>
        <v/>
      </c>
      <c r="Q380" t="inlineStr">
        <is>
          <t>To research</t>
        </is>
      </c>
      <c r="R380" t="inlineStr"/>
    </row>
    <row r="381">
      <c r="A381" t="inlineStr">
        <is>
          <t>rice supplier fujairah</t>
        </is>
      </c>
      <c r="B381" t="inlineStr">
        <is>
          <t>Phase 1 - B2B now</t>
        </is>
      </c>
      <c r="C381" t="inlineStr">
        <is>
          <t>Wholesalers / bulk buyers</t>
        </is>
      </c>
      <c r="D381" t="inlineStr">
        <is>
          <t>Location</t>
        </is>
      </c>
      <c r="E381" t="inlineStr">
        <is>
          <t>Rice Supplier</t>
        </is>
      </c>
      <c r="F381" t="inlineStr">
        <is>
          <t>Local/Transactional</t>
        </is>
      </c>
      <c r="G381" t="inlineStr">
        <is>
          <t>BOFU</t>
        </is>
      </c>
      <c r="H381" t="inlineStr">
        <is>
          <t>Fujairah</t>
        </is>
      </c>
      <c r="I381" t="inlineStr">
        <is>
          <t>Fujairah location landing page</t>
        </is>
      </c>
      <c r="J381" t="inlineStr">
        <is>
          <t>Location landing</t>
        </is>
      </c>
      <c r="K381">
        <f>IFERROR(VLOOKUP($A381,'Semrush Import'!$A:$D,2,FALSE),"")</f>
        <v/>
      </c>
      <c r="L381">
        <f>IFERROR(VLOOKUP($A381,'Semrush Import'!$A:$D,3,FALSE),"")</f>
        <v/>
      </c>
      <c r="M381">
        <f>IFERROR(VLOOKUP($A381,'Semrush Import'!$A:$D,4,FALSE),"")</f>
        <v/>
      </c>
      <c r="N381">
        <f>IFERROR(VLOOKUP($A381,'KP Import'!$A:$B,2,FALSE),"")</f>
        <v/>
      </c>
      <c r="O381">
        <f>IF(K381="","",ROUND(K381/(L381+10),1))</f>
        <v/>
      </c>
      <c r="P381">
        <f>IF(O381="","",IF(O381&gt;=20,"A - Go first",IF(O381&gt;=5,"B - Next","C - Later")))</f>
        <v/>
      </c>
      <c r="Q381" t="inlineStr">
        <is>
          <t>To research</t>
        </is>
      </c>
      <c r="R381" t="inlineStr"/>
    </row>
    <row r="382">
      <c r="A382" t="inlineStr">
        <is>
          <t>buy rice online fujairah</t>
        </is>
      </c>
      <c r="B382" t="inlineStr">
        <is>
          <t>Phase 2 - B2C (later)</t>
        </is>
      </c>
      <c r="C382" t="inlineStr">
        <is>
          <t>Consumer / household</t>
        </is>
      </c>
      <c r="D382" t="inlineStr">
        <is>
          <t>Location</t>
        </is>
      </c>
      <c r="E382" t="inlineStr">
        <is>
          <t>Buy Rice Online</t>
        </is>
      </c>
      <c r="F382" t="inlineStr">
        <is>
          <t>Local/Transactional</t>
        </is>
      </c>
      <c r="G382" t="inlineStr">
        <is>
          <t>BOFU</t>
        </is>
      </c>
      <c r="H382" t="inlineStr">
        <is>
          <t>Fujairah</t>
        </is>
      </c>
      <c r="I382" t="inlineStr">
        <is>
          <t>Fujairah location landing page</t>
        </is>
      </c>
      <c r="J382" t="inlineStr">
        <is>
          <t>Location landing</t>
        </is>
      </c>
      <c r="K382">
        <f>IFERROR(VLOOKUP($A382,'Semrush Import'!$A:$D,2,FALSE),"")</f>
        <v/>
      </c>
      <c r="L382">
        <f>IFERROR(VLOOKUP($A382,'Semrush Import'!$A:$D,3,FALSE),"")</f>
        <v/>
      </c>
      <c r="M382">
        <f>IFERROR(VLOOKUP($A382,'Semrush Import'!$A:$D,4,FALSE),"")</f>
        <v/>
      </c>
      <c r="N382">
        <f>IFERROR(VLOOKUP($A382,'KP Import'!$A:$B,2,FALSE),"")</f>
        <v/>
      </c>
      <c r="O382">
        <f>IF(K382="","",ROUND(K382/(L382+10),1))</f>
        <v/>
      </c>
      <c r="P382">
        <f>IF(O382="","",IF(O382&gt;=20,"A - Go first",IF(O382&gt;=5,"B - Next","C - Later")))</f>
        <v/>
      </c>
      <c r="Q382" t="inlineStr">
        <is>
          <t>To research</t>
        </is>
      </c>
      <c r="R382" t="inlineStr"/>
    </row>
    <row r="383">
      <c r="A383" t="inlineStr">
        <is>
          <t>rice delivery fujairah</t>
        </is>
      </c>
      <c r="B383" t="inlineStr">
        <is>
          <t>Phase 2 - B2C (later)</t>
        </is>
      </c>
      <c r="C383" t="inlineStr">
        <is>
          <t>Consumer / household</t>
        </is>
      </c>
      <c r="D383" t="inlineStr">
        <is>
          <t>Location</t>
        </is>
      </c>
      <c r="E383" t="inlineStr">
        <is>
          <t>Rice Delivery</t>
        </is>
      </c>
      <c r="F383" t="inlineStr">
        <is>
          <t>Local/Transactional</t>
        </is>
      </c>
      <c r="G383" t="inlineStr">
        <is>
          <t>BOFU</t>
        </is>
      </c>
      <c r="H383" t="inlineStr">
        <is>
          <t>Fujairah</t>
        </is>
      </c>
      <c r="I383" t="inlineStr">
        <is>
          <t>Fujairah location landing page</t>
        </is>
      </c>
      <c r="J383" t="inlineStr">
        <is>
          <t>Location landing</t>
        </is>
      </c>
      <c r="K383">
        <f>IFERROR(VLOOKUP($A383,'Semrush Import'!$A:$D,2,FALSE),"")</f>
        <v/>
      </c>
      <c r="L383">
        <f>IFERROR(VLOOKUP($A383,'Semrush Import'!$A:$D,3,FALSE),"")</f>
        <v/>
      </c>
      <c r="M383">
        <f>IFERROR(VLOOKUP($A383,'Semrush Import'!$A:$D,4,FALSE),"")</f>
        <v/>
      </c>
      <c r="N383">
        <f>IFERROR(VLOOKUP($A383,'KP Import'!$A:$B,2,FALSE),"")</f>
        <v/>
      </c>
      <c r="O383">
        <f>IF(K383="","",ROUND(K383/(L383+10),1))</f>
        <v/>
      </c>
      <c r="P383">
        <f>IF(O383="","",IF(O383&gt;=20,"A - Go first",IF(O383&gt;=5,"B - Next","C - Later")))</f>
        <v/>
      </c>
      <c r="Q383" t="inlineStr">
        <is>
          <t>To research</t>
        </is>
      </c>
      <c r="R383" t="inlineStr"/>
    </row>
    <row r="384">
      <c r="A384" t="inlineStr">
        <is>
          <t>sella basmati rice fujairah</t>
        </is>
      </c>
      <c r="B384" t="inlineStr">
        <is>
          <t>Phase 1 - B2B now</t>
        </is>
      </c>
      <c r="C384" t="inlineStr">
        <is>
          <t>Wholesalers / bulk buyers</t>
        </is>
      </c>
      <c r="D384" t="inlineStr">
        <is>
          <t>Location</t>
        </is>
      </c>
      <c r="E384" t="inlineStr">
        <is>
          <t>Sella Basmati Rice</t>
        </is>
      </c>
      <c r="F384" t="inlineStr">
        <is>
          <t>Local/Transactional</t>
        </is>
      </c>
      <c r="G384" t="inlineStr">
        <is>
          <t>BOFU</t>
        </is>
      </c>
      <c r="H384" t="inlineStr">
        <is>
          <t>Fujairah</t>
        </is>
      </c>
      <c r="I384" t="inlineStr">
        <is>
          <t>Fujairah location landing page</t>
        </is>
      </c>
      <c r="J384" t="inlineStr">
        <is>
          <t>Location landing</t>
        </is>
      </c>
      <c r="K384">
        <f>IFERROR(VLOOKUP($A384,'Semrush Import'!$A:$D,2,FALSE),"")</f>
        <v/>
      </c>
      <c r="L384">
        <f>IFERROR(VLOOKUP($A384,'Semrush Import'!$A:$D,3,FALSE),"")</f>
        <v/>
      </c>
      <c r="M384">
        <f>IFERROR(VLOOKUP($A384,'Semrush Import'!$A:$D,4,FALSE),"")</f>
        <v/>
      </c>
      <c r="N384">
        <f>IFERROR(VLOOKUP($A384,'KP Import'!$A:$B,2,FALSE),"")</f>
        <v/>
      </c>
      <c r="O384">
        <f>IF(K384="","",ROUND(K384/(L384+10),1))</f>
        <v/>
      </c>
      <c r="P384">
        <f>IF(O384="","",IF(O384&gt;=20,"A - Go first",IF(O384&gt;=5,"B - Next","C - Later")))</f>
        <v/>
      </c>
      <c r="Q384" t="inlineStr">
        <is>
          <t>To research</t>
        </is>
      </c>
      <c r="R384" t="inlineStr"/>
    </row>
    <row r="385">
      <c r="A385" t="inlineStr">
        <is>
          <t>basmati rice umm al quwain</t>
        </is>
      </c>
      <c r="B385" t="inlineStr">
        <is>
          <t>Phase 1 - B2B now</t>
        </is>
      </c>
      <c r="C385" t="inlineStr">
        <is>
          <t>Wholesalers / bulk buyers</t>
        </is>
      </c>
      <c r="D385" t="inlineStr">
        <is>
          <t>Location</t>
        </is>
      </c>
      <c r="E385" t="inlineStr">
        <is>
          <t>Basmati Rice</t>
        </is>
      </c>
      <c r="F385" t="inlineStr">
        <is>
          <t>Local/Transactional</t>
        </is>
      </c>
      <c r="G385" t="inlineStr">
        <is>
          <t>BOFU</t>
        </is>
      </c>
      <c r="H385" t="inlineStr">
        <is>
          <t>Umm Al Quwain</t>
        </is>
      </c>
      <c r="I385" t="inlineStr">
        <is>
          <t>Umm Al Quwain location landing page</t>
        </is>
      </c>
      <c r="J385" t="inlineStr">
        <is>
          <t>Location landing</t>
        </is>
      </c>
      <c r="K385">
        <f>IFERROR(VLOOKUP($A385,'Semrush Import'!$A:$D,2,FALSE),"")</f>
        <v/>
      </c>
      <c r="L385">
        <f>IFERROR(VLOOKUP($A385,'Semrush Import'!$A:$D,3,FALSE),"")</f>
        <v/>
      </c>
      <c r="M385">
        <f>IFERROR(VLOOKUP($A385,'Semrush Import'!$A:$D,4,FALSE),"")</f>
        <v/>
      </c>
      <c r="N385">
        <f>IFERROR(VLOOKUP($A385,'KP Import'!$A:$B,2,FALSE),"")</f>
        <v/>
      </c>
      <c r="O385">
        <f>IF(K385="","",ROUND(K385/(L385+10),1))</f>
        <v/>
      </c>
      <c r="P385">
        <f>IF(O385="","",IF(O385&gt;=20,"A - Go first",IF(O385&gt;=5,"B - Next","C - Later")))</f>
        <v/>
      </c>
      <c r="Q385" t="inlineStr">
        <is>
          <t>To research</t>
        </is>
      </c>
      <c r="R385" t="inlineStr"/>
    </row>
    <row r="386">
      <c r="A386" t="inlineStr">
        <is>
          <t>rice wholesale umm al quwain</t>
        </is>
      </c>
      <c r="B386" t="inlineStr">
        <is>
          <t>Phase 2 - B2C (later)</t>
        </is>
      </c>
      <c r="C386" t="inlineStr">
        <is>
          <t>Consumer / household</t>
        </is>
      </c>
      <c r="D386" t="inlineStr">
        <is>
          <t>Location</t>
        </is>
      </c>
      <c r="E386" t="inlineStr">
        <is>
          <t>Rice Wholesale</t>
        </is>
      </c>
      <c r="F386" t="inlineStr">
        <is>
          <t>Local/Transactional</t>
        </is>
      </c>
      <c r="G386" t="inlineStr">
        <is>
          <t>BOFU</t>
        </is>
      </c>
      <c r="H386" t="inlineStr">
        <is>
          <t>Umm Al Quwain</t>
        </is>
      </c>
      <c r="I386" t="inlineStr">
        <is>
          <t>Umm Al Quwain location landing page</t>
        </is>
      </c>
      <c r="J386" t="inlineStr">
        <is>
          <t>Location landing</t>
        </is>
      </c>
      <c r="K386">
        <f>IFERROR(VLOOKUP($A386,'Semrush Import'!$A:$D,2,FALSE),"")</f>
        <v/>
      </c>
      <c r="L386">
        <f>IFERROR(VLOOKUP($A386,'Semrush Import'!$A:$D,3,FALSE),"")</f>
        <v/>
      </c>
      <c r="M386">
        <f>IFERROR(VLOOKUP($A386,'Semrush Import'!$A:$D,4,FALSE),"")</f>
        <v/>
      </c>
      <c r="N386">
        <f>IFERROR(VLOOKUP($A386,'KP Import'!$A:$B,2,FALSE),"")</f>
        <v/>
      </c>
      <c r="O386">
        <f>IF(K386="","",ROUND(K386/(L386+10),1))</f>
        <v/>
      </c>
      <c r="P386">
        <f>IF(O386="","",IF(O386&gt;=20,"A - Go first",IF(O386&gt;=5,"B - Next","C - Later")))</f>
        <v/>
      </c>
      <c r="Q386" t="inlineStr">
        <is>
          <t>To research</t>
        </is>
      </c>
      <c r="R386" t="inlineStr"/>
    </row>
    <row r="387">
      <c r="A387" t="inlineStr">
        <is>
          <t>rice supplier umm al quwain</t>
        </is>
      </c>
      <c r="B387" t="inlineStr">
        <is>
          <t>Phase 1 - B2B now</t>
        </is>
      </c>
      <c r="C387" t="inlineStr">
        <is>
          <t>Wholesalers / bulk buyers</t>
        </is>
      </c>
      <c r="D387" t="inlineStr">
        <is>
          <t>Location</t>
        </is>
      </c>
      <c r="E387" t="inlineStr">
        <is>
          <t>Rice Supplier</t>
        </is>
      </c>
      <c r="F387" t="inlineStr">
        <is>
          <t>Local/Transactional</t>
        </is>
      </c>
      <c r="G387" t="inlineStr">
        <is>
          <t>BOFU</t>
        </is>
      </c>
      <c r="H387" t="inlineStr">
        <is>
          <t>Umm Al Quwain</t>
        </is>
      </c>
      <c r="I387" t="inlineStr">
        <is>
          <t>Umm Al Quwain location landing page</t>
        </is>
      </c>
      <c r="J387" t="inlineStr">
        <is>
          <t>Location landing</t>
        </is>
      </c>
      <c r="K387">
        <f>IFERROR(VLOOKUP($A387,'Semrush Import'!$A:$D,2,FALSE),"")</f>
        <v/>
      </c>
      <c r="L387">
        <f>IFERROR(VLOOKUP($A387,'Semrush Import'!$A:$D,3,FALSE),"")</f>
        <v/>
      </c>
      <c r="M387">
        <f>IFERROR(VLOOKUP($A387,'Semrush Import'!$A:$D,4,FALSE),"")</f>
        <v/>
      </c>
      <c r="N387">
        <f>IFERROR(VLOOKUP($A387,'KP Import'!$A:$B,2,FALSE),"")</f>
        <v/>
      </c>
      <c r="O387">
        <f>IF(K387="","",ROUND(K387/(L387+10),1))</f>
        <v/>
      </c>
      <c r="P387">
        <f>IF(O387="","",IF(O387&gt;=20,"A - Go first",IF(O387&gt;=5,"B - Next","C - Later")))</f>
        <v/>
      </c>
      <c r="Q387" t="inlineStr">
        <is>
          <t>To research</t>
        </is>
      </c>
      <c r="R387" t="inlineStr"/>
    </row>
    <row r="388">
      <c r="A388" t="inlineStr">
        <is>
          <t>buy rice online umm al quwain</t>
        </is>
      </c>
      <c r="B388" t="inlineStr">
        <is>
          <t>Phase 2 - B2C (later)</t>
        </is>
      </c>
      <c r="C388" t="inlineStr">
        <is>
          <t>Consumer / household</t>
        </is>
      </c>
      <c r="D388" t="inlineStr">
        <is>
          <t>Location</t>
        </is>
      </c>
      <c r="E388" t="inlineStr">
        <is>
          <t>Buy Rice Online</t>
        </is>
      </c>
      <c r="F388" t="inlineStr">
        <is>
          <t>Local/Transactional</t>
        </is>
      </c>
      <c r="G388" t="inlineStr">
        <is>
          <t>BOFU</t>
        </is>
      </c>
      <c r="H388" t="inlineStr">
        <is>
          <t>Umm Al Quwain</t>
        </is>
      </c>
      <c r="I388" t="inlineStr">
        <is>
          <t>Umm Al Quwain location landing page</t>
        </is>
      </c>
      <c r="J388" t="inlineStr">
        <is>
          <t>Location landing</t>
        </is>
      </c>
      <c r="K388">
        <f>IFERROR(VLOOKUP($A388,'Semrush Import'!$A:$D,2,FALSE),"")</f>
        <v/>
      </c>
      <c r="L388">
        <f>IFERROR(VLOOKUP($A388,'Semrush Import'!$A:$D,3,FALSE),"")</f>
        <v/>
      </c>
      <c r="M388">
        <f>IFERROR(VLOOKUP($A388,'Semrush Import'!$A:$D,4,FALSE),"")</f>
        <v/>
      </c>
      <c r="N388">
        <f>IFERROR(VLOOKUP($A388,'KP Import'!$A:$B,2,FALSE),"")</f>
        <v/>
      </c>
      <c r="O388">
        <f>IF(K388="","",ROUND(K388/(L388+10),1))</f>
        <v/>
      </c>
      <c r="P388">
        <f>IF(O388="","",IF(O388&gt;=20,"A - Go first",IF(O388&gt;=5,"B - Next","C - Later")))</f>
        <v/>
      </c>
      <c r="Q388" t="inlineStr">
        <is>
          <t>To research</t>
        </is>
      </c>
      <c r="R388" t="inlineStr"/>
    </row>
    <row r="389">
      <c r="A389" t="inlineStr">
        <is>
          <t>rice delivery umm al quwain</t>
        </is>
      </c>
      <c r="B389" t="inlineStr">
        <is>
          <t>Phase 2 - B2C (later)</t>
        </is>
      </c>
      <c r="C389" t="inlineStr">
        <is>
          <t>Consumer / household</t>
        </is>
      </c>
      <c r="D389" t="inlineStr">
        <is>
          <t>Location</t>
        </is>
      </c>
      <c r="E389" t="inlineStr">
        <is>
          <t>Rice Delivery</t>
        </is>
      </c>
      <c r="F389" t="inlineStr">
        <is>
          <t>Local/Transactional</t>
        </is>
      </c>
      <c r="G389" t="inlineStr">
        <is>
          <t>BOFU</t>
        </is>
      </c>
      <c r="H389" t="inlineStr">
        <is>
          <t>Umm Al Quwain</t>
        </is>
      </c>
      <c r="I389" t="inlineStr">
        <is>
          <t>Umm Al Quwain location landing page</t>
        </is>
      </c>
      <c r="J389" t="inlineStr">
        <is>
          <t>Location landing</t>
        </is>
      </c>
      <c r="K389">
        <f>IFERROR(VLOOKUP($A389,'Semrush Import'!$A:$D,2,FALSE),"")</f>
        <v/>
      </c>
      <c r="L389">
        <f>IFERROR(VLOOKUP($A389,'Semrush Import'!$A:$D,3,FALSE),"")</f>
        <v/>
      </c>
      <c r="M389">
        <f>IFERROR(VLOOKUP($A389,'Semrush Import'!$A:$D,4,FALSE),"")</f>
        <v/>
      </c>
      <c r="N389">
        <f>IFERROR(VLOOKUP($A389,'KP Import'!$A:$B,2,FALSE),"")</f>
        <v/>
      </c>
      <c r="O389">
        <f>IF(K389="","",ROUND(K389/(L389+10),1))</f>
        <v/>
      </c>
      <c r="P389">
        <f>IF(O389="","",IF(O389&gt;=20,"A - Go first",IF(O389&gt;=5,"B - Next","C - Later")))</f>
        <v/>
      </c>
      <c r="Q389" t="inlineStr">
        <is>
          <t>To research</t>
        </is>
      </c>
      <c r="R389" t="inlineStr"/>
    </row>
    <row r="390">
      <c r="A390" t="inlineStr">
        <is>
          <t>sella basmati rice umm al quwain</t>
        </is>
      </c>
      <c r="B390" t="inlineStr">
        <is>
          <t>Phase 1 - B2B now</t>
        </is>
      </c>
      <c r="C390" t="inlineStr">
        <is>
          <t>Wholesalers / bulk buyers</t>
        </is>
      </c>
      <c r="D390" t="inlineStr">
        <is>
          <t>Location</t>
        </is>
      </c>
      <c r="E390" t="inlineStr">
        <is>
          <t>Sella Basmati Rice</t>
        </is>
      </c>
      <c r="F390" t="inlineStr">
        <is>
          <t>Local/Transactional</t>
        </is>
      </c>
      <c r="G390" t="inlineStr">
        <is>
          <t>BOFU</t>
        </is>
      </c>
      <c r="H390" t="inlineStr">
        <is>
          <t>Umm Al Quwain</t>
        </is>
      </c>
      <c r="I390" t="inlineStr">
        <is>
          <t>Umm Al Quwain location landing page</t>
        </is>
      </c>
      <c r="J390" t="inlineStr">
        <is>
          <t>Location landing</t>
        </is>
      </c>
      <c r="K390">
        <f>IFERROR(VLOOKUP($A390,'Semrush Import'!$A:$D,2,FALSE),"")</f>
        <v/>
      </c>
      <c r="L390">
        <f>IFERROR(VLOOKUP($A390,'Semrush Import'!$A:$D,3,FALSE),"")</f>
        <v/>
      </c>
      <c r="M390">
        <f>IFERROR(VLOOKUP($A390,'Semrush Import'!$A:$D,4,FALSE),"")</f>
        <v/>
      </c>
      <c r="N390">
        <f>IFERROR(VLOOKUP($A390,'KP Import'!$A:$B,2,FALSE),"")</f>
        <v/>
      </c>
      <c r="O390">
        <f>IF(K390="","",ROUND(K390/(L390+10),1))</f>
        <v/>
      </c>
      <c r="P390">
        <f>IF(O390="","",IF(O390&gt;=20,"A - Go first",IF(O390&gt;=5,"B - Next","C - Later")))</f>
        <v/>
      </c>
      <c r="Q390" t="inlineStr">
        <is>
          <t>To research</t>
        </is>
      </c>
      <c r="R390" t="inlineStr"/>
    </row>
    <row r="391">
      <c r="A391" t="inlineStr">
        <is>
          <t>basmati rice al ain</t>
        </is>
      </c>
      <c r="B391" t="inlineStr">
        <is>
          <t>Phase 1 - B2B now</t>
        </is>
      </c>
      <c r="C391" t="inlineStr">
        <is>
          <t>Wholesalers / bulk buyers</t>
        </is>
      </c>
      <c r="D391" t="inlineStr">
        <is>
          <t>Location</t>
        </is>
      </c>
      <c r="E391" t="inlineStr">
        <is>
          <t>Basmati Rice</t>
        </is>
      </c>
      <c r="F391" t="inlineStr">
        <is>
          <t>Local/Transactional</t>
        </is>
      </c>
      <c r="G391" t="inlineStr">
        <is>
          <t>BOFU</t>
        </is>
      </c>
      <c r="H391" t="inlineStr">
        <is>
          <t>Al Ain</t>
        </is>
      </c>
      <c r="I391" t="inlineStr">
        <is>
          <t>Al Ain location landing page</t>
        </is>
      </c>
      <c r="J391" t="inlineStr">
        <is>
          <t>Location landing</t>
        </is>
      </c>
      <c r="K391">
        <f>IFERROR(VLOOKUP($A391,'Semrush Import'!$A:$D,2,FALSE),"")</f>
        <v/>
      </c>
      <c r="L391">
        <f>IFERROR(VLOOKUP($A391,'Semrush Import'!$A:$D,3,FALSE),"")</f>
        <v/>
      </c>
      <c r="M391">
        <f>IFERROR(VLOOKUP($A391,'Semrush Import'!$A:$D,4,FALSE),"")</f>
        <v/>
      </c>
      <c r="N391">
        <f>IFERROR(VLOOKUP($A391,'KP Import'!$A:$B,2,FALSE),"")</f>
        <v/>
      </c>
      <c r="O391">
        <f>IF(K391="","",ROUND(K391/(L391+10),1))</f>
        <v/>
      </c>
      <c r="P391">
        <f>IF(O391="","",IF(O391&gt;=20,"A - Go first",IF(O391&gt;=5,"B - Next","C - Later")))</f>
        <v/>
      </c>
      <c r="Q391" t="inlineStr">
        <is>
          <t>To research</t>
        </is>
      </c>
      <c r="R391" t="inlineStr"/>
    </row>
    <row r="392">
      <c r="A392" t="inlineStr">
        <is>
          <t>rice wholesale al ain</t>
        </is>
      </c>
      <c r="B392" t="inlineStr">
        <is>
          <t>Phase 2 - B2C (later)</t>
        </is>
      </c>
      <c r="C392" t="inlineStr">
        <is>
          <t>Consumer / household</t>
        </is>
      </c>
      <c r="D392" t="inlineStr">
        <is>
          <t>Location</t>
        </is>
      </c>
      <c r="E392" t="inlineStr">
        <is>
          <t>Rice Wholesale</t>
        </is>
      </c>
      <c r="F392" t="inlineStr">
        <is>
          <t>Local/Transactional</t>
        </is>
      </c>
      <c r="G392" t="inlineStr">
        <is>
          <t>BOFU</t>
        </is>
      </c>
      <c r="H392" t="inlineStr">
        <is>
          <t>Al Ain</t>
        </is>
      </c>
      <c r="I392" t="inlineStr">
        <is>
          <t>Al Ain location landing page</t>
        </is>
      </c>
      <c r="J392" t="inlineStr">
        <is>
          <t>Location landing</t>
        </is>
      </c>
      <c r="K392">
        <f>IFERROR(VLOOKUP($A392,'Semrush Import'!$A:$D,2,FALSE),"")</f>
        <v/>
      </c>
      <c r="L392">
        <f>IFERROR(VLOOKUP($A392,'Semrush Import'!$A:$D,3,FALSE),"")</f>
        <v/>
      </c>
      <c r="M392">
        <f>IFERROR(VLOOKUP($A392,'Semrush Import'!$A:$D,4,FALSE),"")</f>
        <v/>
      </c>
      <c r="N392">
        <f>IFERROR(VLOOKUP($A392,'KP Import'!$A:$B,2,FALSE),"")</f>
        <v/>
      </c>
      <c r="O392">
        <f>IF(K392="","",ROUND(K392/(L392+10),1))</f>
        <v/>
      </c>
      <c r="P392">
        <f>IF(O392="","",IF(O392&gt;=20,"A - Go first",IF(O392&gt;=5,"B - Next","C - Later")))</f>
        <v/>
      </c>
      <c r="Q392" t="inlineStr">
        <is>
          <t>To research</t>
        </is>
      </c>
      <c r="R392" t="inlineStr"/>
    </row>
    <row r="393">
      <c r="A393" t="inlineStr">
        <is>
          <t>rice supplier al ain</t>
        </is>
      </c>
      <c r="B393" t="inlineStr">
        <is>
          <t>Phase 1 - B2B now</t>
        </is>
      </c>
      <c r="C393" t="inlineStr">
        <is>
          <t>Wholesalers / bulk buyers</t>
        </is>
      </c>
      <c r="D393" t="inlineStr">
        <is>
          <t>Location</t>
        </is>
      </c>
      <c r="E393" t="inlineStr">
        <is>
          <t>Rice Supplier</t>
        </is>
      </c>
      <c r="F393" t="inlineStr">
        <is>
          <t>Local/Transactional</t>
        </is>
      </c>
      <c r="G393" t="inlineStr">
        <is>
          <t>BOFU</t>
        </is>
      </c>
      <c r="H393" t="inlineStr">
        <is>
          <t>Al Ain</t>
        </is>
      </c>
      <c r="I393" t="inlineStr">
        <is>
          <t>Al Ain location landing page</t>
        </is>
      </c>
      <c r="J393" t="inlineStr">
        <is>
          <t>Location landing</t>
        </is>
      </c>
      <c r="K393">
        <f>IFERROR(VLOOKUP($A393,'Semrush Import'!$A:$D,2,FALSE),"")</f>
        <v/>
      </c>
      <c r="L393">
        <f>IFERROR(VLOOKUP($A393,'Semrush Import'!$A:$D,3,FALSE),"")</f>
        <v/>
      </c>
      <c r="M393">
        <f>IFERROR(VLOOKUP($A393,'Semrush Import'!$A:$D,4,FALSE),"")</f>
        <v/>
      </c>
      <c r="N393">
        <f>IFERROR(VLOOKUP($A393,'KP Import'!$A:$B,2,FALSE),"")</f>
        <v/>
      </c>
      <c r="O393">
        <f>IF(K393="","",ROUND(K393/(L393+10),1))</f>
        <v/>
      </c>
      <c r="P393">
        <f>IF(O393="","",IF(O393&gt;=20,"A - Go first",IF(O393&gt;=5,"B - Next","C - Later")))</f>
        <v/>
      </c>
      <c r="Q393" t="inlineStr">
        <is>
          <t>To research</t>
        </is>
      </c>
      <c r="R393" t="inlineStr"/>
    </row>
    <row r="394">
      <c r="A394" t="inlineStr">
        <is>
          <t>buy rice online al ain</t>
        </is>
      </c>
      <c r="B394" t="inlineStr">
        <is>
          <t>Phase 2 - B2C (later)</t>
        </is>
      </c>
      <c r="C394" t="inlineStr">
        <is>
          <t>Consumer / household</t>
        </is>
      </c>
      <c r="D394" t="inlineStr">
        <is>
          <t>Location</t>
        </is>
      </c>
      <c r="E394" t="inlineStr">
        <is>
          <t>Buy Rice Online</t>
        </is>
      </c>
      <c r="F394" t="inlineStr">
        <is>
          <t>Local/Transactional</t>
        </is>
      </c>
      <c r="G394" t="inlineStr">
        <is>
          <t>BOFU</t>
        </is>
      </c>
      <c r="H394" t="inlineStr">
        <is>
          <t>Al Ain</t>
        </is>
      </c>
      <c r="I394" t="inlineStr">
        <is>
          <t>Al Ain location landing page</t>
        </is>
      </c>
      <c r="J394" t="inlineStr">
        <is>
          <t>Location landing</t>
        </is>
      </c>
      <c r="K394">
        <f>IFERROR(VLOOKUP($A394,'Semrush Import'!$A:$D,2,FALSE),"")</f>
        <v/>
      </c>
      <c r="L394">
        <f>IFERROR(VLOOKUP($A394,'Semrush Import'!$A:$D,3,FALSE),"")</f>
        <v/>
      </c>
      <c r="M394">
        <f>IFERROR(VLOOKUP($A394,'Semrush Import'!$A:$D,4,FALSE),"")</f>
        <v/>
      </c>
      <c r="N394">
        <f>IFERROR(VLOOKUP($A394,'KP Import'!$A:$B,2,FALSE),"")</f>
        <v/>
      </c>
      <c r="O394">
        <f>IF(K394="","",ROUND(K394/(L394+10),1))</f>
        <v/>
      </c>
      <c r="P394">
        <f>IF(O394="","",IF(O394&gt;=20,"A - Go first",IF(O394&gt;=5,"B - Next","C - Later")))</f>
        <v/>
      </c>
      <c r="Q394" t="inlineStr">
        <is>
          <t>To research</t>
        </is>
      </c>
      <c r="R394" t="inlineStr"/>
    </row>
    <row r="395">
      <c r="A395" t="inlineStr">
        <is>
          <t>rice delivery al ain</t>
        </is>
      </c>
      <c r="B395" t="inlineStr">
        <is>
          <t>Phase 2 - B2C (later)</t>
        </is>
      </c>
      <c r="C395" t="inlineStr">
        <is>
          <t>Consumer / household</t>
        </is>
      </c>
      <c r="D395" t="inlineStr">
        <is>
          <t>Location</t>
        </is>
      </c>
      <c r="E395" t="inlineStr">
        <is>
          <t>Rice Delivery</t>
        </is>
      </c>
      <c r="F395" t="inlineStr">
        <is>
          <t>Local/Transactional</t>
        </is>
      </c>
      <c r="G395" t="inlineStr">
        <is>
          <t>BOFU</t>
        </is>
      </c>
      <c r="H395" t="inlineStr">
        <is>
          <t>Al Ain</t>
        </is>
      </c>
      <c r="I395" t="inlineStr">
        <is>
          <t>Al Ain location landing page</t>
        </is>
      </c>
      <c r="J395" t="inlineStr">
        <is>
          <t>Location landing</t>
        </is>
      </c>
      <c r="K395">
        <f>IFERROR(VLOOKUP($A395,'Semrush Import'!$A:$D,2,FALSE),"")</f>
        <v/>
      </c>
      <c r="L395">
        <f>IFERROR(VLOOKUP($A395,'Semrush Import'!$A:$D,3,FALSE),"")</f>
        <v/>
      </c>
      <c r="M395">
        <f>IFERROR(VLOOKUP($A395,'Semrush Import'!$A:$D,4,FALSE),"")</f>
        <v/>
      </c>
      <c r="N395">
        <f>IFERROR(VLOOKUP($A395,'KP Import'!$A:$B,2,FALSE),"")</f>
        <v/>
      </c>
      <c r="O395">
        <f>IF(K395="","",ROUND(K395/(L395+10),1))</f>
        <v/>
      </c>
      <c r="P395">
        <f>IF(O395="","",IF(O395&gt;=20,"A - Go first",IF(O395&gt;=5,"B - Next","C - Later")))</f>
        <v/>
      </c>
      <c r="Q395" t="inlineStr">
        <is>
          <t>To research</t>
        </is>
      </c>
      <c r="R395" t="inlineStr"/>
    </row>
    <row r="396">
      <c r="A396" t="inlineStr">
        <is>
          <t>sella basmati rice al ain</t>
        </is>
      </c>
      <c r="B396" t="inlineStr">
        <is>
          <t>Phase 1 - B2B now</t>
        </is>
      </c>
      <c r="C396" t="inlineStr">
        <is>
          <t>Wholesalers / bulk buyers</t>
        </is>
      </c>
      <c r="D396" t="inlineStr">
        <is>
          <t>Location</t>
        </is>
      </c>
      <c r="E396" t="inlineStr">
        <is>
          <t>Sella Basmati Rice</t>
        </is>
      </c>
      <c r="F396" t="inlineStr">
        <is>
          <t>Local/Transactional</t>
        </is>
      </c>
      <c r="G396" t="inlineStr">
        <is>
          <t>BOFU</t>
        </is>
      </c>
      <c r="H396" t="inlineStr">
        <is>
          <t>Al Ain</t>
        </is>
      </c>
      <c r="I396" t="inlineStr">
        <is>
          <t>Al Ain location landing page</t>
        </is>
      </c>
      <c r="J396" t="inlineStr">
        <is>
          <t>Location landing</t>
        </is>
      </c>
      <c r="K396">
        <f>IFERROR(VLOOKUP($A396,'Semrush Import'!$A:$D,2,FALSE),"")</f>
        <v/>
      </c>
      <c r="L396">
        <f>IFERROR(VLOOKUP($A396,'Semrush Import'!$A:$D,3,FALSE),"")</f>
        <v/>
      </c>
      <c r="M396">
        <f>IFERROR(VLOOKUP($A396,'Semrush Import'!$A:$D,4,FALSE),"")</f>
        <v/>
      </c>
      <c r="N396">
        <f>IFERROR(VLOOKUP($A396,'KP Import'!$A:$B,2,FALSE),"")</f>
        <v/>
      </c>
      <c r="O396">
        <f>IF(K396="","",ROUND(K396/(L396+10),1))</f>
        <v/>
      </c>
      <c r="P396">
        <f>IF(O396="","",IF(O396&gt;=20,"A - Go first",IF(O396&gt;=5,"B - Next","C - Later")))</f>
        <v/>
      </c>
      <c r="Q396" t="inlineStr">
        <is>
          <t>To research</t>
        </is>
      </c>
      <c r="R396" t="inlineStr"/>
    </row>
    <row r="397">
      <c r="A397" t="inlineStr">
        <is>
          <t>rice delivery deira</t>
        </is>
      </c>
      <c r="B397" t="inlineStr">
        <is>
          <t>Phase 2 - B2C (later)</t>
        </is>
      </c>
      <c r="C397" t="inlineStr">
        <is>
          <t>Consumer / household</t>
        </is>
      </c>
      <c r="D397" t="inlineStr">
        <is>
          <t>Dubai area</t>
        </is>
      </c>
      <c r="E397" t="inlineStr">
        <is>
          <t>Rice Delivery</t>
        </is>
      </c>
      <c r="F397" t="inlineStr">
        <is>
          <t>Local/Transactional</t>
        </is>
      </c>
      <c r="G397" t="inlineStr">
        <is>
          <t>BOFU</t>
        </is>
      </c>
      <c r="H397" t="inlineStr">
        <is>
          <t>Dubai - Deira</t>
        </is>
      </c>
      <c r="I397" t="inlineStr">
        <is>
          <t>Dubai location page (area section)</t>
        </is>
      </c>
      <c r="J397" t="inlineStr">
        <is>
          <t>Location landing</t>
        </is>
      </c>
      <c r="K397">
        <f>IFERROR(VLOOKUP($A397,'Semrush Import'!$A:$D,2,FALSE),"")</f>
        <v/>
      </c>
      <c r="L397">
        <f>IFERROR(VLOOKUP($A397,'Semrush Import'!$A:$D,3,FALSE),"")</f>
        <v/>
      </c>
      <c r="M397">
        <f>IFERROR(VLOOKUP($A397,'Semrush Import'!$A:$D,4,FALSE),"")</f>
        <v/>
      </c>
      <c r="N397">
        <f>IFERROR(VLOOKUP($A397,'KP Import'!$A:$B,2,FALSE),"")</f>
        <v/>
      </c>
      <c r="O397">
        <f>IF(K397="","",ROUND(K397/(L397+10),1))</f>
        <v/>
      </c>
      <c r="P397">
        <f>IF(O397="","",IF(O397&gt;=20,"A - Go first",IF(O397&gt;=5,"B - Next","C - Later")))</f>
        <v/>
      </c>
      <c r="Q397" t="inlineStr">
        <is>
          <t>To research</t>
        </is>
      </c>
      <c r="R397" t="inlineStr"/>
    </row>
    <row r="398">
      <c r="A398" t="inlineStr">
        <is>
          <t>rice wholesale deira</t>
        </is>
      </c>
      <c r="B398" t="inlineStr">
        <is>
          <t>Phase 2 - B2C (later)</t>
        </is>
      </c>
      <c r="C398" t="inlineStr">
        <is>
          <t>Consumer / household</t>
        </is>
      </c>
      <c r="D398" t="inlineStr">
        <is>
          <t>Dubai area</t>
        </is>
      </c>
      <c r="E398" t="inlineStr">
        <is>
          <t>Rice Wholesale</t>
        </is>
      </c>
      <c r="F398" t="inlineStr">
        <is>
          <t>Local/Transactional</t>
        </is>
      </c>
      <c r="G398" t="inlineStr">
        <is>
          <t>BOFU</t>
        </is>
      </c>
      <c r="H398" t="inlineStr">
        <is>
          <t>Dubai - Deira</t>
        </is>
      </c>
      <c r="I398" t="inlineStr">
        <is>
          <t>Dubai location page (area section)</t>
        </is>
      </c>
      <c r="J398" t="inlineStr">
        <is>
          <t>Location landing</t>
        </is>
      </c>
      <c r="K398">
        <f>IFERROR(VLOOKUP($A398,'Semrush Import'!$A:$D,2,FALSE),"")</f>
        <v/>
      </c>
      <c r="L398">
        <f>IFERROR(VLOOKUP($A398,'Semrush Import'!$A:$D,3,FALSE),"")</f>
        <v/>
      </c>
      <c r="M398">
        <f>IFERROR(VLOOKUP($A398,'Semrush Import'!$A:$D,4,FALSE),"")</f>
        <v/>
      </c>
      <c r="N398">
        <f>IFERROR(VLOOKUP($A398,'KP Import'!$A:$B,2,FALSE),"")</f>
        <v/>
      </c>
      <c r="O398">
        <f>IF(K398="","",ROUND(K398/(L398+10),1))</f>
        <v/>
      </c>
      <c r="P398">
        <f>IF(O398="","",IF(O398&gt;=20,"A - Go first",IF(O398&gt;=5,"B - Next","C - Later")))</f>
        <v/>
      </c>
      <c r="Q398" t="inlineStr">
        <is>
          <t>To research</t>
        </is>
      </c>
      <c r="R398" t="inlineStr"/>
    </row>
    <row r="399">
      <c r="A399" t="inlineStr">
        <is>
          <t>basmati rice deira</t>
        </is>
      </c>
      <c r="B399" t="inlineStr">
        <is>
          <t>Phase 1 - B2B now</t>
        </is>
      </c>
      <c r="C399" t="inlineStr">
        <is>
          <t>Wholesalers / bulk buyers</t>
        </is>
      </c>
      <c r="D399" t="inlineStr">
        <is>
          <t>Dubai area</t>
        </is>
      </c>
      <c r="E399" t="inlineStr">
        <is>
          <t>Basmati Rice</t>
        </is>
      </c>
      <c r="F399" t="inlineStr">
        <is>
          <t>Local/Transactional</t>
        </is>
      </c>
      <c r="G399" t="inlineStr">
        <is>
          <t>BOFU</t>
        </is>
      </c>
      <c r="H399" t="inlineStr">
        <is>
          <t>Dubai - Deira</t>
        </is>
      </c>
      <c r="I399" t="inlineStr">
        <is>
          <t>Dubai location page (area section)</t>
        </is>
      </c>
      <c r="J399" t="inlineStr">
        <is>
          <t>Location landing</t>
        </is>
      </c>
      <c r="K399">
        <f>IFERROR(VLOOKUP($A399,'Semrush Import'!$A:$D,2,FALSE),"")</f>
        <v/>
      </c>
      <c r="L399">
        <f>IFERROR(VLOOKUP($A399,'Semrush Import'!$A:$D,3,FALSE),"")</f>
        <v/>
      </c>
      <c r="M399">
        <f>IFERROR(VLOOKUP($A399,'Semrush Import'!$A:$D,4,FALSE),"")</f>
        <v/>
      </c>
      <c r="N399">
        <f>IFERROR(VLOOKUP($A399,'KP Import'!$A:$B,2,FALSE),"")</f>
        <v/>
      </c>
      <c r="O399">
        <f>IF(K399="","",ROUND(K399/(L399+10),1))</f>
        <v/>
      </c>
      <c r="P399">
        <f>IF(O399="","",IF(O399&gt;=20,"A - Go first",IF(O399&gt;=5,"B - Next","C - Later")))</f>
        <v/>
      </c>
      <c r="Q399" t="inlineStr">
        <is>
          <t>To research</t>
        </is>
      </c>
      <c r="R399" t="inlineStr"/>
    </row>
    <row r="400">
      <c r="A400" t="inlineStr">
        <is>
          <t>rice delivery bur dubai</t>
        </is>
      </c>
      <c r="B400" t="inlineStr">
        <is>
          <t>Phase 2 - B2C (later)</t>
        </is>
      </c>
      <c r="C400" t="inlineStr">
        <is>
          <t>Consumer / household</t>
        </is>
      </c>
      <c r="D400" t="inlineStr">
        <is>
          <t>Dubai area</t>
        </is>
      </c>
      <c r="E400" t="inlineStr">
        <is>
          <t>Rice Delivery</t>
        </is>
      </c>
      <c r="F400" t="inlineStr">
        <is>
          <t>Local/Transactional</t>
        </is>
      </c>
      <c r="G400" t="inlineStr">
        <is>
          <t>BOFU</t>
        </is>
      </c>
      <c r="H400" t="inlineStr">
        <is>
          <t>Dubai - Bur Dubai</t>
        </is>
      </c>
      <c r="I400" t="inlineStr">
        <is>
          <t>Dubai location page (area section)</t>
        </is>
      </c>
      <c r="J400" t="inlineStr">
        <is>
          <t>Location landing</t>
        </is>
      </c>
      <c r="K400">
        <f>IFERROR(VLOOKUP($A400,'Semrush Import'!$A:$D,2,FALSE),"")</f>
        <v/>
      </c>
      <c r="L400">
        <f>IFERROR(VLOOKUP($A400,'Semrush Import'!$A:$D,3,FALSE),"")</f>
        <v/>
      </c>
      <c r="M400">
        <f>IFERROR(VLOOKUP($A400,'Semrush Import'!$A:$D,4,FALSE),"")</f>
        <v/>
      </c>
      <c r="N400">
        <f>IFERROR(VLOOKUP($A400,'KP Import'!$A:$B,2,FALSE),"")</f>
        <v/>
      </c>
      <c r="O400">
        <f>IF(K400="","",ROUND(K400/(L400+10),1))</f>
        <v/>
      </c>
      <c r="P400">
        <f>IF(O400="","",IF(O400&gt;=20,"A - Go first",IF(O400&gt;=5,"B - Next","C - Later")))</f>
        <v/>
      </c>
      <c r="Q400" t="inlineStr">
        <is>
          <t>To research</t>
        </is>
      </c>
      <c r="R400" t="inlineStr"/>
    </row>
    <row r="401">
      <c r="A401" t="inlineStr">
        <is>
          <t>rice wholesale bur dubai</t>
        </is>
      </c>
      <c r="B401" t="inlineStr">
        <is>
          <t>Phase 2 - B2C (later)</t>
        </is>
      </c>
      <c r="C401" t="inlineStr">
        <is>
          <t>Consumer / household</t>
        </is>
      </c>
      <c r="D401" t="inlineStr">
        <is>
          <t>Dubai area</t>
        </is>
      </c>
      <c r="E401" t="inlineStr">
        <is>
          <t>Rice Wholesale</t>
        </is>
      </c>
      <c r="F401" t="inlineStr">
        <is>
          <t>Local/Transactional</t>
        </is>
      </c>
      <c r="G401" t="inlineStr">
        <is>
          <t>BOFU</t>
        </is>
      </c>
      <c r="H401" t="inlineStr">
        <is>
          <t>Dubai - Bur Dubai</t>
        </is>
      </c>
      <c r="I401" t="inlineStr">
        <is>
          <t>Dubai location page (area section)</t>
        </is>
      </c>
      <c r="J401" t="inlineStr">
        <is>
          <t>Location landing</t>
        </is>
      </c>
      <c r="K401">
        <f>IFERROR(VLOOKUP($A401,'Semrush Import'!$A:$D,2,FALSE),"")</f>
        <v/>
      </c>
      <c r="L401">
        <f>IFERROR(VLOOKUP($A401,'Semrush Import'!$A:$D,3,FALSE),"")</f>
        <v/>
      </c>
      <c r="M401">
        <f>IFERROR(VLOOKUP($A401,'Semrush Import'!$A:$D,4,FALSE),"")</f>
        <v/>
      </c>
      <c r="N401">
        <f>IFERROR(VLOOKUP($A401,'KP Import'!$A:$B,2,FALSE),"")</f>
        <v/>
      </c>
      <c r="O401">
        <f>IF(K401="","",ROUND(K401/(L401+10),1))</f>
        <v/>
      </c>
      <c r="P401">
        <f>IF(O401="","",IF(O401&gt;=20,"A - Go first",IF(O401&gt;=5,"B - Next","C - Later")))</f>
        <v/>
      </c>
      <c r="Q401" t="inlineStr">
        <is>
          <t>To research</t>
        </is>
      </c>
      <c r="R401" t="inlineStr"/>
    </row>
    <row r="402">
      <c r="A402" t="inlineStr">
        <is>
          <t>basmati rice bur dubai</t>
        </is>
      </c>
      <c r="B402" t="inlineStr">
        <is>
          <t>Phase 1 - B2B now</t>
        </is>
      </c>
      <c r="C402" t="inlineStr">
        <is>
          <t>Wholesalers / bulk buyers</t>
        </is>
      </c>
      <c r="D402" t="inlineStr">
        <is>
          <t>Dubai area</t>
        </is>
      </c>
      <c r="E402" t="inlineStr">
        <is>
          <t>Basmati Rice</t>
        </is>
      </c>
      <c r="F402" t="inlineStr">
        <is>
          <t>Local/Transactional</t>
        </is>
      </c>
      <c r="G402" t="inlineStr">
        <is>
          <t>BOFU</t>
        </is>
      </c>
      <c r="H402" t="inlineStr">
        <is>
          <t>Dubai - Bur Dubai</t>
        </is>
      </c>
      <c r="I402" t="inlineStr">
        <is>
          <t>Dubai location page (area section)</t>
        </is>
      </c>
      <c r="J402" t="inlineStr">
        <is>
          <t>Location landing</t>
        </is>
      </c>
      <c r="K402">
        <f>IFERROR(VLOOKUP($A402,'Semrush Import'!$A:$D,2,FALSE),"")</f>
        <v/>
      </c>
      <c r="L402">
        <f>IFERROR(VLOOKUP($A402,'Semrush Import'!$A:$D,3,FALSE),"")</f>
        <v/>
      </c>
      <c r="M402">
        <f>IFERROR(VLOOKUP($A402,'Semrush Import'!$A:$D,4,FALSE),"")</f>
        <v/>
      </c>
      <c r="N402">
        <f>IFERROR(VLOOKUP($A402,'KP Import'!$A:$B,2,FALSE),"")</f>
        <v/>
      </c>
      <c r="O402">
        <f>IF(K402="","",ROUND(K402/(L402+10),1))</f>
        <v/>
      </c>
      <c r="P402">
        <f>IF(O402="","",IF(O402&gt;=20,"A - Go first",IF(O402&gt;=5,"B - Next","C - Later")))</f>
        <v/>
      </c>
      <c r="Q402" t="inlineStr">
        <is>
          <t>To research</t>
        </is>
      </c>
      <c r="R402" t="inlineStr"/>
    </row>
    <row r="403">
      <c r="A403" t="inlineStr">
        <is>
          <t>rice delivery al quoz</t>
        </is>
      </c>
      <c r="B403" t="inlineStr">
        <is>
          <t>Phase 2 - B2C (later)</t>
        </is>
      </c>
      <c r="C403" t="inlineStr">
        <is>
          <t>Consumer / household</t>
        </is>
      </c>
      <c r="D403" t="inlineStr">
        <is>
          <t>Dubai area</t>
        </is>
      </c>
      <c r="E403" t="inlineStr">
        <is>
          <t>Rice Delivery</t>
        </is>
      </c>
      <c r="F403" t="inlineStr">
        <is>
          <t>Local/Transactional</t>
        </is>
      </c>
      <c r="G403" t="inlineStr">
        <is>
          <t>BOFU</t>
        </is>
      </c>
      <c r="H403" t="inlineStr">
        <is>
          <t>Dubai - Al Quoz</t>
        </is>
      </c>
      <c r="I403" t="inlineStr">
        <is>
          <t>Dubai location page (area section)</t>
        </is>
      </c>
      <c r="J403" t="inlineStr">
        <is>
          <t>Location landing</t>
        </is>
      </c>
      <c r="K403">
        <f>IFERROR(VLOOKUP($A403,'Semrush Import'!$A:$D,2,FALSE),"")</f>
        <v/>
      </c>
      <c r="L403">
        <f>IFERROR(VLOOKUP($A403,'Semrush Import'!$A:$D,3,FALSE),"")</f>
        <v/>
      </c>
      <c r="M403">
        <f>IFERROR(VLOOKUP($A403,'Semrush Import'!$A:$D,4,FALSE),"")</f>
        <v/>
      </c>
      <c r="N403">
        <f>IFERROR(VLOOKUP($A403,'KP Import'!$A:$B,2,FALSE),"")</f>
        <v/>
      </c>
      <c r="O403">
        <f>IF(K403="","",ROUND(K403/(L403+10),1))</f>
        <v/>
      </c>
      <c r="P403">
        <f>IF(O403="","",IF(O403&gt;=20,"A - Go first",IF(O403&gt;=5,"B - Next","C - Later")))</f>
        <v/>
      </c>
      <c r="Q403" t="inlineStr">
        <is>
          <t>To research</t>
        </is>
      </c>
      <c r="R403" t="inlineStr"/>
    </row>
    <row r="404">
      <c r="A404" t="inlineStr">
        <is>
          <t>rice wholesale al quoz</t>
        </is>
      </c>
      <c r="B404" t="inlineStr">
        <is>
          <t>Phase 2 - B2C (later)</t>
        </is>
      </c>
      <c r="C404" t="inlineStr">
        <is>
          <t>Consumer / household</t>
        </is>
      </c>
      <c r="D404" t="inlineStr">
        <is>
          <t>Dubai area</t>
        </is>
      </c>
      <c r="E404" t="inlineStr">
        <is>
          <t>Rice Wholesale</t>
        </is>
      </c>
      <c r="F404" t="inlineStr">
        <is>
          <t>Local/Transactional</t>
        </is>
      </c>
      <c r="G404" t="inlineStr">
        <is>
          <t>BOFU</t>
        </is>
      </c>
      <c r="H404" t="inlineStr">
        <is>
          <t>Dubai - Al Quoz</t>
        </is>
      </c>
      <c r="I404" t="inlineStr">
        <is>
          <t>Dubai location page (area section)</t>
        </is>
      </c>
      <c r="J404" t="inlineStr">
        <is>
          <t>Location landing</t>
        </is>
      </c>
      <c r="K404">
        <f>IFERROR(VLOOKUP($A404,'Semrush Import'!$A:$D,2,FALSE),"")</f>
        <v/>
      </c>
      <c r="L404">
        <f>IFERROR(VLOOKUP($A404,'Semrush Import'!$A:$D,3,FALSE),"")</f>
        <v/>
      </c>
      <c r="M404">
        <f>IFERROR(VLOOKUP($A404,'Semrush Import'!$A:$D,4,FALSE),"")</f>
        <v/>
      </c>
      <c r="N404">
        <f>IFERROR(VLOOKUP($A404,'KP Import'!$A:$B,2,FALSE),"")</f>
        <v/>
      </c>
      <c r="O404">
        <f>IF(K404="","",ROUND(K404/(L404+10),1))</f>
        <v/>
      </c>
      <c r="P404">
        <f>IF(O404="","",IF(O404&gt;=20,"A - Go first",IF(O404&gt;=5,"B - Next","C - Later")))</f>
        <v/>
      </c>
      <c r="Q404" t="inlineStr">
        <is>
          <t>To research</t>
        </is>
      </c>
      <c r="R404" t="inlineStr"/>
    </row>
    <row r="405">
      <c r="A405" t="inlineStr">
        <is>
          <t>basmati rice al quoz</t>
        </is>
      </c>
      <c r="B405" t="inlineStr">
        <is>
          <t>Phase 1 - B2B now</t>
        </is>
      </c>
      <c r="C405" t="inlineStr">
        <is>
          <t>Wholesalers / bulk buyers</t>
        </is>
      </c>
      <c r="D405" t="inlineStr">
        <is>
          <t>Dubai area</t>
        </is>
      </c>
      <c r="E405" t="inlineStr">
        <is>
          <t>Basmati Rice</t>
        </is>
      </c>
      <c r="F405" t="inlineStr">
        <is>
          <t>Local/Transactional</t>
        </is>
      </c>
      <c r="G405" t="inlineStr">
        <is>
          <t>BOFU</t>
        </is>
      </c>
      <c r="H405" t="inlineStr">
        <is>
          <t>Dubai - Al Quoz</t>
        </is>
      </c>
      <c r="I405" t="inlineStr">
        <is>
          <t>Dubai location page (area section)</t>
        </is>
      </c>
      <c r="J405" t="inlineStr">
        <is>
          <t>Location landing</t>
        </is>
      </c>
      <c r="K405">
        <f>IFERROR(VLOOKUP($A405,'Semrush Import'!$A:$D,2,FALSE),"")</f>
        <v/>
      </c>
      <c r="L405">
        <f>IFERROR(VLOOKUP($A405,'Semrush Import'!$A:$D,3,FALSE),"")</f>
        <v/>
      </c>
      <c r="M405">
        <f>IFERROR(VLOOKUP($A405,'Semrush Import'!$A:$D,4,FALSE),"")</f>
        <v/>
      </c>
      <c r="N405">
        <f>IFERROR(VLOOKUP($A405,'KP Import'!$A:$B,2,FALSE),"")</f>
        <v/>
      </c>
      <c r="O405">
        <f>IF(K405="","",ROUND(K405/(L405+10),1))</f>
        <v/>
      </c>
      <c r="P405">
        <f>IF(O405="","",IF(O405&gt;=20,"A - Go first",IF(O405&gt;=5,"B - Next","C - Later")))</f>
        <v/>
      </c>
      <c r="Q405" t="inlineStr">
        <is>
          <t>To research</t>
        </is>
      </c>
      <c r="R405" t="inlineStr"/>
    </row>
    <row r="406">
      <c r="A406" t="inlineStr">
        <is>
          <t>rice delivery karama</t>
        </is>
      </c>
      <c r="B406" t="inlineStr">
        <is>
          <t>Phase 2 - B2C (later)</t>
        </is>
      </c>
      <c r="C406" t="inlineStr">
        <is>
          <t>Consumer / household</t>
        </is>
      </c>
      <c r="D406" t="inlineStr">
        <is>
          <t>Dubai area</t>
        </is>
      </c>
      <c r="E406" t="inlineStr">
        <is>
          <t>Rice Delivery</t>
        </is>
      </c>
      <c r="F406" t="inlineStr">
        <is>
          <t>Local/Transactional</t>
        </is>
      </c>
      <c r="G406" t="inlineStr">
        <is>
          <t>BOFU</t>
        </is>
      </c>
      <c r="H406" t="inlineStr">
        <is>
          <t>Dubai - Karama</t>
        </is>
      </c>
      <c r="I406" t="inlineStr">
        <is>
          <t>Dubai location page (area section)</t>
        </is>
      </c>
      <c r="J406" t="inlineStr">
        <is>
          <t>Location landing</t>
        </is>
      </c>
      <c r="K406">
        <f>IFERROR(VLOOKUP($A406,'Semrush Import'!$A:$D,2,FALSE),"")</f>
        <v/>
      </c>
      <c r="L406">
        <f>IFERROR(VLOOKUP($A406,'Semrush Import'!$A:$D,3,FALSE),"")</f>
        <v/>
      </c>
      <c r="M406">
        <f>IFERROR(VLOOKUP($A406,'Semrush Import'!$A:$D,4,FALSE),"")</f>
        <v/>
      </c>
      <c r="N406">
        <f>IFERROR(VLOOKUP($A406,'KP Import'!$A:$B,2,FALSE),"")</f>
        <v/>
      </c>
      <c r="O406">
        <f>IF(K406="","",ROUND(K406/(L406+10),1))</f>
        <v/>
      </c>
      <c r="P406">
        <f>IF(O406="","",IF(O406&gt;=20,"A - Go first",IF(O406&gt;=5,"B - Next","C - Later")))</f>
        <v/>
      </c>
      <c r="Q406" t="inlineStr">
        <is>
          <t>To research</t>
        </is>
      </c>
      <c r="R406" t="inlineStr"/>
    </row>
    <row r="407">
      <c r="A407" t="inlineStr">
        <is>
          <t>rice wholesale karama</t>
        </is>
      </c>
      <c r="B407" t="inlineStr">
        <is>
          <t>Phase 2 - B2C (later)</t>
        </is>
      </c>
      <c r="C407" t="inlineStr">
        <is>
          <t>Consumer / household</t>
        </is>
      </c>
      <c r="D407" t="inlineStr">
        <is>
          <t>Dubai area</t>
        </is>
      </c>
      <c r="E407" t="inlineStr">
        <is>
          <t>Rice Wholesale</t>
        </is>
      </c>
      <c r="F407" t="inlineStr">
        <is>
          <t>Local/Transactional</t>
        </is>
      </c>
      <c r="G407" t="inlineStr">
        <is>
          <t>BOFU</t>
        </is>
      </c>
      <c r="H407" t="inlineStr">
        <is>
          <t>Dubai - Karama</t>
        </is>
      </c>
      <c r="I407" t="inlineStr">
        <is>
          <t>Dubai location page (area section)</t>
        </is>
      </c>
      <c r="J407" t="inlineStr">
        <is>
          <t>Location landing</t>
        </is>
      </c>
      <c r="K407">
        <f>IFERROR(VLOOKUP($A407,'Semrush Import'!$A:$D,2,FALSE),"")</f>
        <v/>
      </c>
      <c r="L407">
        <f>IFERROR(VLOOKUP($A407,'Semrush Import'!$A:$D,3,FALSE),"")</f>
        <v/>
      </c>
      <c r="M407">
        <f>IFERROR(VLOOKUP($A407,'Semrush Import'!$A:$D,4,FALSE),"")</f>
        <v/>
      </c>
      <c r="N407">
        <f>IFERROR(VLOOKUP($A407,'KP Import'!$A:$B,2,FALSE),"")</f>
        <v/>
      </c>
      <c r="O407">
        <f>IF(K407="","",ROUND(K407/(L407+10),1))</f>
        <v/>
      </c>
      <c r="P407">
        <f>IF(O407="","",IF(O407&gt;=20,"A - Go first",IF(O407&gt;=5,"B - Next","C - Later")))</f>
        <v/>
      </c>
      <c r="Q407" t="inlineStr">
        <is>
          <t>To research</t>
        </is>
      </c>
      <c r="R407" t="inlineStr"/>
    </row>
    <row r="408">
      <c r="A408" t="inlineStr">
        <is>
          <t>basmati rice karama</t>
        </is>
      </c>
      <c r="B408" t="inlineStr">
        <is>
          <t>Phase 1 - B2B now</t>
        </is>
      </c>
      <c r="C408" t="inlineStr">
        <is>
          <t>Wholesalers / bulk buyers</t>
        </is>
      </c>
      <c r="D408" t="inlineStr">
        <is>
          <t>Dubai area</t>
        </is>
      </c>
      <c r="E408" t="inlineStr">
        <is>
          <t>Basmati Rice</t>
        </is>
      </c>
      <c r="F408" t="inlineStr">
        <is>
          <t>Local/Transactional</t>
        </is>
      </c>
      <c r="G408" t="inlineStr">
        <is>
          <t>BOFU</t>
        </is>
      </c>
      <c r="H408" t="inlineStr">
        <is>
          <t>Dubai - Karama</t>
        </is>
      </c>
      <c r="I408" t="inlineStr">
        <is>
          <t>Dubai location page (area section)</t>
        </is>
      </c>
      <c r="J408" t="inlineStr">
        <is>
          <t>Location landing</t>
        </is>
      </c>
      <c r="K408">
        <f>IFERROR(VLOOKUP($A408,'Semrush Import'!$A:$D,2,FALSE),"")</f>
        <v/>
      </c>
      <c r="L408">
        <f>IFERROR(VLOOKUP($A408,'Semrush Import'!$A:$D,3,FALSE),"")</f>
        <v/>
      </c>
      <c r="M408">
        <f>IFERROR(VLOOKUP($A408,'Semrush Import'!$A:$D,4,FALSE),"")</f>
        <v/>
      </c>
      <c r="N408">
        <f>IFERROR(VLOOKUP($A408,'KP Import'!$A:$B,2,FALSE),"")</f>
        <v/>
      </c>
      <c r="O408">
        <f>IF(K408="","",ROUND(K408/(L408+10),1))</f>
        <v/>
      </c>
      <c r="P408">
        <f>IF(O408="","",IF(O408&gt;=20,"A - Go first",IF(O408&gt;=5,"B - Next","C - Later")))</f>
        <v/>
      </c>
      <c r="Q408" t="inlineStr">
        <is>
          <t>To research</t>
        </is>
      </c>
      <c r="R408" t="inlineStr"/>
    </row>
    <row r="409">
      <c r="A409" t="inlineStr">
        <is>
          <t>rice delivery satwa</t>
        </is>
      </c>
      <c r="B409" t="inlineStr">
        <is>
          <t>Phase 2 - B2C (later)</t>
        </is>
      </c>
      <c r="C409" t="inlineStr">
        <is>
          <t>Consumer / household</t>
        </is>
      </c>
      <c r="D409" t="inlineStr">
        <is>
          <t>Dubai area</t>
        </is>
      </c>
      <c r="E409" t="inlineStr">
        <is>
          <t>Rice Delivery</t>
        </is>
      </c>
      <c r="F409" t="inlineStr">
        <is>
          <t>Local/Transactional</t>
        </is>
      </c>
      <c r="G409" t="inlineStr">
        <is>
          <t>BOFU</t>
        </is>
      </c>
      <c r="H409" t="inlineStr">
        <is>
          <t>Dubai - Satwa</t>
        </is>
      </c>
      <c r="I409" t="inlineStr">
        <is>
          <t>Dubai location page (area section)</t>
        </is>
      </c>
      <c r="J409" t="inlineStr">
        <is>
          <t>Location landing</t>
        </is>
      </c>
      <c r="K409">
        <f>IFERROR(VLOOKUP($A409,'Semrush Import'!$A:$D,2,FALSE),"")</f>
        <v/>
      </c>
      <c r="L409">
        <f>IFERROR(VLOOKUP($A409,'Semrush Import'!$A:$D,3,FALSE),"")</f>
        <v/>
      </c>
      <c r="M409">
        <f>IFERROR(VLOOKUP($A409,'Semrush Import'!$A:$D,4,FALSE),"")</f>
        <v/>
      </c>
      <c r="N409">
        <f>IFERROR(VLOOKUP($A409,'KP Import'!$A:$B,2,FALSE),"")</f>
        <v/>
      </c>
      <c r="O409">
        <f>IF(K409="","",ROUND(K409/(L409+10),1))</f>
        <v/>
      </c>
      <c r="P409">
        <f>IF(O409="","",IF(O409&gt;=20,"A - Go first",IF(O409&gt;=5,"B - Next","C - Later")))</f>
        <v/>
      </c>
      <c r="Q409" t="inlineStr">
        <is>
          <t>To research</t>
        </is>
      </c>
      <c r="R409" t="inlineStr"/>
    </row>
    <row r="410">
      <c r="A410" t="inlineStr">
        <is>
          <t>rice wholesale satwa</t>
        </is>
      </c>
      <c r="B410" t="inlineStr">
        <is>
          <t>Phase 2 - B2C (later)</t>
        </is>
      </c>
      <c r="C410" t="inlineStr">
        <is>
          <t>Consumer / household</t>
        </is>
      </c>
      <c r="D410" t="inlineStr">
        <is>
          <t>Dubai area</t>
        </is>
      </c>
      <c r="E410" t="inlineStr">
        <is>
          <t>Rice Wholesale</t>
        </is>
      </c>
      <c r="F410" t="inlineStr">
        <is>
          <t>Local/Transactional</t>
        </is>
      </c>
      <c r="G410" t="inlineStr">
        <is>
          <t>BOFU</t>
        </is>
      </c>
      <c r="H410" t="inlineStr">
        <is>
          <t>Dubai - Satwa</t>
        </is>
      </c>
      <c r="I410" t="inlineStr">
        <is>
          <t>Dubai location page (area section)</t>
        </is>
      </c>
      <c r="J410" t="inlineStr">
        <is>
          <t>Location landing</t>
        </is>
      </c>
      <c r="K410">
        <f>IFERROR(VLOOKUP($A410,'Semrush Import'!$A:$D,2,FALSE),"")</f>
        <v/>
      </c>
      <c r="L410">
        <f>IFERROR(VLOOKUP($A410,'Semrush Import'!$A:$D,3,FALSE),"")</f>
        <v/>
      </c>
      <c r="M410">
        <f>IFERROR(VLOOKUP($A410,'Semrush Import'!$A:$D,4,FALSE),"")</f>
        <v/>
      </c>
      <c r="N410">
        <f>IFERROR(VLOOKUP($A410,'KP Import'!$A:$B,2,FALSE),"")</f>
        <v/>
      </c>
      <c r="O410">
        <f>IF(K410="","",ROUND(K410/(L410+10),1))</f>
        <v/>
      </c>
      <c r="P410">
        <f>IF(O410="","",IF(O410&gt;=20,"A - Go first",IF(O410&gt;=5,"B - Next","C - Later")))</f>
        <v/>
      </c>
      <c r="Q410" t="inlineStr">
        <is>
          <t>To research</t>
        </is>
      </c>
      <c r="R410" t="inlineStr"/>
    </row>
    <row r="411">
      <c r="A411" t="inlineStr">
        <is>
          <t>basmati rice satwa</t>
        </is>
      </c>
      <c r="B411" t="inlineStr">
        <is>
          <t>Phase 1 - B2B now</t>
        </is>
      </c>
      <c r="C411" t="inlineStr">
        <is>
          <t>Wholesalers / bulk buyers</t>
        </is>
      </c>
      <c r="D411" t="inlineStr">
        <is>
          <t>Dubai area</t>
        </is>
      </c>
      <c r="E411" t="inlineStr">
        <is>
          <t>Basmati Rice</t>
        </is>
      </c>
      <c r="F411" t="inlineStr">
        <is>
          <t>Local/Transactional</t>
        </is>
      </c>
      <c r="G411" t="inlineStr">
        <is>
          <t>BOFU</t>
        </is>
      </c>
      <c r="H411" t="inlineStr">
        <is>
          <t>Dubai - Satwa</t>
        </is>
      </c>
      <c r="I411" t="inlineStr">
        <is>
          <t>Dubai location page (area section)</t>
        </is>
      </c>
      <c r="J411" t="inlineStr">
        <is>
          <t>Location landing</t>
        </is>
      </c>
      <c r="K411">
        <f>IFERROR(VLOOKUP($A411,'Semrush Import'!$A:$D,2,FALSE),"")</f>
        <v/>
      </c>
      <c r="L411">
        <f>IFERROR(VLOOKUP($A411,'Semrush Import'!$A:$D,3,FALSE),"")</f>
        <v/>
      </c>
      <c r="M411">
        <f>IFERROR(VLOOKUP($A411,'Semrush Import'!$A:$D,4,FALSE),"")</f>
        <v/>
      </c>
      <c r="N411">
        <f>IFERROR(VLOOKUP($A411,'KP Import'!$A:$B,2,FALSE),"")</f>
        <v/>
      </c>
      <c r="O411">
        <f>IF(K411="","",ROUND(K411/(L411+10),1))</f>
        <v/>
      </c>
      <c r="P411">
        <f>IF(O411="","",IF(O411&gt;=20,"A - Go first",IF(O411&gt;=5,"B - Next","C - Later")))</f>
        <v/>
      </c>
      <c r="Q411" t="inlineStr">
        <is>
          <t>To research</t>
        </is>
      </c>
      <c r="R411" t="inlineStr"/>
    </row>
    <row r="412">
      <c r="A412" t="inlineStr">
        <is>
          <t>rice delivery jebel ali</t>
        </is>
      </c>
      <c r="B412" t="inlineStr">
        <is>
          <t>Phase 2 - B2C (later)</t>
        </is>
      </c>
      <c r="C412" t="inlineStr">
        <is>
          <t>Consumer / household</t>
        </is>
      </c>
      <c r="D412" t="inlineStr">
        <is>
          <t>Dubai area</t>
        </is>
      </c>
      <c r="E412" t="inlineStr">
        <is>
          <t>Rice Delivery</t>
        </is>
      </c>
      <c r="F412" t="inlineStr">
        <is>
          <t>Local/Transactional</t>
        </is>
      </c>
      <c r="G412" t="inlineStr">
        <is>
          <t>BOFU</t>
        </is>
      </c>
      <c r="H412" t="inlineStr">
        <is>
          <t>Dubai - Jebel Ali</t>
        </is>
      </c>
      <c r="I412" t="inlineStr">
        <is>
          <t>Dubai location page (area section)</t>
        </is>
      </c>
      <c r="J412" t="inlineStr">
        <is>
          <t>Location landing</t>
        </is>
      </c>
      <c r="K412">
        <f>IFERROR(VLOOKUP($A412,'Semrush Import'!$A:$D,2,FALSE),"")</f>
        <v/>
      </c>
      <c r="L412">
        <f>IFERROR(VLOOKUP($A412,'Semrush Import'!$A:$D,3,FALSE),"")</f>
        <v/>
      </c>
      <c r="M412">
        <f>IFERROR(VLOOKUP($A412,'Semrush Import'!$A:$D,4,FALSE),"")</f>
        <v/>
      </c>
      <c r="N412">
        <f>IFERROR(VLOOKUP($A412,'KP Import'!$A:$B,2,FALSE),"")</f>
        <v/>
      </c>
      <c r="O412">
        <f>IF(K412="","",ROUND(K412/(L412+10),1))</f>
        <v/>
      </c>
      <c r="P412">
        <f>IF(O412="","",IF(O412&gt;=20,"A - Go first",IF(O412&gt;=5,"B - Next","C - Later")))</f>
        <v/>
      </c>
      <c r="Q412" t="inlineStr">
        <is>
          <t>To research</t>
        </is>
      </c>
      <c r="R412" t="inlineStr"/>
    </row>
    <row r="413">
      <c r="A413" t="inlineStr">
        <is>
          <t>rice wholesale jebel ali</t>
        </is>
      </c>
      <c r="B413" t="inlineStr">
        <is>
          <t>Phase 2 - B2C (later)</t>
        </is>
      </c>
      <c r="C413" t="inlineStr">
        <is>
          <t>Consumer / household</t>
        </is>
      </c>
      <c r="D413" t="inlineStr">
        <is>
          <t>Dubai area</t>
        </is>
      </c>
      <c r="E413" t="inlineStr">
        <is>
          <t>Rice Wholesale</t>
        </is>
      </c>
      <c r="F413" t="inlineStr">
        <is>
          <t>Local/Transactional</t>
        </is>
      </c>
      <c r="G413" t="inlineStr">
        <is>
          <t>BOFU</t>
        </is>
      </c>
      <c r="H413" t="inlineStr">
        <is>
          <t>Dubai - Jebel Ali</t>
        </is>
      </c>
      <c r="I413" t="inlineStr">
        <is>
          <t>Dubai location page (area section)</t>
        </is>
      </c>
      <c r="J413" t="inlineStr">
        <is>
          <t>Location landing</t>
        </is>
      </c>
      <c r="K413">
        <f>IFERROR(VLOOKUP($A413,'Semrush Import'!$A:$D,2,FALSE),"")</f>
        <v/>
      </c>
      <c r="L413">
        <f>IFERROR(VLOOKUP($A413,'Semrush Import'!$A:$D,3,FALSE),"")</f>
        <v/>
      </c>
      <c r="M413">
        <f>IFERROR(VLOOKUP($A413,'Semrush Import'!$A:$D,4,FALSE),"")</f>
        <v/>
      </c>
      <c r="N413">
        <f>IFERROR(VLOOKUP($A413,'KP Import'!$A:$B,2,FALSE),"")</f>
        <v/>
      </c>
      <c r="O413">
        <f>IF(K413="","",ROUND(K413/(L413+10),1))</f>
        <v/>
      </c>
      <c r="P413">
        <f>IF(O413="","",IF(O413&gt;=20,"A - Go first",IF(O413&gt;=5,"B - Next","C - Later")))</f>
        <v/>
      </c>
      <c r="Q413" t="inlineStr">
        <is>
          <t>To research</t>
        </is>
      </c>
      <c r="R413" t="inlineStr"/>
    </row>
    <row r="414">
      <c r="A414" t="inlineStr">
        <is>
          <t>basmati rice jebel ali</t>
        </is>
      </c>
      <c r="B414" t="inlineStr">
        <is>
          <t>Phase 1 - B2B now</t>
        </is>
      </c>
      <c r="C414" t="inlineStr">
        <is>
          <t>Wholesalers / bulk buyers</t>
        </is>
      </c>
      <c r="D414" t="inlineStr">
        <is>
          <t>Dubai area</t>
        </is>
      </c>
      <c r="E414" t="inlineStr">
        <is>
          <t>Basmati Rice</t>
        </is>
      </c>
      <c r="F414" t="inlineStr">
        <is>
          <t>Local/Transactional</t>
        </is>
      </c>
      <c r="G414" t="inlineStr">
        <is>
          <t>BOFU</t>
        </is>
      </c>
      <c r="H414" t="inlineStr">
        <is>
          <t>Dubai - Jebel Ali</t>
        </is>
      </c>
      <c r="I414" t="inlineStr">
        <is>
          <t>Dubai location page (area section)</t>
        </is>
      </c>
      <c r="J414" t="inlineStr">
        <is>
          <t>Location landing</t>
        </is>
      </c>
      <c r="K414">
        <f>IFERROR(VLOOKUP($A414,'Semrush Import'!$A:$D,2,FALSE),"")</f>
        <v/>
      </c>
      <c r="L414">
        <f>IFERROR(VLOOKUP($A414,'Semrush Import'!$A:$D,3,FALSE),"")</f>
        <v/>
      </c>
      <c r="M414">
        <f>IFERROR(VLOOKUP($A414,'Semrush Import'!$A:$D,4,FALSE),"")</f>
        <v/>
      </c>
      <c r="N414">
        <f>IFERROR(VLOOKUP($A414,'KP Import'!$A:$B,2,FALSE),"")</f>
        <v/>
      </c>
      <c r="O414">
        <f>IF(K414="","",ROUND(K414/(L414+10),1))</f>
        <v/>
      </c>
      <c r="P414">
        <f>IF(O414="","",IF(O414&gt;=20,"A - Go first",IF(O414&gt;=5,"B - Next","C - Later")))</f>
        <v/>
      </c>
      <c r="Q414" t="inlineStr">
        <is>
          <t>To research</t>
        </is>
      </c>
      <c r="R414" t="inlineStr"/>
    </row>
    <row r="415">
      <c r="A415" t="inlineStr">
        <is>
          <t>rice delivery jlt</t>
        </is>
      </c>
      <c r="B415" t="inlineStr">
        <is>
          <t>Phase 2 - B2C (later)</t>
        </is>
      </c>
      <c r="C415" t="inlineStr">
        <is>
          <t>Consumer / household</t>
        </is>
      </c>
      <c r="D415" t="inlineStr">
        <is>
          <t>Dubai area</t>
        </is>
      </c>
      <c r="E415" t="inlineStr">
        <is>
          <t>Rice Delivery</t>
        </is>
      </c>
      <c r="F415" t="inlineStr">
        <is>
          <t>Local/Transactional</t>
        </is>
      </c>
      <c r="G415" t="inlineStr">
        <is>
          <t>BOFU</t>
        </is>
      </c>
      <c r="H415" t="inlineStr">
        <is>
          <t>Dubai - JLT</t>
        </is>
      </c>
      <c r="I415" t="inlineStr">
        <is>
          <t>Dubai location page (area section)</t>
        </is>
      </c>
      <c r="J415" t="inlineStr">
        <is>
          <t>Location landing</t>
        </is>
      </c>
      <c r="K415">
        <f>IFERROR(VLOOKUP($A415,'Semrush Import'!$A:$D,2,FALSE),"")</f>
        <v/>
      </c>
      <c r="L415">
        <f>IFERROR(VLOOKUP($A415,'Semrush Import'!$A:$D,3,FALSE),"")</f>
        <v/>
      </c>
      <c r="M415">
        <f>IFERROR(VLOOKUP($A415,'Semrush Import'!$A:$D,4,FALSE),"")</f>
        <v/>
      </c>
      <c r="N415">
        <f>IFERROR(VLOOKUP($A415,'KP Import'!$A:$B,2,FALSE),"")</f>
        <v/>
      </c>
      <c r="O415">
        <f>IF(K415="","",ROUND(K415/(L415+10),1))</f>
        <v/>
      </c>
      <c r="P415">
        <f>IF(O415="","",IF(O415&gt;=20,"A - Go first",IF(O415&gt;=5,"B - Next","C - Later")))</f>
        <v/>
      </c>
      <c r="Q415" t="inlineStr">
        <is>
          <t>To research</t>
        </is>
      </c>
      <c r="R415" t="inlineStr"/>
    </row>
    <row r="416">
      <c r="A416" t="inlineStr">
        <is>
          <t>rice wholesale jlt</t>
        </is>
      </c>
      <c r="B416" t="inlineStr">
        <is>
          <t>Phase 2 - B2C (later)</t>
        </is>
      </c>
      <c r="C416" t="inlineStr">
        <is>
          <t>Consumer / household</t>
        </is>
      </c>
      <c r="D416" t="inlineStr">
        <is>
          <t>Dubai area</t>
        </is>
      </c>
      <c r="E416" t="inlineStr">
        <is>
          <t>Rice Wholesale</t>
        </is>
      </c>
      <c r="F416" t="inlineStr">
        <is>
          <t>Local/Transactional</t>
        </is>
      </c>
      <c r="G416" t="inlineStr">
        <is>
          <t>BOFU</t>
        </is>
      </c>
      <c r="H416" t="inlineStr">
        <is>
          <t>Dubai - JLT</t>
        </is>
      </c>
      <c r="I416" t="inlineStr">
        <is>
          <t>Dubai location page (area section)</t>
        </is>
      </c>
      <c r="J416" t="inlineStr">
        <is>
          <t>Location landing</t>
        </is>
      </c>
      <c r="K416">
        <f>IFERROR(VLOOKUP($A416,'Semrush Import'!$A:$D,2,FALSE),"")</f>
        <v/>
      </c>
      <c r="L416">
        <f>IFERROR(VLOOKUP($A416,'Semrush Import'!$A:$D,3,FALSE),"")</f>
        <v/>
      </c>
      <c r="M416">
        <f>IFERROR(VLOOKUP($A416,'Semrush Import'!$A:$D,4,FALSE),"")</f>
        <v/>
      </c>
      <c r="N416">
        <f>IFERROR(VLOOKUP($A416,'KP Import'!$A:$B,2,FALSE),"")</f>
        <v/>
      </c>
      <c r="O416">
        <f>IF(K416="","",ROUND(K416/(L416+10),1))</f>
        <v/>
      </c>
      <c r="P416">
        <f>IF(O416="","",IF(O416&gt;=20,"A - Go first",IF(O416&gt;=5,"B - Next","C - Later")))</f>
        <v/>
      </c>
      <c r="Q416" t="inlineStr">
        <is>
          <t>To research</t>
        </is>
      </c>
      <c r="R416" t="inlineStr"/>
    </row>
    <row r="417">
      <c r="A417" t="inlineStr">
        <is>
          <t>basmati rice jlt</t>
        </is>
      </c>
      <c r="B417" t="inlineStr">
        <is>
          <t>Phase 1 - B2B now</t>
        </is>
      </c>
      <c r="C417" t="inlineStr">
        <is>
          <t>Wholesalers / bulk buyers</t>
        </is>
      </c>
      <c r="D417" t="inlineStr">
        <is>
          <t>Dubai area</t>
        </is>
      </c>
      <c r="E417" t="inlineStr">
        <is>
          <t>Basmati Rice</t>
        </is>
      </c>
      <c r="F417" t="inlineStr">
        <is>
          <t>Local/Transactional</t>
        </is>
      </c>
      <c r="G417" t="inlineStr">
        <is>
          <t>BOFU</t>
        </is>
      </c>
      <c r="H417" t="inlineStr">
        <is>
          <t>Dubai - JLT</t>
        </is>
      </c>
      <c r="I417" t="inlineStr">
        <is>
          <t>Dubai location page (area section)</t>
        </is>
      </c>
      <c r="J417" t="inlineStr">
        <is>
          <t>Location landing</t>
        </is>
      </c>
      <c r="K417">
        <f>IFERROR(VLOOKUP($A417,'Semrush Import'!$A:$D,2,FALSE),"")</f>
        <v/>
      </c>
      <c r="L417">
        <f>IFERROR(VLOOKUP($A417,'Semrush Import'!$A:$D,3,FALSE),"")</f>
        <v/>
      </c>
      <c r="M417">
        <f>IFERROR(VLOOKUP($A417,'Semrush Import'!$A:$D,4,FALSE),"")</f>
        <v/>
      </c>
      <c r="N417">
        <f>IFERROR(VLOOKUP($A417,'KP Import'!$A:$B,2,FALSE),"")</f>
        <v/>
      </c>
      <c r="O417">
        <f>IF(K417="","",ROUND(K417/(L417+10),1))</f>
        <v/>
      </c>
      <c r="P417">
        <f>IF(O417="","",IF(O417&gt;=20,"A - Go first",IF(O417&gt;=5,"B - Next","C - Later")))</f>
        <v/>
      </c>
      <c r="Q417" t="inlineStr">
        <is>
          <t>To research</t>
        </is>
      </c>
      <c r="R417" t="inlineStr"/>
    </row>
    <row r="418">
      <c r="A418" t="inlineStr">
        <is>
          <t>rice delivery dubai marina</t>
        </is>
      </c>
      <c r="B418" t="inlineStr">
        <is>
          <t>Phase 2 - B2C (later)</t>
        </is>
      </c>
      <c r="C418" t="inlineStr">
        <is>
          <t>Consumer / household</t>
        </is>
      </c>
      <c r="D418" t="inlineStr">
        <is>
          <t>Dubai area</t>
        </is>
      </c>
      <c r="E418" t="inlineStr">
        <is>
          <t>Rice Delivery</t>
        </is>
      </c>
      <c r="F418" t="inlineStr">
        <is>
          <t>Local/Transactional</t>
        </is>
      </c>
      <c r="G418" t="inlineStr">
        <is>
          <t>BOFU</t>
        </is>
      </c>
      <c r="H418" t="inlineStr">
        <is>
          <t>Dubai - Dubai Marina</t>
        </is>
      </c>
      <c r="I418" t="inlineStr">
        <is>
          <t>Dubai location page (area section)</t>
        </is>
      </c>
      <c r="J418" t="inlineStr">
        <is>
          <t>Location landing</t>
        </is>
      </c>
      <c r="K418">
        <f>IFERROR(VLOOKUP($A418,'Semrush Import'!$A:$D,2,FALSE),"")</f>
        <v/>
      </c>
      <c r="L418">
        <f>IFERROR(VLOOKUP($A418,'Semrush Import'!$A:$D,3,FALSE),"")</f>
        <v/>
      </c>
      <c r="M418">
        <f>IFERROR(VLOOKUP($A418,'Semrush Import'!$A:$D,4,FALSE),"")</f>
        <v/>
      </c>
      <c r="N418">
        <f>IFERROR(VLOOKUP($A418,'KP Import'!$A:$B,2,FALSE),"")</f>
        <v/>
      </c>
      <c r="O418">
        <f>IF(K418="","",ROUND(K418/(L418+10),1))</f>
        <v/>
      </c>
      <c r="P418">
        <f>IF(O418="","",IF(O418&gt;=20,"A - Go first",IF(O418&gt;=5,"B - Next","C - Later")))</f>
        <v/>
      </c>
      <c r="Q418" t="inlineStr">
        <is>
          <t>To research</t>
        </is>
      </c>
      <c r="R418" t="inlineStr"/>
    </row>
    <row r="419">
      <c r="A419" t="inlineStr">
        <is>
          <t>rice wholesale dubai marina</t>
        </is>
      </c>
      <c r="B419" t="inlineStr">
        <is>
          <t>Phase 2 - B2C (later)</t>
        </is>
      </c>
      <c r="C419" t="inlineStr">
        <is>
          <t>Consumer / household</t>
        </is>
      </c>
      <c r="D419" t="inlineStr">
        <is>
          <t>Dubai area</t>
        </is>
      </c>
      <c r="E419" t="inlineStr">
        <is>
          <t>Rice Wholesale</t>
        </is>
      </c>
      <c r="F419" t="inlineStr">
        <is>
          <t>Local/Transactional</t>
        </is>
      </c>
      <c r="G419" t="inlineStr">
        <is>
          <t>BOFU</t>
        </is>
      </c>
      <c r="H419" t="inlineStr">
        <is>
          <t>Dubai - Dubai Marina</t>
        </is>
      </c>
      <c r="I419" t="inlineStr">
        <is>
          <t>Dubai location page (area section)</t>
        </is>
      </c>
      <c r="J419" t="inlineStr">
        <is>
          <t>Location landing</t>
        </is>
      </c>
      <c r="K419">
        <f>IFERROR(VLOOKUP($A419,'Semrush Import'!$A:$D,2,FALSE),"")</f>
        <v/>
      </c>
      <c r="L419">
        <f>IFERROR(VLOOKUP($A419,'Semrush Import'!$A:$D,3,FALSE),"")</f>
        <v/>
      </c>
      <c r="M419">
        <f>IFERROR(VLOOKUP($A419,'Semrush Import'!$A:$D,4,FALSE),"")</f>
        <v/>
      </c>
      <c r="N419">
        <f>IFERROR(VLOOKUP($A419,'KP Import'!$A:$B,2,FALSE),"")</f>
        <v/>
      </c>
      <c r="O419">
        <f>IF(K419="","",ROUND(K419/(L419+10),1))</f>
        <v/>
      </c>
      <c r="P419">
        <f>IF(O419="","",IF(O419&gt;=20,"A - Go first",IF(O419&gt;=5,"B - Next","C - Later")))</f>
        <v/>
      </c>
      <c r="Q419" t="inlineStr">
        <is>
          <t>To research</t>
        </is>
      </c>
      <c r="R419" t="inlineStr"/>
    </row>
    <row r="420">
      <c r="A420" t="inlineStr">
        <is>
          <t>basmati rice dubai marina</t>
        </is>
      </c>
      <c r="B420" t="inlineStr">
        <is>
          <t>Phase 1 - B2B now</t>
        </is>
      </c>
      <c r="C420" t="inlineStr">
        <is>
          <t>Wholesalers / bulk buyers</t>
        </is>
      </c>
      <c r="D420" t="inlineStr">
        <is>
          <t>Dubai area</t>
        </is>
      </c>
      <c r="E420" t="inlineStr">
        <is>
          <t>Basmati Rice</t>
        </is>
      </c>
      <c r="F420" t="inlineStr">
        <is>
          <t>Local/Transactional</t>
        </is>
      </c>
      <c r="G420" t="inlineStr">
        <is>
          <t>BOFU</t>
        </is>
      </c>
      <c r="H420" t="inlineStr">
        <is>
          <t>Dubai - Dubai Marina</t>
        </is>
      </c>
      <c r="I420" t="inlineStr">
        <is>
          <t>Dubai location page (area section)</t>
        </is>
      </c>
      <c r="J420" t="inlineStr">
        <is>
          <t>Location landing</t>
        </is>
      </c>
      <c r="K420">
        <f>IFERROR(VLOOKUP($A420,'Semrush Import'!$A:$D,2,FALSE),"")</f>
        <v/>
      </c>
      <c r="L420">
        <f>IFERROR(VLOOKUP($A420,'Semrush Import'!$A:$D,3,FALSE),"")</f>
        <v/>
      </c>
      <c r="M420">
        <f>IFERROR(VLOOKUP($A420,'Semrush Import'!$A:$D,4,FALSE),"")</f>
        <v/>
      </c>
      <c r="N420">
        <f>IFERROR(VLOOKUP($A420,'KP Import'!$A:$B,2,FALSE),"")</f>
        <v/>
      </c>
      <c r="O420">
        <f>IF(K420="","",ROUND(K420/(L420+10),1))</f>
        <v/>
      </c>
      <c r="P420">
        <f>IF(O420="","",IF(O420&gt;=20,"A - Go first",IF(O420&gt;=5,"B - Next","C - Later")))</f>
        <v/>
      </c>
      <c r="Q420" t="inlineStr">
        <is>
          <t>To research</t>
        </is>
      </c>
      <c r="R420" t="inlineStr"/>
    </row>
    <row r="421">
      <c r="A421" t="inlineStr">
        <is>
          <t>rice delivery business bay</t>
        </is>
      </c>
      <c r="B421" t="inlineStr">
        <is>
          <t>Phase 2 - B2C (later)</t>
        </is>
      </c>
      <c r="C421" t="inlineStr">
        <is>
          <t>Consumer / household</t>
        </is>
      </c>
      <c r="D421" t="inlineStr">
        <is>
          <t>Dubai area</t>
        </is>
      </c>
      <c r="E421" t="inlineStr">
        <is>
          <t>Rice Delivery</t>
        </is>
      </c>
      <c r="F421" t="inlineStr">
        <is>
          <t>Local/Transactional</t>
        </is>
      </c>
      <c r="G421" t="inlineStr">
        <is>
          <t>BOFU</t>
        </is>
      </c>
      <c r="H421" t="inlineStr">
        <is>
          <t>Dubai - Business Bay</t>
        </is>
      </c>
      <c r="I421" t="inlineStr">
        <is>
          <t>Dubai location page (area section)</t>
        </is>
      </c>
      <c r="J421" t="inlineStr">
        <is>
          <t>Location landing</t>
        </is>
      </c>
      <c r="K421">
        <f>IFERROR(VLOOKUP($A421,'Semrush Import'!$A:$D,2,FALSE),"")</f>
        <v/>
      </c>
      <c r="L421">
        <f>IFERROR(VLOOKUP($A421,'Semrush Import'!$A:$D,3,FALSE),"")</f>
        <v/>
      </c>
      <c r="M421">
        <f>IFERROR(VLOOKUP($A421,'Semrush Import'!$A:$D,4,FALSE),"")</f>
        <v/>
      </c>
      <c r="N421">
        <f>IFERROR(VLOOKUP($A421,'KP Import'!$A:$B,2,FALSE),"")</f>
        <v/>
      </c>
      <c r="O421">
        <f>IF(K421="","",ROUND(K421/(L421+10),1))</f>
        <v/>
      </c>
      <c r="P421">
        <f>IF(O421="","",IF(O421&gt;=20,"A - Go first",IF(O421&gt;=5,"B - Next","C - Later")))</f>
        <v/>
      </c>
      <c r="Q421" t="inlineStr">
        <is>
          <t>To research</t>
        </is>
      </c>
      <c r="R421" t="inlineStr"/>
    </row>
    <row r="422">
      <c r="A422" t="inlineStr">
        <is>
          <t>rice wholesale business bay</t>
        </is>
      </c>
      <c r="B422" t="inlineStr">
        <is>
          <t>Phase 2 - B2C (later)</t>
        </is>
      </c>
      <c r="C422" t="inlineStr">
        <is>
          <t>Consumer / household</t>
        </is>
      </c>
      <c r="D422" t="inlineStr">
        <is>
          <t>Dubai area</t>
        </is>
      </c>
      <c r="E422" t="inlineStr">
        <is>
          <t>Rice Wholesale</t>
        </is>
      </c>
      <c r="F422" t="inlineStr">
        <is>
          <t>Local/Transactional</t>
        </is>
      </c>
      <c r="G422" t="inlineStr">
        <is>
          <t>BOFU</t>
        </is>
      </c>
      <c r="H422" t="inlineStr">
        <is>
          <t>Dubai - Business Bay</t>
        </is>
      </c>
      <c r="I422" t="inlineStr">
        <is>
          <t>Dubai location page (area section)</t>
        </is>
      </c>
      <c r="J422" t="inlineStr">
        <is>
          <t>Location landing</t>
        </is>
      </c>
      <c r="K422">
        <f>IFERROR(VLOOKUP($A422,'Semrush Import'!$A:$D,2,FALSE),"")</f>
        <v/>
      </c>
      <c r="L422">
        <f>IFERROR(VLOOKUP($A422,'Semrush Import'!$A:$D,3,FALSE),"")</f>
        <v/>
      </c>
      <c r="M422">
        <f>IFERROR(VLOOKUP($A422,'Semrush Import'!$A:$D,4,FALSE),"")</f>
        <v/>
      </c>
      <c r="N422">
        <f>IFERROR(VLOOKUP($A422,'KP Import'!$A:$B,2,FALSE),"")</f>
        <v/>
      </c>
      <c r="O422">
        <f>IF(K422="","",ROUND(K422/(L422+10),1))</f>
        <v/>
      </c>
      <c r="P422">
        <f>IF(O422="","",IF(O422&gt;=20,"A - Go first",IF(O422&gt;=5,"B - Next","C - Later")))</f>
        <v/>
      </c>
      <c r="Q422" t="inlineStr">
        <is>
          <t>To research</t>
        </is>
      </c>
      <c r="R422" t="inlineStr"/>
    </row>
    <row r="423">
      <c r="A423" t="inlineStr">
        <is>
          <t>basmati rice business bay</t>
        </is>
      </c>
      <c r="B423" t="inlineStr">
        <is>
          <t>Phase 1 - B2B now</t>
        </is>
      </c>
      <c r="C423" t="inlineStr">
        <is>
          <t>Wholesalers / bulk buyers</t>
        </is>
      </c>
      <c r="D423" t="inlineStr">
        <is>
          <t>Dubai area</t>
        </is>
      </c>
      <c r="E423" t="inlineStr">
        <is>
          <t>Basmati Rice</t>
        </is>
      </c>
      <c r="F423" t="inlineStr">
        <is>
          <t>Local/Transactional</t>
        </is>
      </c>
      <c r="G423" t="inlineStr">
        <is>
          <t>BOFU</t>
        </is>
      </c>
      <c r="H423" t="inlineStr">
        <is>
          <t>Dubai - Business Bay</t>
        </is>
      </c>
      <c r="I423" t="inlineStr">
        <is>
          <t>Dubai location page (area section)</t>
        </is>
      </c>
      <c r="J423" t="inlineStr">
        <is>
          <t>Location landing</t>
        </is>
      </c>
      <c r="K423">
        <f>IFERROR(VLOOKUP($A423,'Semrush Import'!$A:$D,2,FALSE),"")</f>
        <v/>
      </c>
      <c r="L423">
        <f>IFERROR(VLOOKUP($A423,'Semrush Import'!$A:$D,3,FALSE),"")</f>
        <v/>
      </c>
      <c r="M423">
        <f>IFERROR(VLOOKUP($A423,'Semrush Import'!$A:$D,4,FALSE),"")</f>
        <v/>
      </c>
      <c r="N423">
        <f>IFERROR(VLOOKUP($A423,'KP Import'!$A:$B,2,FALSE),"")</f>
        <v/>
      </c>
      <c r="O423">
        <f>IF(K423="","",ROUND(K423/(L423+10),1))</f>
        <v/>
      </c>
      <c r="P423">
        <f>IF(O423="","",IF(O423&gt;=20,"A - Go first",IF(O423&gt;=5,"B - Next","C - Later")))</f>
        <v/>
      </c>
      <c r="Q423" t="inlineStr">
        <is>
          <t>To research</t>
        </is>
      </c>
      <c r="R423" t="inlineStr"/>
    </row>
    <row r="424">
      <c r="A424" t="inlineStr">
        <is>
          <t>rice delivery downtown dubai</t>
        </is>
      </c>
      <c r="B424" t="inlineStr">
        <is>
          <t>Phase 2 - B2C (later)</t>
        </is>
      </c>
      <c r="C424" t="inlineStr">
        <is>
          <t>Consumer / household</t>
        </is>
      </c>
      <c r="D424" t="inlineStr">
        <is>
          <t>Dubai area</t>
        </is>
      </c>
      <c r="E424" t="inlineStr">
        <is>
          <t>Rice Delivery</t>
        </is>
      </c>
      <c r="F424" t="inlineStr">
        <is>
          <t>Local/Transactional</t>
        </is>
      </c>
      <c r="G424" t="inlineStr">
        <is>
          <t>BOFU</t>
        </is>
      </c>
      <c r="H424" t="inlineStr">
        <is>
          <t>Dubai - Downtown Dubai</t>
        </is>
      </c>
      <c r="I424" t="inlineStr">
        <is>
          <t>Dubai location page (area section)</t>
        </is>
      </c>
      <c r="J424" t="inlineStr">
        <is>
          <t>Location landing</t>
        </is>
      </c>
      <c r="K424">
        <f>IFERROR(VLOOKUP($A424,'Semrush Import'!$A:$D,2,FALSE),"")</f>
        <v/>
      </c>
      <c r="L424">
        <f>IFERROR(VLOOKUP($A424,'Semrush Import'!$A:$D,3,FALSE),"")</f>
        <v/>
      </c>
      <c r="M424">
        <f>IFERROR(VLOOKUP($A424,'Semrush Import'!$A:$D,4,FALSE),"")</f>
        <v/>
      </c>
      <c r="N424">
        <f>IFERROR(VLOOKUP($A424,'KP Import'!$A:$B,2,FALSE),"")</f>
        <v/>
      </c>
      <c r="O424">
        <f>IF(K424="","",ROUND(K424/(L424+10),1))</f>
        <v/>
      </c>
      <c r="P424">
        <f>IF(O424="","",IF(O424&gt;=20,"A - Go first",IF(O424&gt;=5,"B - Next","C - Later")))</f>
        <v/>
      </c>
      <c r="Q424" t="inlineStr">
        <is>
          <t>To research</t>
        </is>
      </c>
      <c r="R424" t="inlineStr"/>
    </row>
    <row r="425">
      <c r="A425" t="inlineStr">
        <is>
          <t>rice wholesale downtown dubai</t>
        </is>
      </c>
      <c r="B425" t="inlineStr">
        <is>
          <t>Phase 2 - B2C (later)</t>
        </is>
      </c>
      <c r="C425" t="inlineStr">
        <is>
          <t>Consumer / household</t>
        </is>
      </c>
      <c r="D425" t="inlineStr">
        <is>
          <t>Dubai area</t>
        </is>
      </c>
      <c r="E425" t="inlineStr">
        <is>
          <t>Rice Wholesale</t>
        </is>
      </c>
      <c r="F425" t="inlineStr">
        <is>
          <t>Local/Transactional</t>
        </is>
      </c>
      <c r="G425" t="inlineStr">
        <is>
          <t>BOFU</t>
        </is>
      </c>
      <c r="H425" t="inlineStr">
        <is>
          <t>Dubai - Downtown Dubai</t>
        </is>
      </c>
      <c r="I425" t="inlineStr">
        <is>
          <t>Dubai location page (area section)</t>
        </is>
      </c>
      <c r="J425" t="inlineStr">
        <is>
          <t>Location landing</t>
        </is>
      </c>
      <c r="K425">
        <f>IFERROR(VLOOKUP($A425,'Semrush Import'!$A:$D,2,FALSE),"")</f>
        <v/>
      </c>
      <c r="L425">
        <f>IFERROR(VLOOKUP($A425,'Semrush Import'!$A:$D,3,FALSE),"")</f>
        <v/>
      </c>
      <c r="M425">
        <f>IFERROR(VLOOKUP($A425,'Semrush Import'!$A:$D,4,FALSE),"")</f>
        <v/>
      </c>
      <c r="N425">
        <f>IFERROR(VLOOKUP($A425,'KP Import'!$A:$B,2,FALSE),"")</f>
        <v/>
      </c>
      <c r="O425">
        <f>IF(K425="","",ROUND(K425/(L425+10),1))</f>
        <v/>
      </c>
      <c r="P425">
        <f>IF(O425="","",IF(O425&gt;=20,"A - Go first",IF(O425&gt;=5,"B - Next","C - Later")))</f>
        <v/>
      </c>
      <c r="Q425" t="inlineStr">
        <is>
          <t>To research</t>
        </is>
      </c>
      <c r="R425" t="inlineStr"/>
    </row>
    <row r="426">
      <c r="A426" t="inlineStr">
        <is>
          <t>basmati rice downtown dubai</t>
        </is>
      </c>
      <c r="B426" t="inlineStr">
        <is>
          <t>Phase 1 - B2B now</t>
        </is>
      </c>
      <c r="C426" t="inlineStr">
        <is>
          <t>Wholesalers / bulk buyers</t>
        </is>
      </c>
      <c r="D426" t="inlineStr">
        <is>
          <t>Dubai area</t>
        </is>
      </c>
      <c r="E426" t="inlineStr">
        <is>
          <t>Basmati Rice</t>
        </is>
      </c>
      <c r="F426" t="inlineStr">
        <is>
          <t>Local/Transactional</t>
        </is>
      </c>
      <c r="G426" t="inlineStr">
        <is>
          <t>BOFU</t>
        </is>
      </c>
      <c r="H426" t="inlineStr">
        <is>
          <t>Dubai - Downtown Dubai</t>
        </is>
      </c>
      <c r="I426" t="inlineStr">
        <is>
          <t>Dubai location page (area section)</t>
        </is>
      </c>
      <c r="J426" t="inlineStr">
        <is>
          <t>Location landing</t>
        </is>
      </c>
      <c r="K426">
        <f>IFERROR(VLOOKUP($A426,'Semrush Import'!$A:$D,2,FALSE),"")</f>
        <v/>
      </c>
      <c r="L426">
        <f>IFERROR(VLOOKUP($A426,'Semrush Import'!$A:$D,3,FALSE),"")</f>
        <v/>
      </c>
      <c r="M426">
        <f>IFERROR(VLOOKUP($A426,'Semrush Import'!$A:$D,4,FALSE),"")</f>
        <v/>
      </c>
      <c r="N426">
        <f>IFERROR(VLOOKUP($A426,'KP Import'!$A:$B,2,FALSE),"")</f>
        <v/>
      </c>
      <c r="O426">
        <f>IF(K426="","",ROUND(K426/(L426+10),1))</f>
        <v/>
      </c>
      <c r="P426">
        <f>IF(O426="","",IF(O426&gt;=20,"A - Go first",IF(O426&gt;=5,"B - Next","C - Later")))</f>
        <v/>
      </c>
      <c r="Q426" t="inlineStr">
        <is>
          <t>To research</t>
        </is>
      </c>
      <c r="R426" t="inlineStr"/>
    </row>
    <row r="427">
      <c r="A427" t="inlineStr">
        <is>
          <t>rice delivery international city</t>
        </is>
      </c>
      <c r="B427" t="inlineStr">
        <is>
          <t>Phase 2 - B2C (later)</t>
        </is>
      </c>
      <c r="C427" t="inlineStr">
        <is>
          <t>Consumer / household</t>
        </is>
      </c>
      <c r="D427" t="inlineStr">
        <is>
          <t>Dubai area</t>
        </is>
      </c>
      <c r="E427" t="inlineStr">
        <is>
          <t>Rice Delivery</t>
        </is>
      </c>
      <c r="F427" t="inlineStr">
        <is>
          <t>Local/Transactional</t>
        </is>
      </c>
      <c r="G427" t="inlineStr">
        <is>
          <t>BOFU</t>
        </is>
      </c>
      <c r="H427" t="inlineStr">
        <is>
          <t>Dubai - International City</t>
        </is>
      </c>
      <c r="I427" t="inlineStr">
        <is>
          <t>Dubai location page (area section)</t>
        </is>
      </c>
      <c r="J427" t="inlineStr">
        <is>
          <t>Location landing</t>
        </is>
      </c>
      <c r="K427">
        <f>IFERROR(VLOOKUP($A427,'Semrush Import'!$A:$D,2,FALSE),"")</f>
        <v/>
      </c>
      <c r="L427">
        <f>IFERROR(VLOOKUP($A427,'Semrush Import'!$A:$D,3,FALSE),"")</f>
        <v/>
      </c>
      <c r="M427">
        <f>IFERROR(VLOOKUP($A427,'Semrush Import'!$A:$D,4,FALSE),"")</f>
        <v/>
      </c>
      <c r="N427">
        <f>IFERROR(VLOOKUP($A427,'KP Import'!$A:$B,2,FALSE),"")</f>
        <v/>
      </c>
      <c r="O427">
        <f>IF(K427="","",ROUND(K427/(L427+10),1))</f>
        <v/>
      </c>
      <c r="P427">
        <f>IF(O427="","",IF(O427&gt;=20,"A - Go first",IF(O427&gt;=5,"B - Next","C - Later")))</f>
        <v/>
      </c>
      <c r="Q427" t="inlineStr">
        <is>
          <t>To research</t>
        </is>
      </c>
      <c r="R427" t="inlineStr"/>
    </row>
    <row r="428">
      <c r="A428" t="inlineStr">
        <is>
          <t>rice wholesale international city</t>
        </is>
      </c>
      <c r="B428" t="inlineStr">
        <is>
          <t>Phase 2 - B2C (later)</t>
        </is>
      </c>
      <c r="C428" t="inlineStr">
        <is>
          <t>Consumer / household</t>
        </is>
      </c>
      <c r="D428" t="inlineStr">
        <is>
          <t>Dubai area</t>
        </is>
      </c>
      <c r="E428" t="inlineStr">
        <is>
          <t>Rice Wholesale</t>
        </is>
      </c>
      <c r="F428" t="inlineStr">
        <is>
          <t>Local/Transactional</t>
        </is>
      </c>
      <c r="G428" t="inlineStr">
        <is>
          <t>BOFU</t>
        </is>
      </c>
      <c r="H428" t="inlineStr">
        <is>
          <t>Dubai - International City</t>
        </is>
      </c>
      <c r="I428" t="inlineStr">
        <is>
          <t>Dubai location page (area section)</t>
        </is>
      </c>
      <c r="J428" t="inlineStr">
        <is>
          <t>Location landing</t>
        </is>
      </c>
      <c r="K428">
        <f>IFERROR(VLOOKUP($A428,'Semrush Import'!$A:$D,2,FALSE),"")</f>
        <v/>
      </c>
      <c r="L428">
        <f>IFERROR(VLOOKUP($A428,'Semrush Import'!$A:$D,3,FALSE),"")</f>
        <v/>
      </c>
      <c r="M428">
        <f>IFERROR(VLOOKUP($A428,'Semrush Import'!$A:$D,4,FALSE),"")</f>
        <v/>
      </c>
      <c r="N428">
        <f>IFERROR(VLOOKUP($A428,'KP Import'!$A:$B,2,FALSE),"")</f>
        <v/>
      </c>
      <c r="O428">
        <f>IF(K428="","",ROUND(K428/(L428+10),1))</f>
        <v/>
      </c>
      <c r="P428">
        <f>IF(O428="","",IF(O428&gt;=20,"A - Go first",IF(O428&gt;=5,"B - Next","C - Later")))</f>
        <v/>
      </c>
      <c r="Q428" t="inlineStr">
        <is>
          <t>To research</t>
        </is>
      </c>
      <c r="R428" t="inlineStr"/>
    </row>
    <row r="429">
      <c r="A429" t="inlineStr">
        <is>
          <t>basmati rice international city</t>
        </is>
      </c>
      <c r="B429" t="inlineStr">
        <is>
          <t>Phase 1 - B2B now</t>
        </is>
      </c>
      <c r="C429" t="inlineStr">
        <is>
          <t>Wholesalers / bulk buyers</t>
        </is>
      </c>
      <c r="D429" t="inlineStr">
        <is>
          <t>Dubai area</t>
        </is>
      </c>
      <c r="E429" t="inlineStr">
        <is>
          <t>Basmati Rice</t>
        </is>
      </c>
      <c r="F429" t="inlineStr">
        <is>
          <t>Local/Transactional</t>
        </is>
      </c>
      <c r="G429" t="inlineStr">
        <is>
          <t>BOFU</t>
        </is>
      </c>
      <c r="H429" t="inlineStr">
        <is>
          <t>Dubai - International City</t>
        </is>
      </c>
      <c r="I429" t="inlineStr">
        <is>
          <t>Dubai location page (area section)</t>
        </is>
      </c>
      <c r="J429" t="inlineStr">
        <is>
          <t>Location landing</t>
        </is>
      </c>
      <c r="K429">
        <f>IFERROR(VLOOKUP($A429,'Semrush Import'!$A:$D,2,FALSE),"")</f>
        <v/>
      </c>
      <c r="L429">
        <f>IFERROR(VLOOKUP($A429,'Semrush Import'!$A:$D,3,FALSE),"")</f>
        <v/>
      </c>
      <c r="M429">
        <f>IFERROR(VLOOKUP($A429,'Semrush Import'!$A:$D,4,FALSE),"")</f>
        <v/>
      </c>
      <c r="N429">
        <f>IFERROR(VLOOKUP($A429,'KP Import'!$A:$B,2,FALSE),"")</f>
        <v/>
      </c>
      <c r="O429">
        <f>IF(K429="","",ROUND(K429/(L429+10),1))</f>
        <v/>
      </c>
      <c r="P429">
        <f>IF(O429="","",IF(O429&gt;=20,"A - Go first",IF(O429&gt;=5,"B - Next","C - Later")))</f>
        <v/>
      </c>
      <c r="Q429" t="inlineStr">
        <is>
          <t>To research</t>
        </is>
      </c>
      <c r="R429" t="inlineStr"/>
    </row>
    <row r="430">
      <c r="A430" t="inlineStr">
        <is>
          <t>rice delivery al qusais</t>
        </is>
      </c>
      <c r="B430" t="inlineStr">
        <is>
          <t>Phase 2 - B2C (later)</t>
        </is>
      </c>
      <c r="C430" t="inlineStr">
        <is>
          <t>Consumer / household</t>
        </is>
      </c>
      <c r="D430" t="inlineStr">
        <is>
          <t>Dubai area</t>
        </is>
      </c>
      <c r="E430" t="inlineStr">
        <is>
          <t>Rice Delivery</t>
        </is>
      </c>
      <c r="F430" t="inlineStr">
        <is>
          <t>Local/Transactional</t>
        </is>
      </c>
      <c r="G430" t="inlineStr">
        <is>
          <t>BOFU</t>
        </is>
      </c>
      <c r="H430" t="inlineStr">
        <is>
          <t>Dubai - Al Qusais</t>
        </is>
      </c>
      <c r="I430" t="inlineStr">
        <is>
          <t>Dubai location page (area section)</t>
        </is>
      </c>
      <c r="J430" t="inlineStr">
        <is>
          <t>Location landing</t>
        </is>
      </c>
      <c r="K430">
        <f>IFERROR(VLOOKUP($A430,'Semrush Import'!$A:$D,2,FALSE),"")</f>
        <v/>
      </c>
      <c r="L430">
        <f>IFERROR(VLOOKUP($A430,'Semrush Import'!$A:$D,3,FALSE),"")</f>
        <v/>
      </c>
      <c r="M430">
        <f>IFERROR(VLOOKUP($A430,'Semrush Import'!$A:$D,4,FALSE),"")</f>
        <v/>
      </c>
      <c r="N430">
        <f>IFERROR(VLOOKUP($A430,'KP Import'!$A:$B,2,FALSE),"")</f>
        <v/>
      </c>
      <c r="O430">
        <f>IF(K430="","",ROUND(K430/(L430+10),1))</f>
        <v/>
      </c>
      <c r="P430">
        <f>IF(O430="","",IF(O430&gt;=20,"A - Go first",IF(O430&gt;=5,"B - Next","C - Later")))</f>
        <v/>
      </c>
      <c r="Q430" t="inlineStr">
        <is>
          <t>To research</t>
        </is>
      </c>
      <c r="R430" t="inlineStr"/>
    </row>
    <row r="431">
      <c r="A431" t="inlineStr">
        <is>
          <t>rice wholesale al qusais</t>
        </is>
      </c>
      <c r="B431" t="inlineStr">
        <is>
          <t>Phase 2 - B2C (later)</t>
        </is>
      </c>
      <c r="C431" t="inlineStr">
        <is>
          <t>Consumer / household</t>
        </is>
      </c>
      <c r="D431" t="inlineStr">
        <is>
          <t>Dubai area</t>
        </is>
      </c>
      <c r="E431" t="inlineStr">
        <is>
          <t>Rice Wholesale</t>
        </is>
      </c>
      <c r="F431" t="inlineStr">
        <is>
          <t>Local/Transactional</t>
        </is>
      </c>
      <c r="G431" t="inlineStr">
        <is>
          <t>BOFU</t>
        </is>
      </c>
      <c r="H431" t="inlineStr">
        <is>
          <t>Dubai - Al Qusais</t>
        </is>
      </c>
      <c r="I431" t="inlineStr">
        <is>
          <t>Dubai location page (area section)</t>
        </is>
      </c>
      <c r="J431" t="inlineStr">
        <is>
          <t>Location landing</t>
        </is>
      </c>
      <c r="K431">
        <f>IFERROR(VLOOKUP($A431,'Semrush Import'!$A:$D,2,FALSE),"")</f>
        <v/>
      </c>
      <c r="L431">
        <f>IFERROR(VLOOKUP($A431,'Semrush Import'!$A:$D,3,FALSE),"")</f>
        <v/>
      </c>
      <c r="M431">
        <f>IFERROR(VLOOKUP($A431,'Semrush Import'!$A:$D,4,FALSE),"")</f>
        <v/>
      </c>
      <c r="N431">
        <f>IFERROR(VLOOKUP($A431,'KP Import'!$A:$B,2,FALSE),"")</f>
        <v/>
      </c>
      <c r="O431">
        <f>IF(K431="","",ROUND(K431/(L431+10),1))</f>
        <v/>
      </c>
      <c r="P431">
        <f>IF(O431="","",IF(O431&gt;=20,"A - Go first",IF(O431&gt;=5,"B - Next","C - Later")))</f>
        <v/>
      </c>
      <c r="Q431" t="inlineStr">
        <is>
          <t>To research</t>
        </is>
      </c>
      <c r="R431" t="inlineStr"/>
    </row>
    <row r="432">
      <c r="A432" t="inlineStr">
        <is>
          <t>basmati rice al qusais</t>
        </is>
      </c>
      <c r="B432" t="inlineStr">
        <is>
          <t>Phase 1 - B2B now</t>
        </is>
      </c>
      <c r="C432" t="inlineStr">
        <is>
          <t>Wholesalers / bulk buyers</t>
        </is>
      </c>
      <c r="D432" t="inlineStr">
        <is>
          <t>Dubai area</t>
        </is>
      </c>
      <c r="E432" t="inlineStr">
        <is>
          <t>Basmati Rice</t>
        </is>
      </c>
      <c r="F432" t="inlineStr">
        <is>
          <t>Local/Transactional</t>
        </is>
      </c>
      <c r="G432" t="inlineStr">
        <is>
          <t>BOFU</t>
        </is>
      </c>
      <c r="H432" t="inlineStr">
        <is>
          <t>Dubai - Al Qusais</t>
        </is>
      </c>
      <c r="I432" t="inlineStr">
        <is>
          <t>Dubai location page (area section)</t>
        </is>
      </c>
      <c r="J432" t="inlineStr">
        <is>
          <t>Location landing</t>
        </is>
      </c>
      <c r="K432">
        <f>IFERROR(VLOOKUP($A432,'Semrush Import'!$A:$D,2,FALSE),"")</f>
        <v/>
      </c>
      <c r="L432">
        <f>IFERROR(VLOOKUP($A432,'Semrush Import'!$A:$D,3,FALSE),"")</f>
        <v/>
      </c>
      <c r="M432">
        <f>IFERROR(VLOOKUP($A432,'Semrush Import'!$A:$D,4,FALSE),"")</f>
        <v/>
      </c>
      <c r="N432">
        <f>IFERROR(VLOOKUP($A432,'KP Import'!$A:$B,2,FALSE),"")</f>
        <v/>
      </c>
      <c r="O432">
        <f>IF(K432="","",ROUND(K432/(L432+10),1))</f>
        <v/>
      </c>
      <c r="P432">
        <f>IF(O432="","",IF(O432&gt;=20,"A - Go first",IF(O432&gt;=5,"B - Next","C - Later")))</f>
        <v/>
      </c>
      <c r="Q432" t="inlineStr">
        <is>
          <t>To research</t>
        </is>
      </c>
      <c r="R432" t="inlineStr"/>
    </row>
    <row r="433">
      <c r="A433" t="inlineStr">
        <is>
          <t>rice delivery dubai silicon oasis</t>
        </is>
      </c>
      <c r="B433" t="inlineStr">
        <is>
          <t>Phase 2 - B2C (later)</t>
        </is>
      </c>
      <c r="C433" t="inlineStr">
        <is>
          <t>Consumer / household</t>
        </is>
      </c>
      <c r="D433" t="inlineStr">
        <is>
          <t>Dubai area</t>
        </is>
      </c>
      <c r="E433" t="inlineStr">
        <is>
          <t>Rice Delivery</t>
        </is>
      </c>
      <c r="F433" t="inlineStr">
        <is>
          <t>Local/Transactional</t>
        </is>
      </c>
      <c r="G433" t="inlineStr">
        <is>
          <t>BOFU</t>
        </is>
      </c>
      <c r="H433" t="inlineStr">
        <is>
          <t>Dubai - Dubai Silicon Oasis</t>
        </is>
      </c>
      <c r="I433" t="inlineStr">
        <is>
          <t>Dubai location page (area section)</t>
        </is>
      </c>
      <c r="J433" t="inlineStr">
        <is>
          <t>Location landing</t>
        </is>
      </c>
      <c r="K433">
        <f>IFERROR(VLOOKUP($A433,'Semrush Import'!$A:$D,2,FALSE),"")</f>
        <v/>
      </c>
      <c r="L433">
        <f>IFERROR(VLOOKUP($A433,'Semrush Import'!$A:$D,3,FALSE),"")</f>
        <v/>
      </c>
      <c r="M433">
        <f>IFERROR(VLOOKUP($A433,'Semrush Import'!$A:$D,4,FALSE),"")</f>
        <v/>
      </c>
      <c r="N433">
        <f>IFERROR(VLOOKUP($A433,'KP Import'!$A:$B,2,FALSE),"")</f>
        <v/>
      </c>
      <c r="O433">
        <f>IF(K433="","",ROUND(K433/(L433+10),1))</f>
        <v/>
      </c>
      <c r="P433">
        <f>IF(O433="","",IF(O433&gt;=20,"A - Go first",IF(O433&gt;=5,"B - Next","C - Later")))</f>
        <v/>
      </c>
      <c r="Q433" t="inlineStr">
        <is>
          <t>To research</t>
        </is>
      </c>
      <c r="R433" t="inlineStr"/>
    </row>
    <row r="434">
      <c r="A434" t="inlineStr">
        <is>
          <t>rice wholesale dubai silicon oasis</t>
        </is>
      </c>
      <c r="B434" t="inlineStr">
        <is>
          <t>Phase 2 - B2C (later)</t>
        </is>
      </c>
      <c r="C434" t="inlineStr">
        <is>
          <t>Consumer / household</t>
        </is>
      </c>
      <c r="D434" t="inlineStr">
        <is>
          <t>Dubai area</t>
        </is>
      </c>
      <c r="E434" t="inlineStr">
        <is>
          <t>Rice Wholesale</t>
        </is>
      </c>
      <c r="F434" t="inlineStr">
        <is>
          <t>Local/Transactional</t>
        </is>
      </c>
      <c r="G434" t="inlineStr">
        <is>
          <t>BOFU</t>
        </is>
      </c>
      <c r="H434" t="inlineStr">
        <is>
          <t>Dubai - Dubai Silicon Oasis</t>
        </is>
      </c>
      <c r="I434" t="inlineStr">
        <is>
          <t>Dubai location page (area section)</t>
        </is>
      </c>
      <c r="J434" t="inlineStr">
        <is>
          <t>Location landing</t>
        </is>
      </c>
      <c r="K434">
        <f>IFERROR(VLOOKUP($A434,'Semrush Import'!$A:$D,2,FALSE),"")</f>
        <v/>
      </c>
      <c r="L434">
        <f>IFERROR(VLOOKUP($A434,'Semrush Import'!$A:$D,3,FALSE),"")</f>
        <v/>
      </c>
      <c r="M434">
        <f>IFERROR(VLOOKUP($A434,'Semrush Import'!$A:$D,4,FALSE),"")</f>
        <v/>
      </c>
      <c r="N434">
        <f>IFERROR(VLOOKUP($A434,'KP Import'!$A:$B,2,FALSE),"")</f>
        <v/>
      </c>
      <c r="O434">
        <f>IF(K434="","",ROUND(K434/(L434+10),1))</f>
        <v/>
      </c>
      <c r="P434">
        <f>IF(O434="","",IF(O434&gt;=20,"A - Go first",IF(O434&gt;=5,"B - Next","C - Later")))</f>
        <v/>
      </c>
      <c r="Q434" t="inlineStr">
        <is>
          <t>To research</t>
        </is>
      </c>
      <c r="R434" t="inlineStr"/>
    </row>
    <row r="435">
      <c r="A435" t="inlineStr">
        <is>
          <t>basmati rice dubai silicon oasis</t>
        </is>
      </c>
      <c r="B435" t="inlineStr">
        <is>
          <t>Phase 1 - B2B now</t>
        </is>
      </c>
      <c r="C435" t="inlineStr">
        <is>
          <t>Wholesalers / bulk buyers</t>
        </is>
      </c>
      <c r="D435" t="inlineStr">
        <is>
          <t>Dubai area</t>
        </is>
      </c>
      <c r="E435" t="inlineStr">
        <is>
          <t>Basmati Rice</t>
        </is>
      </c>
      <c r="F435" t="inlineStr">
        <is>
          <t>Local/Transactional</t>
        </is>
      </c>
      <c r="G435" t="inlineStr">
        <is>
          <t>BOFU</t>
        </is>
      </c>
      <c r="H435" t="inlineStr">
        <is>
          <t>Dubai - Dubai Silicon Oasis</t>
        </is>
      </c>
      <c r="I435" t="inlineStr">
        <is>
          <t>Dubai location page (area section)</t>
        </is>
      </c>
      <c r="J435" t="inlineStr">
        <is>
          <t>Location landing</t>
        </is>
      </c>
      <c r="K435">
        <f>IFERROR(VLOOKUP($A435,'Semrush Import'!$A:$D,2,FALSE),"")</f>
        <v/>
      </c>
      <c r="L435">
        <f>IFERROR(VLOOKUP($A435,'Semrush Import'!$A:$D,3,FALSE),"")</f>
        <v/>
      </c>
      <c r="M435">
        <f>IFERROR(VLOOKUP($A435,'Semrush Import'!$A:$D,4,FALSE),"")</f>
        <v/>
      </c>
      <c r="N435">
        <f>IFERROR(VLOOKUP($A435,'KP Import'!$A:$B,2,FALSE),"")</f>
        <v/>
      </c>
      <c r="O435">
        <f>IF(K435="","",ROUND(K435/(L435+10),1))</f>
        <v/>
      </c>
      <c r="P435">
        <f>IF(O435="","",IF(O435&gt;=20,"A - Go first",IF(O435&gt;=5,"B - Next","C - Later")))</f>
        <v/>
      </c>
      <c r="Q435" t="inlineStr">
        <is>
          <t>To research</t>
        </is>
      </c>
      <c r="R435" t="inlineStr"/>
    </row>
    <row r="436">
      <c r="A436" t="inlineStr">
        <is>
          <t>rice delivery mirdif</t>
        </is>
      </c>
      <c r="B436" t="inlineStr">
        <is>
          <t>Phase 2 - B2C (later)</t>
        </is>
      </c>
      <c r="C436" t="inlineStr">
        <is>
          <t>Consumer / household</t>
        </is>
      </c>
      <c r="D436" t="inlineStr">
        <is>
          <t>Dubai area</t>
        </is>
      </c>
      <c r="E436" t="inlineStr">
        <is>
          <t>Rice Delivery</t>
        </is>
      </c>
      <c r="F436" t="inlineStr">
        <is>
          <t>Local/Transactional</t>
        </is>
      </c>
      <c r="G436" t="inlineStr">
        <is>
          <t>BOFU</t>
        </is>
      </c>
      <c r="H436" t="inlineStr">
        <is>
          <t>Dubai - Mirdif</t>
        </is>
      </c>
      <c r="I436" t="inlineStr">
        <is>
          <t>Dubai location page (area section)</t>
        </is>
      </c>
      <c r="J436" t="inlineStr">
        <is>
          <t>Location landing</t>
        </is>
      </c>
      <c r="K436">
        <f>IFERROR(VLOOKUP($A436,'Semrush Import'!$A:$D,2,FALSE),"")</f>
        <v/>
      </c>
      <c r="L436">
        <f>IFERROR(VLOOKUP($A436,'Semrush Import'!$A:$D,3,FALSE),"")</f>
        <v/>
      </c>
      <c r="M436">
        <f>IFERROR(VLOOKUP($A436,'Semrush Import'!$A:$D,4,FALSE),"")</f>
        <v/>
      </c>
      <c r="N436">
        <f>IFERROR(VLOOKUP($A436,'KP Import'!$A:$B,2,FALSE),"")</f>
        <v/>
      </c>
      <c r="O436">
        <f>IF(K436="","",ROUND(K436/(L436+10),1))</f>
        <v/>
      </c>
      <c r="P436">
        <f>IF(O436="","",IF(O436&gt;=20,"A - Go first",IF(O436&gt;=5,"B - Next","C - Later")))</f>
        <v/>
      </c>
      <c r="Q436" t="inlineStr">
        <is>
          <t>To research</t>
        </is>
      </c>
      <c r="R436" t="inlineStr"/>
    </row>
    <row r="437">
      <c r="A437" t="inlineStr">
        <is>
          <t>rice wholesale mirdif</t>
        </is>
      </c>
      <c r="B437" t="inlineStr">
        <is>
          <t>Phase 2 - B2C (later)</t>
        </is>
      </c>
      <c r="C437" t="inlineStr">
        <is>
          <t>Consumer / household</t>
        </is>
      </c>
      <c r="D437" t="inlineStr">
        <is>
          <t>Dubai area</t>
        </is>
      </c>
      <c r="E437" t="inlineStr">
        <is>
          <t>Rice Wholesale</t>
        </is>
      </c>
      <c r="F437" t="inlineStr">
        <is>
          <t>Local/Transactional</t>
        </is>
      </c>
      <c r="G437" t="inlineStr">
        <is>
          <t>BOFU</t>
        </is>
      </c>
      <c r="H437" t="inlineStr">
        <is>
          <t>Dubai - Mirdif</t>
        </is>
      </c>
      <c r="I437" t="inlineStr">
        <is>
          <t>Dubai location page (area section)</t>
        </is>
      </c>
      <c r="J437" t="inlineStr">
        <is>
          <t>Location landing</t>
        </is>
      </c>
      <c r="K437">
        <f>IFERROR(VLOOKUP($A437,'Semrush Import'!$A:$D,2,FALSE),"")</f>
        <v/>
      </c>
      <c r="L437">
        <f>IFERROR(VLOOKUP($A437,'Semrush Import'!$A:$D,3,FALSE),"")</f>
        <v/>
      </c>
      <c r="M437">
        <f>IFERROR(VLOOKUP($A437,'Semrush Import'!$A:$D,4,FALSE),"")</f>
        <v/>
      </c>
      <c r="N437">
        <f>IFERROR(VLOOKUP($A437,'KP Import'!$A:$B,2,FALSE),"")</f>
        <v/>
      </c>
      <c r="O437">
        <f>IF(K437="","",ROUND(K437/(L437+10),1))</f>
        <v/>
      </c>
      <c r="P437">
        <f>IF(O437="","",IF(O437&gt;=20,"A - Go first",IF(O437&gt;=5,"B - Next","C - Later")))</f>
        <v/>
      </c>
      <c r="Q437" t="inlineStr">
        <is>
          <t>To research</t>
        </is>
      </c>
      <c r="R437" t="inlineStr"/>
    </row>
    <row r="438">
      <c r="A438" t="inlineStr">
        <is>
          <t>basmati rice mirdif</t>
        </is>
      </c>
      <c r="B438" t="inlineStr">
        <is>
          <t>Phase 1 - B2B now</t>
        </is>
      </c>
      <c r="C438" t="inlineStr">
        <is>
          <t>Wholesalers / bulk buyers</t>
        </is>
      </c>
      <c r="D438" t="inlineStr">
        <is>
          <t>Dubai area</t>
        </is>
      </c>
      <c r="E438" t="inlineStr">
        <is>
          <t>Basmati Rice</t>
        </is>
      </c>
      <c r="F438" t="inlineStr">
        <is>
          <t>Local/Transactional</t>
        </is>
      </c>
      <c r="G438" t="inlineStr">
        <is>
          <t>BOFU</t>
        </is>
      </c>
      <c r="H438" t="inlineStr">
        <is>
          <t>Dubai - Mirdif</t>
        </is>
      </c>
      <c r="I438" t="inlineStr">
        <is>
          <t>Dubai location page (area section)</t>
        </is>
      </c>
      <c r="J438" t="inlineStr">
        <is>
          <t>Location landing</t>
        </is>
      </c>
      <c r="K438">
        <f>IFERROR(VLOOKUP($A438,'Semrush Import'!$A:$D,2,FALSE),"")</f>
        <v/>
      </c>
      <c r="L438">
        <f>IFERROR(VLOOKUP($A438,'Semrush Import'!$A:$D,3,FALSE),"")</f>
        <v/>
      </c>
      <c r="M438">
        <f>IFERROR(VLOOKUP($A438,'Semrush Import'!$A:$D,4,FALSE),"")</f>
        <v/>
      </c>
      <c r="N438">
        <f>IFERROR(VLOOKUP($A438,'KP Import'!$A:$B,2,FALSE),"")</f>
        <v/>
      </c>
      <c r="O438">
        <f>IF(K438="","",ROUND(K438/(L438+10),1))</f>
        <v/>
      </c>
      <c r="P438">
        <f>IF(O438="","",IF(O438&gt;=20,"A - Go first",IF(O438&gt;=5,"B - Next","C - Later")))</f>
        <v/>
      </c>
      <c r="Q438" t="inlineStr">
        <is>
          <t>To research</t>
        </is>
      </c>
      <c r="R438" t="inlineStr"/>
    </row>
    <row r="439">
      <c r="A439" t="inlineStr">
        <is>
          <t>rice delivery jumeirah</t>
        </is>
      </c>
      <c r="B439" t="inlineStr">
        <is>
          <t>Phase 2 - B2C (later)</t>
        </is>
      </c>
      <c r="C439" t="inlineStr">
        <is>
          <t>Consumer / household</t>
        </is>
      </c>
      <c r="D439" t="inlineStr">
        <is>
          <t>Dubai area</t>
        </is>
      </c>
      <c r="E439" t="inlineStr">
        <is>
          <t>Rice Delivery</t>
        </is>
      </c>
      <c r="F439" t="inlineStr">
        <is>
          <t>Local/Transactional</t>
        </is>
      </c>
      <c r="G439" t="inlineStr">
        <is>
          <t>BOFU</t>
        </is>
      </c>
      <c r="H439" t="inlineStr">
        <is>
          <t>Dubai - Jumeirah</t>
        </is>
      </c>
      <c r="I439" t="inlineStr">
        <is>
          <t>Dubai location page (area section)</t>
        </is>
      </c>
      <c r="J439" t="inlineStr">
        <is>
          <t>Location landing</t>
        </is>
      </c>
      <c r="K439">
        <f>IFERROR(VLOOKUP($A439,'Semrush Import'!$A:$D,2,FALSE),"")</f>
        <v/>
      </c>
      <c r="L439">
        <f>IFERROR(VLOOKUP($A439,'Semrush Import'!$A:$D,3,FALSE),"")</f>
        <v/>
      </c>
      <c r="M439">
        <f>IFERROR(VLOOKUP($A439,'Semrush Import'!$A:$D,4,FALSE),"")</f>
        <v/>
      </c>
      <c r="N439">
        <f>IFERROR(VLOOKUP($A439,'KP Import'!$A:$B,2,FALSE),"")</f>
        <v/>
      </c>
      <c r="O439">
        <f>IF(K439="","",ROUND(K439/(L439+10),1))</f>
        <v/>
      </c>
      <c r="P439">
        <f>IF(O439="","",IF(O439&gt;=20,"A - Go first",IF(O439&gt;=5,"B - Next","C - Later")))</f>
        <v/>
      </c>
      <c r="Q439" t="inlineStr">
        <is>
          <t>To research</t>
        </is>
      </c>
      <c r="R439" t="inlineStr"/>
    </row>
    <row r="440">
      <c r="A440" t="inlineStr">
        <is>
          <t>rice wholesale jumeirah</t>
        </is>
      </c>
      <c r="B440" t="inlineStr">
        <is>
          <t>Phase 2 - B2C (later)</t>
        </is>
      </c>
      <c r="C440" t="inlineStr">
        <is>
          <t>Consumer / household</t>
        </is>
      </c>
      <c r="D440" t="inlineStr">
        <is>
          <t>Dubai area</t>
        </is>
      </c>
      <c r="E440" t="inlineStr">
        <is>
          <t>Rice Wholesale</t>
        </is>
      </c>
      <c r="F440" t="inlineStr">
        <is>
          <t>Local/Transactional</t>
        </is>
      </c>
      <c r="G440" t="inlineStr">
        <is>
          <t>BOFU</t>
        </is>
      </c>
      <c r="H440" t="inlineStr">
        <is>
          <t>Dubai - Jumeirah</t>
        </is>
      </c>
      <c r="I440" t="inlineStr">
        <is>
          <t>Dubai location page (area section)</t>
        </is>
      </c>
      <c r="J440" t="inlineStr">
        <is>
          <t>Location landing</t>
        </is>
      </c>
      <c r="K440">
        <f>IFERROR(VLOOKUP($A440,'Semrush Import'!$A:$D,2,FALSE),"")</f>
        <v/>
      </c>
      <c r="L440">
        <f>IFERROR(VLOOKUP($A440,'Semrush Import'!$A:$D,3,FALSE),"")</f>
        <v/>
      </c>
      <c r="M440">
        <f>IFERROR(VLOOKUP($A440,'Semrush Import'!$A:$D,4,FALSE),"")</f>
        <v/>
      </c>
      <c r="N440">
        <f>IFERROR(VLOOKUP($A440,'KP Import'!$A:$B,2,FALSE),"")</f>
        <v/>
      </c>
      <c r="O440">
        <f>IF(K440="","",ROUND(K440/(L440+10),1))</f>
        <v/>
      </c>
      <c r="P440">
        <f>IF(O440="","",IF(O440&gt;=20,"A - Go first",IF(O440&gt;=5,"B - Next","C - Later")))</f>
        <v/>
      </c>
      <c r="Q440" t="inlineStr">
        <is>
          <t>To research</t>
        </is>
      </c>
      <c r="R440" t="inlineStr"/>
    </row>
    <row r="441">
      <c r="A441" t="inlineStr">
        <is>
          <t>basmati rice jumeirah</t>
        </is>
      </c>
      <c r="B441" t="inlineStr">
        <is>
          <t>Phase 1 - B2B now</t>
        </is>
      </c>
      <c r="C441" t="inlineStr">
        <is>
          <t>Wholesalers / bulk buyers</t>
        </is>
      </c>
      <c r="D441" t="inlineStr">
        <is>
          <t>Dubai area</t>
        </is>
      </c>
      <c r="E441" t="inlineStr">
        <is>
          <t>Basmati Rice</t>
        </is>
      </c>
      <c r="F441" t="inlineStr">
        <is>
          <t>Local/Transactional</t>
        </is>
      </c>
      <c r="G441" t="inlineStr">
        <is>
          <t>BOFU</t>
        </is>
      </c>
      <c r="H441" t="inlineStr">
        <is>
          <t>Dubai - Jumeirah</t>
        </is>
      </c>
      <c r="I441" t="inlineStr">
        <is>
          <t>Dubai location page (area section)</t>
        </is>
      </c>
      <c r="J441" t="inlineStr">
        <is>
          <t>Location landing</t>
        </is>
      </c>
      <c r="K441">
        <f>IFERROR(VLOOKUP($A441,'Semrush Import'!$A:$D,2,FALSE),"")</f>
        <v/>
      </c>
      <c r="L441">
        <f>IFERROR(VLOOKUP($A441,'Semrush Import'!$A:$D,3,FALSE),"")</f>
        <v/>
      </c>
      <c r="M441">
        <f>IFERROR(VLOOKUP($A441,'Semrush Import'!$A:$D,4,FALSE),"")</f>
        <v/>
      </c>
      <c r="N441">
        <f>IFERROR(VLOOKUP($A441,'KP Import'!$A:$B,2,FALSE),"")</f>
        <v/>
      </c>
      <c r="O441">
        <f>IF(K441="","",ROUND(K441/(L441+10),1))</f>
        <v/>
      </c>
      <c r="P441">
        <f>IF(O441="","",IF(O441&gt;=20,"A - Go first",IF(O441&gt;=5,"B - Next","C - Later")))</f>
        <v/>
      </c>
      <c r="Q441" t="inlineStr">
        <is>
          <t>To research</t>
        </is>
      </c>
      <c r="R441" t="inlineStr"/>
    </row>
    <row r="442">
      <c r="A442" t="inlineStr">
        <is>
          <t>rice delivery ras al khor</t>
        </is>
      </c>
      <c r="B442" t="inlineStr">
        <is>
          <t>Phase 2 - B2C (later)</t>
        </is>
      </c>
      <c r="C442" t="inlineStr">
        <is>
          <t>Consumer / household</t>
        </is>
      </c>
      <c r="D442" t="inlineStr">
        <is>
          <t>Dubai area</t>
        </is>
      </c>
      <c r="E442" t="inlineStr">
        <is>
          <t>Rice Delivery</t>
        </is>
      </c>
      <c r="F442" t="inlineStr">
        <is>
          <t>Local/Transactional</t>
        </is>
      </c>
      <c r="G442" t="inlineStr">
        <is>
          <t>BOFU</t>
        </is>
      </c>
      <c r="H442" t="inlineStr">
        <is>
          <t>Dubai - Ras Al Khor</t>
        </is>
      </c>
      <c r="I442" t="inlineStr">
        <is>
          <t>Dubai location page (area section)</t>
        </is>
      </c>
      <c r="J442" t="inlineStr">
        <is>
          <t>Location landing</t>
        </is>
      </c>
      <c r="K442">
        <f>IFERROR(VLOOKUP($A442,'Semrush Import'!$A:$D,2,FALSE),"")</f>
        <v/>
      </c>
      <c r="L442">
        <f>IFERROR(VLOOKUP($A442,'Semrush Import'!$A:$D,3,FALSE),"")</f>
        <v/>
      </c>
      <c r="M442">
        <f>IFERROR(VLOOKUP($A442,'Semrush Import'!$A:$D,4,FALSE),"")</f>
        <v/>
      </c>
      <c r="N442">
        <f>IFERROR(VLOOKUP($A442,'KP Import'!$A:$B,2,FALSE),"")</f>
        <v/>
      </c>
      <c r="O442">
        <f>IF(K442="","",ROUND(K442/(L442+10),1))</f>
        <v/>
      </c>
      <c r="P442">
        <f>IF(O442="","",IF(O442&gt;=20,"A - Go first",IF(O442&gt;=5,"B - Next","C - Later")))</f>
        <v/>
      </c>
      <c r="Q442" t="inlineStr">
        <is>
          <t>To research</t>
        </is>
      </c>
      <c r="R442" t="inlineStr"/>
    </row>
    <row r="443">
      <c r="A443" t="inlineStr">
        <is>
          <t>rice wholesale ras al khor</t>
        </is>
      </c>
      <c r="B443" t="inlineStr">
        <is>
          <t>Phase 2 - B2C (later)</t>
        </is>
      </c>
      <c r="C443" t="inlineStr">
        <is>
          <t>Consumer / household</t>
        </is>
      </c>
      <c r="D443" t="inlineStr">
        <is>
          <t>Dubai area</t>
        </is>
      </c>
      <c r="E443" t="inlineStr">
        <is>
          <t>Rice Wholesale</t>
        </is>
      </c>
      <c r="F443" t="inlineStr">
        <is>
          <t>Local/Transactional</t>
        </is>
      </c>
      <c r="G443" t="inlineStr">
        <is>
          <t>BOFU</t>
        </is>
      </c>
      <c r="H443" t="inlineStr">
        <is>
          <t>Dubai - Ras Al Khor</t>
        </is>
      </c>
      <c r="I443" t="inlineStr">
        <is>
          <t>Dubai location page (area section)</t>
        </is>
      </c>
      <c r="J443" t="inlineStr">
        <is>
          <t>Location landing</t>
        </is>
      </c>
      <c r="K443">
        <f>IFERROR(VLOOKUP($A443,'Semrush Import'!$A:$D,2,FALSE),"")</f>
        <v/>
      </c>
      <c r="L443">
        <f>IFERROR(VLOOKUP($A443,'Semrush Import'!$A:$D,3,FALSE),"")</f>
        <v/>
      </c>
      <c r="M443">
        <f>IFERROR(VLOOKUP($A443,'Semrush Import'!$A:$D,4,FALSE),"")</f>
        <v/>
      </c>
      <c r="N443">
        <f>IFERROR(VLOOKUP($A443,'KP Import'!$A:$B,2,FALSE),"")</f>
        <v/>
      </c>
      <c r="O443">
        <f>IF(K443="","",ROUND(K443/(L443+10),1))</f>
        <v/>
      </c>
      <c r="P443">
        <f>IF(O443="","",IF(O443&gt;=20,"A - Go first",IF(O443&gt;=5,"B - Next","C - Later")))</f>
        <v/>
      </c>
      <c r="Q443" t="inlineStr">
        <is>
          <t>To research</t>
        </is>
      </c>
      <c r="R443" t="inlineStr"/>
    </row>
    <row r="444">
      <c r="A444" t="inlineStr">
        <is>
          <t>basmati rice ras al khor</t>
        </is>
      </c>
      <c r="B444" t="inlineStr">
        <is>
          <t>Phase 1 - B2B now</t>
        </is>
      </c>
      <c r="C444" t="inlineStr">
        <is>
          <t>Wholesalers / bulk buyers</t>
        </is>
      </c>
      <c r="D444" t="inlineStr">
        <is>
          <t>Dubai area</t>
        </is>
      </c>
      <c r="E444" t="inlineStr">
        <is>
          <t>Basmati Rice</t>
        </is>
      </c>
      <c r="F444" t="inlineStr">
        <is>
          <t>Local/Transactional</t>
        </is>
      </c>
      <c r="G444" t="inlineStr">
        <is>
          <t>BOFU</t>
        </is>
      </c>
      <c r="H444" t="inlineStr">
        <is>
          <t>Dubai - Ras Al Khor</t>
        </is>
      </c>
      <c r="I444" t="inlineStr">
        <is>
          <t>Dubai location page (area section)</t>
        </is>
      </c>
      <c r="J444" t="inlineStr">
        <is>
          <t>Location landing</t>
        </is>
      </c>
      <c r="K444">
        <f>IFERROR(VLOOKUP($A444,'Semrush Import'!$A:$D,2,FALSE),"")</f>
        <v/>
      </c>
      <c r="L444">
        <f>IFERROR(VLOOKUP($A444,'Semrush Import'!$A:$D,3,FALSE),"")</f>
        <v/>
      </c>
      <c r="M444">
        <f>IFERROR(VLOOKUP($A444,'Semrush Import'!$A:$D,4,FALSE),"")</f>
        <v/>
      </c>
      <c r="N444">
        <f>IFERROR(VLOOKUP($A444,'KP Import'!$A:$B,2,FALSE),"")</f>
        <v/>
      </c>
      <c r="O444">
        <f>IF(K444="","",ROUND(K444/(L444+10),1))</f>
        <v/>
      </c>
      <c r="P444">
        <f>IF(O444="","",IF(O444&gt;=20,"A - Go first",IF(O444&gt;=5,"B - Next","C - Later")))</f>
        <v/>
      </c>
      <c r="Q444" t="inlineStr">
        <is>
          <t>To research</t>
        </is>
      </c>
      <c r="R444" t="inlineStr"/>
    </row>
    <row r="445">
      <c r="A445" t="inlineStr">
        <is>
          <t>rice delivery al barsha</t>
        </is>
      </c>
      <c r="B445" t="inlineStr">
        <is>
          <t>Phase 2 - B2C (later)</t>
        </is>
      </c>
      <c r="C445" t="inlineStr">
        <is>
          <t>Consumer / household</t>
        </is>
      </c>
      <c r="D445" t="inlineStr">
        <is>
          <t>Dubai area</t>
        </is>
      </c>
      <c r="E445" t="inlineStr">
        <is>
          <t>Rice Delivery</t>
        </is>
      </c>
      <c r="F445" t="inlineStr">
        <is>
          <t>Local/Transactional</t>
        </is>
      </c>
      <c r="G445" t="inlineStr">
        <is>
          <t>BOFU</t>
        </is>
      </c>
      <c r="H445" t="inlineStr">
        <is>
          <t>Dubai - Al Barsha</t>
        </is>
      </c>
      <c r="I445" t="inlineStr">
        <is>
          <t>Dubai location page (area section)</t>
        </is>
      </c>
      <c r="J445" t="inlineStr">
        <is>
          <t>Location landing</t>
        </is>
      </c>
      <c r="K445">
        <f>IFERROR(VLOOKUP($A445,'Semrush Import'!$A:$D,2,FALSE),"")</f>
        <v/>
      </c>
      <c r="L445">
        <f>IFERROR(VLOOKUP($A445,'Semrush Import'!$A:$D,3,FALSE),"")</f>
        <v/>
      </c>
      <c r="M445">
        <f>IFERROR(VLOOKUP($A445,'Semrush Import'!$A:$D,4,FALSE),"")</f>
        <v/>
      </c>
      <c r="N445">
        <f>IFERROR(VLOOKUP($A445,'KP Import'!$A:$B,2,FALSE),"")</f>
        <v/>
      </c>
      <c r="O445">
        <f>IF(K445="","",ROUND(K445/(L445+10),1))</f>
        <v/>
      </c>
      <c r="P445">
        <f>IF(O445="","",IF(O445&gt;=20,"A - Go first",IF(O445&gt;=5,"B - Next","C - Later")))</f>
        <v/>
      </c>
      <c r="Q445" t="inlineStr">
        <is>
          <t>To research</t>
        </is>
      </c>
      <c r="R445" t="inlineStr"/>
    </row>
    <row r="446">
      <c r="A446" t="inlineStr">
        <is>
          <t>rice wholesale al barsha</t>
        </is>
      </c>
      <c r="B446" t="inlineStr">
        <is>
          <t>Phase 2 - B2C (later)</t>
        </is>
      </c>
      <c r="C446" t="inlineStr">
        <is>
          <t>Consumer / household</t>
        </is>
      </c>
      <c r="D446" t="inlineStr">
        <is>
          <t>Dubai area</t>
        </is>
      </c>
      <c r="E446" t="inlineStr">
        <is>
          <t>Rice Wholesale</t>
        </is>
      </c>
      <c r="F446" t="inlineStr">
        <is>
          <t>Local/Transactional</t>
        </is>
      </c>
      <c r="G446" t="inlineStr">
        <is>
          <t>BOFU</t>
        </is>
      </c>
      <c r="H446" t="inlineStr">
        <is>
          <t>Dubai - Al Barsha</t>
        </is>
      </c>
      <c r="I446" t="inlineStr">
        <is>
          <t>Dubai location page (area section)</t>
        </is>
      </c>
      <c r="J446" t="inlineStr">
        <is>
          <t>Location landing</t>
        </is>
      </c>
      <c r="K446">
        <f>IFERROR(VLOOKUP($A446,'Semrush Import'!$A:$D,2,FALSE),"")</f>
        <v/>
      </c>
      <c r="L446">
        <f>IFERROR(VLOOKUP($A446,'Semrush Import'!$A:$D,3,FALSE),"")</f>
        <v/>
      </c>
      <c r="M446">
        <f>IFERROR(VLOOKUP($A446,'Semrush Import'!$A:$D,4,FALSE),"")</f>
        <v/>
      </c>
      <c r="N446">
        <f>IFERROR(VLOOKUP($A446,'KP Import'!$A:$B,2,FALSE),"")</f>
        <v/>
      </c>
      <c r="O446">
        <f>IF(K446="","",ROUND(K446/(L446+10),1))</f>
        <v/>
      </c>
      <c r="P446">
        <f>IF(O446="","",IF(O446&gt;=20,"A - Go first",IF(O446&gt;=5,"B - Next","C - Later")))</f>
        <v/>
      </c>
      <c r="Q446" t="inlineStr">
        <is>
          <t>To research</t>
        </is>
      </c>
      <c r="R446" t="inlineStr"/>
    </row>
    <row r="447">
      <c r="A447" t="inlineStr">
        <is>
          <t>basmati rice al barsha</t>
        </is>
      </c>
      <c r="B447" t="inlineStr">
        <is>
          <t>Phase 1 - B2B now</t>
        </is>
      </c>
      <c r="C447" t="inlineStr">
        <is>
          <t>Wholesalers / bulk buyers</t>
        </is>
      </c>
      <c r="D447" t="inlineStr">
        <is>
          <t>Dubai area</t>
        </is>
      </c>
      <c r="E447" t="inlineStr">
        <is>
          <t>Basmati Rice</t>
        </is>
      </c>
      <c r="F447" t="inlineStr">
        <is>
          <t>Local/Transactional</t>
        </is>
      </c>
      <c r="G447" t="inlineStr">
        <is>
          <t>BOFU</t>
        </is>
      </c>
      <c r="H447" t="inlineStr">
        <is>
          <t>Dubai - Al Barsha</t>
        </is>
      </c>
      <c r="I447" t="inlineStr">
        <is>
          <t>Dubai location page (area section)</t>
        </is>
      </c>
      <c r="J447" t="inlineStr">
        <is>
          <t>Location landing</t>
        </is>
      </c>
      <c r="K447">
        <f>IFERROR(VLOOKUP($A447,'Semrush Import'!$A:$D,2,FALSE),"")</f>
        <v/>
      </c>
      <c r="L447">
        <f>IFERROR(VLOOKUP($A447,'Semrush Import'!$A:$D,3,FALSE),"")</f>
        <v/>
      </c>
      <c r="M447">
        <f>IFERROR(VLOOKUP($A447,'Semrush Import'!$A:$D,4,FALSE),"")</f>
        <v/>
      </c>
      <c r="N447">
        <f>IFERROR(VLOOKUP($A447,'KP Import'!$A:$B,2,FALSE),"")</f>
        <v/>
      </c>
      <c r="O447">
        <f>IF(K447="","",ROUND(K447/(L447+10),1))</f>
        <v/>
      </c>
      <c r="P447">
        <f>IF(O447="","",IF(O447&gt;=20,"A - Go first",IF(O447&gt;=5,"B - Next","C - Later")))</f>
        <v/>
      </c>
      <c r="Q447" t="inlineStr">
        <is>
          <t>To research</t>
        </is>
      </c>
      <c r="R447" t="inlineStr"/>
    </row>
    <row r="448">
      <c r="A448" t="inlineStr">
        <is>
          <t>rice delivery dubai investment park</t>
        </is>
      </c>
      <c r="B448" t="inlineStr">
        <is>
          <t>Phase 2 - B2C (later)</t>
        </is>
      </c>
      <c r="C448" t="inlineStr">
        <is>
          <t>Consumer / household</t>
        </is>
      </c>
      <c r="D448" t="inlineStr">
        <is>
          <t>Dubai area</t>
        </is>
      </c>
      <c r="E448" t="inlineStr">
        <is>
          <t>Rice Delivery</t>
        </is>
      </c>
      <c r="F448" t="inlineStr">
        <is>
          <t>Local/Transactional</t>
        </is>
      </c>
      <c r="G448" t="inlineStr">
        <is>
          <t>BOFU</t>
        </is>
      </c>
      <c r="H448" t="inlineStr">
        <is>
          <t>Dubai - Dubai Investment Park</t>
        </is>
      </c>
      <c r="I448" t="inlineStr">
        <is>
          <t>Dubai location page (area section)</t>
        </is>
      </c>
      <c r="J448" t="inlineStr">
        <is>
          <t>Location landing</t>
        </is>
      </c>
      <c r="K448">
        <f>IFERROR(VLOOKUP($A448,'Semrush Import'!$A:$D,2,FALSE),"")</f>
        <v/>
      </c>
      <c r="L448">
        <f>IFERROR(VLOOKUP($A448,'Semrush Import'!$A:$D,3,FALSE),"")</f>
        <v/>
      </c>
      <c r="M448">
        <f>IFERROR(VLOOKUP($A448,'Semrush Import'!$A:$D,4,FALSE),"")</f>
        <v/>
      </c>
      <c r="N448">
        <f>IFERROR(VLOOKUP($A448,'KP Import'!$A:$B,2,FALSE),"")</f>
        <v/>
      </c>
      <c r="O448">
        <f>IF(K448="","",ROUND(K448/(L448+10),1))</f>
        <v/>
      </c>
      <c r="P448">
        <f>IF(O448="","",IF(O448&gt;=20,"A - Go first",IF(O448&gt;=5,"B - Next","C - Later")))</f>
        <v/>
      </c>
      <c r="Q448" t="inlineStr">
        <is>
          <t>To research</t>
        </is>
      </c>
      <c r="R448" t="inlineStr"/>
    </row>
    <row r="449">
      <c r="A449" t="inlineStr">
        <is>
          <t>rice wholesale dubai investment park</t>
        </is>
      </c>
      <c r="B449" t="inlineStr">
        <is>
          <t>Phase 2 - B2C (later)</t>
        </is>
      </c>
      <c r="C449" t="inlineStr">
        <is>
          <t>Consumer / household</t>
        </is>
      </c>
      <c r="D449" t="inlineStr">
        <is>
          <t>Dubai area</t>
        </is>
      </c>
      <c r="E449" t="inlineStr">
        <is>
          <t>Rice Wholesale</t>
        </is>
      </c>
      <c r="F449" t="inlineStr">
        <is>
          <t>Local/Transactional</t>
        </is>
      </c>
      <c r="G449" t="inlineStr">
        <is>
          <t>BOFU</t>
        </is>
      </c>
      <c r="H449" t="inlineStr">
        <is>
          <t>Dubai - Dubai Investment Park</t>
        </is>
      </c>
      <c r="I449" t="inlineStr">
        <is>
          <t>Dubai location page (area section)</t>
        </is>
      </c>
      <c r="J449" t="inlineStr">
        <is>
          <t>Location landing</t>
        </is>
      </c>
      <c r="K449">
        <f>IFERROR(VLOOKUP($A449,'Semrush Import'!$A:$D,2,FALSE),"")</f>
        <v/>
      </c>
      <c r="L449">
        <f>IFERROR(VLOOKUP($A449,'Semrush Import'!$A:$D,3,FALSE),"")</f>
        <v/>
      </c>
      <c r="M449">
        <f>IFERROR(VLOOKUP($A449,'Semrush Import'!$A:$D,4,FALSE),"")</f>
        <v/>
      </c>
      <c r="N449">
        <f>IFERROR(VLOOKUP($A449,'KP Import'!$A:$B,2,FALSE),"")</f>
        <v/>
      </c>
      <c r="O449">
        <f>IF(K449="","",ROUND(K449/(L449+10),1))</f>
        <v/>
      </c>
      <c r="P449">
        <f>IF(O449="","",IF(O449&gt;=20,"A - Go first",IF(O449&gt;=5,"B - Next","C - Later")))</f>
        <v/>
      </c>
      <c r="Q449" t="inlineStr">
        <is>
          <t>To research</t>
        </is>
      </c>
      <c r="R449" t="inlineStr"/>
    </row>
    <row r="450">
      <c r="A450" t="inlineStr">
        <is>
          <t>basmati rice dubai investment park</t>
        </is>
      </c>
      <c r="B450" t="inlineStr">
        <is>
          <t>Phase 1 - B2B now</t>
        </is>
      </c>
      <c r="C450" t="inlineStr">
        <is>
          <t>Wholesalers / bulk buyers</t>
        </is>
      </c>
      <c r="D450" t="inlineStr">
        <is>
          <t>Dubai area</t>
        </is>
      </c>
      <c r="E450" t="inlineStr">
        <is>
          <t>Basmati Rice</t>
        </is>
      </c>
      <c r="F450" t="inlineStr">
        <is>
          <t>Local/Transactional</t>
        </is>
      </c>
      <c r="G450" t="inlineStr">
        <is>
          <t>BOFU</t>
        </is>
      </c>
      <c r="H450" t="inlineStr">
        <is>
          <t>Dubai - Dubai Investment Park</t>
        </is>
      </c>
      <c r="I450" t="inlineStr">
        <is>
          <t>Dubai location page (area section)</t>
        </is>
      </c>
      <c r="J450" t="inlineStr">
        <is>
          <t>Location landing</t>
        </is>
      </c>
      <c r="K450">
        <f>IFERROR(VLOOKUP($A450,'Semrush Import'!$A:$D,2,FALSE),"")</f>
        <v/>
      </c>
      <c r="L450">
        <f>IFERROR(VLOOKUP($A450,'Semrush Import'!$A:$D,3,FALSE),"")</f>
        <v/>
      </c>
      <c r="M450">
        <f>IFERROR(VLOOKUP($A450,'Semrush Import'!$A:$D,4,FALSE),"")</f>
        <v/>
      </c>
      <c r="N450">
        <f>IFERROR(VLOOKUP($A450,'KP Import'!$A:$B,2,FALSE),"")</f>
        <v/>
      </c>
      <c r="O450">
        <f>IF(K450="","",ROUND(K450/(L450+10),1))</f>
        <v/>
      </c>
      <c r="P450">
        <f>IF(O450="","",IF(O450&gt;=20,"A - Go first",IF(O450&gt;=5,"B - Next","C - Later")))</f>
        <v/>
      </c>
      <c r="Q450" t="inlineStr">
        <is>
          <t>To research</t>
        </is>
      </c>
      <c r="R450" t="inlineStr"/>
    </row>
    <row r="451">
      <c r="A451" t="inlineStr">
        <is>
          <t>rice wholesale al nahda sharjah</t>
        </is>
      </c>
      <c r="B451" t="inlineStr">
        <is>
          <t>Phase 2 - B2C (later)</t>
        </is>
      </c>
      <c r="C451" t="inlineStr">
        <is>
          <t>Consumer / household</t>
        </is>
      </c>
      <c r="D451" t="inlineStr">
        <is>
          <t>Sharjah area</t>
        </is>
      </c>
      <c r="E451" t="inlineStr">
        <is>
          <t>Wholesale</t>
        </is>
      </c>
      <c r="F451" t="inlineStr">
        <is>
          <t>Local/Transactional (B2B)</t>
        </is>
      </c>
      <c r="G451" t="inlineStr">
        <is>
          <t>BOFU</t>
        </is>
      </c>
      <c r="H451" t="inlineStr">
        <is>
          <t>Sharjah - Al Nahda</t>
        </is>
      </c>
      <c r="I451" t="inlineStr">
        <is>
          <t>Sharjah location landing page</t>
        </is>
      </c>
      <c r="J451" t="inlineStr">
        <is>
          <t>Location landing</t>
        </is>
      </c>
      <c r="K451">
        <f>IFERROR(VLOOKUP($A451,'Semrush Import'!$A:$D,2,FALSE),"")</f>
        <v/>
      </c>
      <c r="L451">
        <f>IFERROR(VLOOKUP($A451,'Semrush Import'!$A:$D,3,FALSE),"")</f>
        <v/>
      </c>
      <c r="M451">
        <f>IFERROR(VLOOKUP($A451,'Semrush Import'!$A:$D,4,FALSE),"")</f>
        <v/>
      </c>
      <c r="N451">
        <f>IFERROR(VLOOKUP($A451,'KP Import'!$A:$B,2,FALSE),"")</f>
        <v/>
      </c>
      <c r="O451">
        <f>IF(K451="","",ROUND(K451/(L451+10),1))</f>
        <v/>
      </c>
      <c r="P451">
        <f>IF(O451="","",IF(O451&gt;=20,"A - Go first",IF(O451&gt;=5,"B - Next","C - Later")))</f>
        <v/>
      </c>
      <c r="Q451" t="inlineStr">
        <is>
          <t>To research</t>
        </is>
      </c>
      <c r="R451" t="inlineStr"/>
    </row>
    <row r="452">
      <c r="A452" t="inlineStr">
        <is>
          <t>rice wholesale industrial area sharjah</t>
        </is>
      </c>
      <c r="B452" t="inlineStr">
        <is>
          <t>Phase 2 - B2C (later)</t>
        </is>
      </c>
      <c r="C452" t="inlineStr">
        <is>
          <t>Consumer / household</t>
        </is>
      </c>
      <c r="D452" t="inlineStr">
        <is>
          <t>Sharjah area</t>
        </is>
      </c>
      <c r="E452" t="inlineStr">
        <is>
          <t>Wholesale</t>
        </is>
      </c>
      <c r="F452" t="inlineStr">
        <is>
          <t>Local/Transactional (B2B)</t>
        </is>
      </c>
      <c r="G452" t="inlineStr">
        <is>
          <t>BOFU</t>
        </is>
      </c>
      <c r="H452" t="inlineStr">
        <is>
          <t>Sharjah - Industrial Area</t>
        </is>
      </c>
      <c r="I452" t="inlineStr">
        <is>
          <t>Sharjah location landing page</t>
        </is>
      </c>
      <c r="J452" t="inlineStr">
        <is>
          <t>Location landing</t>
        </is>
      </c>
      <c r="K452">
        <f>IFERROR(VLOOKUP($A452,'Semrush Import'!$A:$D,2,FALSE),"")</f>
        <v/>
      </c>
      <c r="L452">
        <f>IFERROR(VLOOKUP($A452,'Semrush Import'!$A:$D,3,FALSE),"")</f>
        <v/>
      </c>
      <c r="M452">
        <f>IFERROR(VLOOKUP($A452,'Semrush Import'!$A:$D,4,FALSE),"")</f>
        <v/>
      </c>
      <c r="N452">
        <f>IFERROR(VLOOKUP($A452,'KP Import'!$A:$B,2,FALSE),"")</f>
        <v/>
      </c>
      <c r="O452">
        <f>IF(K452="","",ROUND(K452/(L452+10),1))</f>
        <v/>
      </c>
      <c r="P452">
        <f>IF(O452="","",IF(O452&gt;=20,"A - Go first",IF(O452&gt;=5,"B - Next","C - Later")))</f>
        <v/>
      </c>
      <c r="Q452" t="inlineStr">
        <is>
          <t>To research</t>
        </is>
      </c>
      <c r="R452" t="inlineStr"/>
    </row>
    <row r="453">
      <c r="A453" t="inlineStr">
        <is>
          <t>rice wholesale al majaz sharjah</t>
        </is>
      </c>
      <c r="B453" t="inlineStr">
        <is>
          <t>Phase 2 - B2C (later)</t>
        </is>
      </c>
      <c r="C453" t="inlineStr">
        <is>
          <t>Consumer / household</t>
        </is>
      </c>
      <c r="D453" t="inlineStr">
        <is>
          <t>Sharjah area</t>
        </is>
      </c>
      <c r="E453" t="inlineStr">
        <is>
          <t>Wholesale</t>
        </is>
      </c>
      <c r="F453" t="inlineStr">
        <is>
          <t>Local/Transactional (B2B)</t>
        </is>
      </c>
      <c r="G453" t="inlineStr">
        <is>
          <t>BOFU</t>
        </is>
      </c>
      <c r="H453" t="inlineStr">
        <is>
          <t>Sharjah - Al Majaz</t>
        </is>
      </c>
      <c r="I453" t="inlineStr">
        <is>
          <t>Sharjah location landing page</t>
        </is>
      </c>
      <c r="J453" t="inlineStr">
        <is>
          <t>Location landing</t>
        </is>
      </c>
      <c r="K453">
        <f>IFERROR(VLOOKUP($A453,'Semrush Import'!$A:$D,2,FALSE),"")</f>
        <v/>
      </c>
      <c r="L453">
        <f>IFERROR(VLOOKUP($A453,'Semrush Import'!$A:$D,3,FALSE),"")</f>
        <v/>
      </c>
      <c r="M453">
        <f>IFERROR(VLOOKUP($A453,'Semrush Import'!$A:$D,4,FALSE),"")</f>
        <v/>
      </c>
      <c r="N453">
        <f>IFERROR(VLOOKUP($A453,'KP Import'!$A:$B,2,FALSE),"")</f>
        <v/>
      </c>
      <c r="O453">
        <f>IF(K453="","",ROUND(K453/(L453+10),1))</f>
        <v/>
      </c>
      <c r="P453">
        <f>IF(O453="","",IF(O453&gt;=20,"A - Go first",IF(O453&gt;=5,"B - Next","C - Later")))</f>
        <v/>
      </c>
      <c r="Q453" t="inlineStr">
        <is>
          <t>To research</t>
        </is>
      </c>
      <c r="R453" t="inlineStr"/>
    </row>
    <row r="454">
      <c r="A454" t="inlineStr">
        <is>
          <t>rice wholesale muwaileh sharjah</t>
        </is>
      </c>
      <c r="B454" t="inlineStr">
        <is>
          <t>Phase 2 - B2C (later)</t>
        </is>
      </c>
      <c r="C454" t="inlineStr">
        <is>
          <t>Consumer / household</t>
        </is>
      </c>
      <c r="D454" t="inlineStr">
        <is>
          <t>Sharjah area</t>
        </is>
      </c>
      <c r="E454" t="inlineStr">
        <is>
          <t>Wholesale</t>
        </is>
      </c>
      <c r="F454" t="inlineStr">
        <is>
          <t>Local/Transactional (B2B)</t>
        </is>
      </c>
      <c r="G454" t="inlineStr">
        <is>
          <t>BOFU</t>
        </is>
      </c>
      <c r="H454" t="inlineStr">
        <is>
          <t>Sharjah - Muwaileh</t>
        </is>
      </c>
      <c r="I454" t="inlineStr">
        <is>
          <t>Sharjah location landing page</t>
        </is>
      </c>
      <c r="J454" t="inlineStr">
        <is>
          <t>Location landing</t>
        </is>
      </c>
      <c r="K454">
        <f>IFERROR(VLOOKUP($A454,'Semrush Import'!$A:$D,2,FALSE),"")</f>
        <v/>
      </c>
      <c r="L454">
        <f>IFERROR(VLOOKUP($A454,'Semrush Import'!$A:$D,3,FALSE),"")</f>
        <v/>
      </c>
      <c r="M454">
        <f>IFERROR(VLOOKUP($A454,'Semrush Import'!$A:$D,4,FALSE),"")</f>
        <v/>
      </c>
      <c r="N454">
        <f>IFERROR(VLOOKUP($A454,'KP Import'!$A:$B,2,FALSE),"")</f>
        <v/>
      </c>
      <c r="O454">
        <f>IF(K454="","",ROUND(K454/(L454+10),1))</f>
        <v/>
      </c>
      <c r="P454">
        <f>IF(O454="","",IF(O454&gt;=20,"A - Go first",IF(O454&gt;=5,"B - Next","C - Later")))</f>
        <v/>
      </c>
      <c r="Q454" t="inlineStr">
        <is>
          <t>To research</t>
        </is>
      </c>
      <c r="R454" t="inlineStr"/>
    </row>
    <row r="455">
      <c r="A455" t="inlineStr">
        <is>
          <t>how to cook basmati rice</t>
        </is>
      </c>
      <c r="B455" t="inlineStr">
        <is>
          <t>Phase 1 - B2B content</t>
        </is>
      </c>
      <c r="C455" t="inlineStr">
        <is>
          <t>Wholesalers / bulk buyers</t>
        </is>
      </c>
      <c r="D455" t="inlineStr">
        <is>
          <t>Cooking guide</t>
        </is>
      </c>
      <c r="E455" t="inlineStr">
        <is>
          <t>Informational</t>
        </is>
      </c>
      <c r="F455" t="inlineStr">
        <is>
          <t>Informational</t>
        </is>
      </c>
      <c r="G455" t="inlineStr">
        <is>
          <t>TOFU</t>
        </is>
      </c>
      <c r="H455" t="inlineStr">
        <is>
          <t>UAE (generic)</t>
        </is>
      </c>
      <c r="I455" t="inlineStr">
        <is>
          <t>Blog article</t>
        </is>
      </c>
      <c r="J455" t="inlineStr">
        <is>
          <t>Blog</t>
        </is>
      </c>
      <c r="K455">
        <f>IFERROR(VLOOKUP($A455,'Semrush Import'!$A:$D,2,FALSE),"")</f>
        <v/>
      </c>
      <c r="L455">
        <f>IFERROR(VLOOKUP($A455,'Semrush Import'!$A:$D,3,FALSE),"")</f>
        <v/>
      </c>
      <c r="M455">
        <f>IFERROR(VLOOKUP($A455,'Semrush Import'!$A:$D,4,FALSE),"")</f>
        <v/>
      </c>
      <c r="N455">
        <f>IFERROR(VLOOKUP($A455,'KP Import'!$A:$B,2,FALSE),"")</f>
        <v/>
      </c>
      <c r="O455">
        <f>IF(K455="","",ROUND(K455/(L455+10),1))</f>
        <v/>
      </c>
      <c r="P455">
        <f>IF(O455="","",IF(O455&gt;=20,"A - Go first",IF(O455&gt;=5,"B - Next","C - Later")))</f>
        <v/>
      </c>
      <c r="Q455" t="inlineStr">
        <is>
          <t>To research</t>
        </is>
      </c>
      <c r="R455" t="inlineStr"/>
    </row>
    <row r="456">
      <c r="A456" t="inlineStr">
        <is>
          <t>basmati rice vs jasmine rice</t>
        </is>
      </c>
      <c r="B456" t="inlineStr">
        <is>
          <t>Phase 1 - B2B content</t>
        </is>
      </c>
      <c r="C456" t="inlineStr">
        <is>
          <t>Wholesalers / bulk buyers</t>
        </is>
      </c>
      <c r="D456" t="inlineStr">
        <is>
          <t>Comparison</t>
        </is>
      </c>
      <c r="E456" t="inlineStr">
        <is>
          <t>Informational</t>
        </is>
      </c>
      <c r="F456" t="inlineStr">
        <is>
          <t>Informational</t>
        </is>
      </c>
      <c r="G456" t="inlineStr">
        <is>
          <t>TOFU</t>
        </is>
      </c>
      <c r="H456" t="inlineStr">
        <is>
          <t>UAE (generic)</t>
        </is>
      </c>
      <c r="I456" t="inlineStr">
        <is>
          <t>Blog article</t>
        </is>
      </c>
      <c r="J456" t="inlineStr">
        <is>
          <t>Blog</t>
        </is>
      </c>
      <c r="K456">
        <f>IFERROR(VLOOKUP($A456,'Semrush Import'!$A:$D,2,FALSE),"")</f>
        <v/>
      </c>
      <c r="L456">
        <f>IFERROR(VLOOKUP($A456,'Semrush Import'!$A:$D,3,FALSE),"")</f>
        <v/>
      </c>
      <c r="M456">
        <f>IFERROR(VLOOKUP($A456,'Semrush Import'!$A:$D,4,FALSE),"")</f>
        <v/>
      </c>
      <c r="N456">
        <f>IFERROR(VLOOKUP($A456,'KP Import'!$A:$B,2,FALSE),"")</f>
        <v/>
      </c>
      <c r="O456">
        <f>IF(K456="","",ROUND(K456/(L456+10),1))</f>
        <v/>
      </c>
      <c r="P456">
        <f>IF(O456="","",IF(O456&gt;=20,"A - Go first",IF(O456&gt;=5,"B - Next","C - Later")))</f>
        <v/>
      </c>
      <c r="Q456" t="inlineStr">
        <is>
          <t>To research</t>
        </is>
      </c>
      <c r="R456" t="inlineStr"/>
    </row>
    <row r="457">
      <c r="A457" t="inlineStr">
        <is>
          <t>1121 basmati vs sella basmati</t>
        </is>
      </c>
      <c r="B457" t="inlineStr">
        <is>
          <t>Phase 1 - B2B content</t>
        </is>
      </c>
      <c r="C457" t="inlineStr">
        <is>
          <t>Wholesalers / bulk buyers</t>
        </is>
      </c>
      <c r="D457" t="inlineStr">
        <is>
          <t>Comparison</t>
        </is>
      </c>
      <c r="E457" t="inlineStr">
        <is>
          <t>Informational</t>
        </is>
      </c>
      <c r="F457" t="inlineStr">
        <is>
          <t>Informational</t>
        </is>
      </c>
      <c r="G457" t="inlineStr">
        <is>
          <t>TOFU</t>
        </is>
      </c>
      <c r="H457" t="inlineStr">
        <is>
          <t>UAE (generic)</t>
        </is>
      </c>
      <c r="I457" t="inlineStr">
        <is>
          <t>Blog article</t>
        </is>
      </c>
      <c r="J457" t="inlineStr">
        <is>
          <t>Blog</t>
        </is>
      </c>
      <c r="K457">
        <f>IFERROR(VLOOKUP($A457,'Semrush Import'!$A:$D,2,FALSE),"")</f>
        <v/>
      </c>
      <c r="L457">
        <f>IFERROR(VLOOKUP($A457,'Semrush Import'!$A:$D,3,FALSE),"")</f>
        <v/>
      </c>
      <c r="M457">
        <f>IFERROR(VLOOKUP($A457,'Semrush Import'!$A:$D,4,FALSE),"")</f>
        <v/>
      </c>
      <c r="N457">
        <f>IFERROR(VLOOKUP($A457,'KP Import'!$A:$B,2,FALSE),"")</f>
        <v/>
      </c>
      <c r="O457">
        <f>IF(K457="","",ROUND(K457/(L457+10),1))</f>
        <v/>
      </c>
      <c r="P457">
        <f>IF(O457="","",IF(O457&gt;=20,"A - Go first",IF(O457&gt;=5,"B - Next","C - Later")))</f>
        <v/>
      </c>
      <c r="Q457" t="inlineStr">
        <is>
          <t>To research</t>
        </is>
      </c>
      <c r="R457" t="inlineStr"/>
    </row>
    <row r="458">
      <c r="A458" t="inlineStr">
        <is>
          <t>difference between sella and steam basmati</t>
        </is>
      </c>
      <c r="B458" t="inlineStr">
        <is>
          <t>Phase 1 - B2B content</t>
        </is>
      </c>
      <c r="C458" t="inlineStr">
        <is>
          <t>Wholesalers / bulk buyers</t>
        </is>
      </c>
      <c r="D458" t="inlineStr">
        <is>
          <t>Comparison</t>
        </is>
      </c>
      <c r="E458" t="inlineStr">
        <is>
          <t>Informational</t>
        </is>
      </c>
      <c r="F458" t="inlineStr">
        <is>
          <t>Informational</t>
        </is>
      </c>
      <c r="G458" t="inlineStr">
        <is>
          <t>TOFU</t>
        </is>
      </c>
      <c r="H458" t="inlineStr">
        <is>
          <t>UAE (generic)</t>
        </is>
      </c>
      <c r="I458" t="inlineStr">
        <is>
          <t>Blog article</t>
        </is>
      </c>
      <c r="J458" t="inlineStr">
        <is>
          <t>Blog</t>
        </is>
      </c>
      <c r="K458">
        <f>IFERROR(VLOOKUP($A458,'Semrush Import'!$A:$D,2,FALSE),"")</f>
        <v/>
      </c>
      <c r="L458">
        <f>IFERROR(VLOOKUP($A458,'Semrush Import'!$A:$D,3,FALSE),"")</f>
        <v/>
      </c>
      <c r="M458">
        <f>IFERROR(VLOOKUP($A458,'Semrush Import'!$A:$D,4,FALSE),"")</f>
        <v/>
      </c>
      <c r="N458">
        <f>IFERROR(VLOOKUP($A458,'KP Import'!$A:$B,2,FALSE),"")</f>
        <v/>
      </c>
      <c r="O458">
        <f>IF(K458="","",ROUND(K458/(L458+10),1))</f>
        <v/>
      </c>
      <c r="P458">
        <f>IF(O458="","",IF(O458&gt;=20,"A - Go first",IF(O458&gt;=5,"B - Next","C - Later")))</f>
        <v/>
      </c>
      <c r="Q458" t="inlineStr">
        <is>
          <t>To research</t>
        </is>
      </c>
      <c r="R458" t="inlineStr"/>
    </row>
    <row r="459">
      <c r="A459" t="inlineStr">
        <is>
          <t>how to identify real basmati rice</t>
        </is>
      </c>
      <c r="B459" t="inlineStr">
        <is>
          <t>Phase 1 - B2B content</t>
        </is>
      </c>
      <c r="C459" t="inlineStr">
        <is>
          <t>Wholesalers / bulk buyers</t>
        </is>
      </c>
      <c r="D459" t="inlineStr">
        <is>
          <t>Buying guide</t>
        </is>
      </c>
      <c r="E459" t="inlineStr">
        <is>
          <t>Informational</t>
        </is>
      </c>
      <c r="F459" t="inlineStr">
        <is>
          <t>Informational</t>
        </is>
      </c>
      <c r="G459" t="inlineStr">
        <is>
          <t>TOFU</t>
        </is>
      </c>
      <c r="H459" t="inlineStr">
        <is>
          <t>UAE (generic)</t>
        </is>
      </c>
      <c r="I459" t="inlineStr">
        <is>
          <t>Blog article</t>
        </is>
      </c>
      <c r="J459" t="inlineStr">
        <is>
          <t>Blog</t>
        </is>
      </c>
      <c r="K459">
        <f>IFERROR(VLOOKUP($A459,'Semrush Import'!$A:$D,2,FALSE),"")</f>
        <v/>
      </c>
      <c r="L459">
        <f>IFERROR(VLOOKUP($A459,'Semrush Import'!$A:$D,3,FALSE),"")</f>
        <v/>
      </c>
      <c r="M459">
        <f>IFERROR(VLOOKUP($A459,'Semrush Import'!$A:$D,4,FALSE),"")</f>
        <v/>
      </c>
      <c r="N459">
        <f>IFERROR(VLOOKUP($A459,'KP Import'!$A:$B,2,FALSE),"")</f>
        <v/>
      </c>
      <c r="O459">
        <f>IF(K459="","",ROUND(K459/(L459+10),1))</f>
        <v/>
      </c>
      <c r="P459">
        <f>IF(O459="","",IF(O459&gt;=20,"A - Go first",IF(O459&gt;=5,"B - Next","C - Later")))</f>
        <v/>
      </c>
      <c r="Q459" t="inlineStr">
        <is>
          <t>To research</t>
        </is>
      </c>
      <c r="R459" t="inlineStr"/>
    </row>
    <row r="460">
      <c r="A460" t="inlineStr">
        <is>
          <t>how to choose basmati rice</t>
        </is>
      </c>
      <c r="B460" t="inlineStr">
        <is>
          <t>Phase 1 - B2B content</t>
        </is>
      </c>
      <c r="C460" t="inlineStr">
        <is>
          <t>Wholesalers / bulk buyers</t>
        </is>
      </c>
      <c r="D460" t="inlineStr">
        <is>
          <t>Buying guide</t>
        </is>
      </c>
      <c r="E460" t="inlineStr">
        <is>
          <t>Informational</t>
        </is>
      </c>
      <c r="F460" t="inlineStr">
        <is>
          <t>Informational</t>
        </is>
      </c>
      <c r="G460" t="inlineStr">
        <is>
          <t>TOFU</t>
        </is>
      </c>
      <c r="H460" t="inlineStr">
        <is>
          <t>UAE (generic)</t>
        </is>
      </c>
      <c r="I460" t="inlineStr">
        <is>
          <t>Blog article</t>
        </is>
      </c>
      <c r="J460" t="inlineStr">
        <is>
          <t>Blog</t>
        </is>
      </c>
      <c r="K460">
        <f>IFERROR(VLOOKUP($A460,'Semrush Import'!$A:$D,2,FALSE),"")</f>
        <v/>
      </c>
      <c r="L460">
        <f>IFERROR(VLOOKUP($A460,'Semrush Import'!$A:$D,3,FALSE),"")</f>
        <v/>
      </c>
      <c r="M460">
        <f>IFERROR(VLOOKUP($A460,'Semrush Import'!$A:$D,4,FALSE),"")</f>
        <v/>
      </c>
      <c r="N460">
        <f>IFERROR(VLOOKUP($A460,'KP Import'!$A:$B,2,FALSE),"")</f>
        <v/>
      </c>
      <c r="O460">
        <f>IF(K460="","",ROUND(K460/(L460+10),1))</f>
        <v/>
      </c>
      <c r="P460">
        <f>IF(O460="","",IF(O460&gt;=20,"A - Go first",IF(O460&gt;=5,"B - Next","C - Later")))</f>
        <v/>
      </c>
      <c r="Q460" t="inlineStr">
        <is>
          <t>To research</t>
        </is>
      </c>
      <c r="R460" t="inlineStr"/>
    </row>
    <row r="461">
      <c r="A461" t="inlineStr">
        <is>
          <t>how to store rice long term</t>
        </is>
      </c>
      <c r="B461" t="inlineStr">
        <is>
          <t>Phase 1 - B2B content</t>
        </is>
      </c>
      <c r="C461" t="inlineStr">
        <is>
          <t>Wholesalers / bulk buyers</t>
        </is>
      </c>
      <c r="D461" t="inlineStr">
        <is>
          <t>Storage</t>
        </is>
      </c>
      <c r="E461" t="inlineStr">
        <is>
          <t>Informational</t>
        </is>
      </c>
      <c r="F461" t="inlineStr">
        <is>
          <t>Informational</t>
        </is>
      </c>
      <c r="G461" t="inlineStr">
        <is>
          <t>TOFU</t>
        </is>
      </c>
      <c r="H461" t="inlineStr">
        <is>
          <t>UAE (generic)</t>
        </is>
      </c>
      <c r="I461" t="inlineStr">
        <is>
          <t>Blog article</t>
        </is>
      </c>
      <c r="J461" t="inlineStr">
        <is>
          <t>Blog</t>
        </is>
      </c>
      <c r="K461">
        <f>IFERROR(VLOOKUP($A461,'Semrush Import'!$A:$D,2,FALSE),"")</f>
        <v/>
      </c>
      <c r="L461">
        <f>IFERROR(VLOOKUP($A461,'Semrush Import'!$A:$D,3,FALSE),"")</f>
        <v/>
      </c>
      <c r="M461">
        <f>IFERROR(VLOOKUP($A461,'Semrush Import'!$A:$D,4,FALSE),"")</f>
        <v/>
      </c>
      <c r="N461">
        <f>IFERROR(VLOOKUP($A461,'KP Import'!$A:$B,2,FALSE),"")</f>
        <v/>
      </c>
      <c r="O461">
        <f>IF(K461="","",ROUND(K461/(L461+10),1))</f>
        <v/>
      </c>
      <c r="P461">
        <f>IF(O461="","",IF(O461&gt;=20,"A - Go first",IF(O461&gt;=5,"B - Next","C - Later")))</f>
        <v/>
      </c>
      <c r="Q461" t="inlineStr">
        <is>
          <t>To research</t>
        </is>
      </c>
      <c r="R461" t="inlineStr"/>
    </row>
    <row r="462">
      <c r="A462" t="inlineStr">
        <is>
          <t>how long does basmati rice last</t>
        </is>
      </c>
      <c r="B462" t="inlineStr">
        <is>
          <t>Phase 1 - B2B content</t>
        </is>
      </c>
      <c r="C462" t="inlineStr">
        <is>
          <t>Wholesalers / bulk buyers</t>
        </is>
      </c>
      <c r="D462" t="inlineStr">
        <is>
          <t>Storage</t>
        </is>
      </c>
      <c r="E462" t="inlineStr">
        <is>
          <t>Informational</t>
        </is>
      </c>
      <c r="F462" t="inlineStr">
        <is>
          <t>Informational</t>
        </is>
      </c>
      <c r="G462" t="inlineStr">
        <is>
          <t>TOFU</t>
        </is>
      </c>
      <c r="H462" t="inlineStr">
        <is>
          <t>UAE (generic)</t>
        </is>
      </c>
      <c r="I462" t="inlineStr">
        <is>
          <t>Blog article</t>
        </is>
      </c>
      <c r="J462" t="inlineStr">
        <is>
          <t>Blog</t>
        </is>
      </c>
      <c r="K462">
        <f>IFERROR(VLOOKUP($A462,'Semrush Import'!$A:$D,2,FALSE),"")</f>
        <v/>
      </c>
      <c r="L462">
        <f>IFERROR(VLOOKUP($A462,'Semrush Import'!$A:$D,3,FALSE),"")</f>
        <v/>
      </c>
      <c r="M462">
        <f>IFERROR(VLOOKUP($A462,'Semrush Import'!$A:$D,4,FALSE),"")</f>
        <v/>
      </c>
      <c r="N462">
        <f>IFERROR(VLOOKUP($A462,'KP Import'!$A:$B,2,FALSE),"")</f>
        <v/>
      </c>
      <c r="O462">
        <f>IF(K462="","",ROUND(K462/(L462+10),1))</f>
        <v/>
      </c>
      <c r="P462">
        <f>IF(O462="","",IF(O462&gt;=20,"A - Go first",IF(O462&gt;=5,"B - Next","C - Later")))</f>
        <v/>
      </c>
      <c r="Q462" t="inlineStr">
        <is>
          <t>To research</t>
        </is>
      </c>
      <c r="R462" t="inlineStr"/>
    </row>
    <row r="463">
      <c r="A463" t="inlineStr">
        <is>
          <t>rice to water ratio for biryani</t>
        </is>
      </c>
      <c r="B463" t="inlineStr">
        <is>
          <t>Phase 1 - B2B content</t>
        </is>
      </c>
      <c r="C463" t="inlineStr">
        <is>
          <t>Wholesalers / bulk buyers</t>
        </is>
      </c>
      <c r="D463" t="inlineStr">
        <is>
          <t>Cooking guide</t>
        </is>
      </c>
      <c r="E463" t="inlineStr">
        <is>
          <t>Informational</t>
        </is>
      </c>
      <c r="F463" t="inlineStr">
        <is>
          <t>Informational</t>
        </is>
      </c>
      <c r="G463" t="inlineStr">
        <is>
          <t>TOFU</t>
        </is>
      </c>
      <c r="H463" t="inlineStr">
        <is>
          <t>UAE (generic)</t>
        </is>
      </c>
      <c r="I463" t="inlineStr">
        <is>
          <t>Blog article</t>
        </is>
      </c>
      <c r="J463" t="inlineStr">
        <is>
          <t>Blog</t>
        </is>
      </c>
      <c r="K463">
        <f>IFERROR(VLOOKUP($A463,'Semrush Import'!$A:$D,2,FALSE),"")</f>
        <v/>
      </c>
      <c r="L463">
        <f>IFERROR(VLOOKUP($A463,'Semrush Import'!$A:$D,3,FALSE),"")</f>
        <v/>
      </c>
      <c r="M463">
        <f>IFERROR(VLOOKUP($A463,'Semrush Import'!$A:$D,4,FALSE),"")</f>
        <v/>
      </c>
      <c r="N463">
        <f>IFERROR(VLOOKUP($A463,'KP Import'!$A:$B,2,FALSE),"")</f>
        <v/>
      </c>
      <c r="O463">
        <f>IF(K463="","",ROUND(K463/(L463+10),1))</f>
        <v/>
      </c>
      <c r="P463">
        <f>IF(O463="","",IF(O463&gt;=20,"A - Go first",IF(O463&gt;=5,"B - Next","C - Later")))</f>
        <v/>
      </c>
      <c r="Q463" t="inlineStr">
        <is>
          <t>To research</t>
        </is>
      </c>
      <c r="R463" t="inlineStr"/>
    </row>
    <row r="464">
      <c r="A464" t="inlineStr">
        <is>
          <t>how to cook rice for kabsa</t>
        </is>
      </c>
      <c r="B464" t="inlineStr">
        <is>
          <t>Phase 1 - B2B content</t>
        </is>
      </c>
      <c r="C464" t="inlineStr">
        <is>
          <t>Wholesalers / bulk buyers</t>
        </is>
      </c>
      <c r="D464" t="inlineStr">
        <is>
          <t>Cooking guide</t>
        </is>
      </c>
      <c r="E464" t="inlineStr">
        <is>
          <t>Informational</t>
        </is>
      </c>
      <c r="F464" t="inlineStr">
        <is>
          <t>Informational</t>
        </is>
      </c>
      <c r="G464" t="inlineStr">
        <is>
          <t>TOFU</t>
        </is>
      </c>
      <c r="H464" t="inlineStr">
        <is>
          <t>UAE (generic)</t>
        </is>
      </c>
      <c r="I464" t="inlineStr">
        <is>
          <t>Blog article</t>
        </is>
      </c>
      <c r="J464" t="inlineStr">
        <is>
          <t>Blog</t>
        </is>
      </c>
      <c r="K464">
        <f>IFERROR(VLOOKUP($A464,'Semrush Import'!$A:$D,2,FALSE),"")</f>
        <v/>
      </c>
      <c r="L464">
        <f>IFERROR(VLOOKUP($A464,'Semrush Import'!$A:$D,3,FALSE),"")</f>
        <v/>
      </c>
      <c r="M464">
        <f>IFERROR(VLOOKUP($A464,'Semrush Import'!$A:$D,4,FALSE),"")</f>
        <v/>
      </c>
      <c r="N464">
        <f>IFERROR(VLOOKUP($A464,'KP Import'!$A:$B,2,FALSE),"")</f>
        <v/>
      </c>
      <c r="O464">
        <f>IF(K464="","",ROUND(K464/(L464+10),1))</f>
        <v/>
      </c>
      <c r="P464">
        <f>IF(O464="","",IF(O464&gt;=20,"A - Go first",IF(O464&gt;=5,"B - Next","C - Later")))</f>
        <v/>
      </c>
      <c r="Q464" t="inlineStr">
        <is>
          <t>To research</t>
        </is>
      </c>
      <c r="R464" t="inlineStr"/>
    </row>
    <row r="465">
      <c r="A465" t="inlineStr">
        <is>
          <t>how to make chicken mandi rice</t>
        </is>
      </c>
      <c r="B465" t="inlineStr">
        <is>
          <t>Phase 1 - B2B content</t>
        </is>
      </c>
      <c r="C465" t="inlineStr">
        <is>
          <t>Wholesalers / bulk buyers</t>
        </is>
      </c>
      <c r="D465" t="inlineStr">
        <is>
          <t>Recipe</t>
        </is>
      </c>
      <c r="E465" t="inlineStr">
        <is>
          <t>Informational</t>
        </is>
      </c>
      <c r="F465" t="inlineStr">
        <is>
          <t>Informational</t>
        </is>
      </c>
      <c r="G465" t="inlineStr">
        <is>
          <t>TOFU</t>
        </is>
      </c>
      <c r="H465" t="inlineStr">
        <is>
          <t>UAE (generic)</t>
        </is>
      </c>
      <c r="I465" t="inlineStr">
        <is>
          <t>Blog article</t>
        </is>
      </c>
      <c r="J465" t="inlineStr">
        <is>
          <t>Blog</t>
        </is>
      </c>
      <c r="K465">
        <f>IFERROR(VLOOKUP($A465,'Semrush Import'!$A:$D,2,FALSE),"")</f>
        <v/>
      </c>
      <c r="L465">
        <f>IFERROR(VLOOKUP($A465,'Semrush Import'!$A:$D,3,FALSE),"")</f>
        <v/>
      </c>
      <c r="M465">
        <f>IFERROR(VLOOKUP($A465,'Semrush Import'!$A:$D,4,FALSE),"")</f>
        <v/>
      </c>
      <c r="N465">
        <f>IFERROR(VLOOKUP($A465,'KP Import'!$A:$B,2,FALSE),"")</f>
        <v/>
      </c>
      <c r="O465">
        <f>IF(K465="","",ROUND(K465/(L465+10),1))</f>
        <v/>
      </c>
      <c r="P465">
        <f>IF(O465="","",IF(O465&gt;=20,"A - Go first",IF(O465&gt;=5,"B - Next","C - Later")))</f>
        <v/>
      </c>
      <c r="Q465" t="inlineStr">
        <is>
          <t>To research</t>
        </is>
      </c>
      <c r="R465" t="inlineStr"/>
    </row>
    <row r="466">
      <c r="A466" t="inlineStr">
        <is>
          <t>how to make dubai style biryani</t>
        </is>
      </c>
      <c r="B466" t="inlineStr">
        <is>
          <t>Phase 1 - B2B content</t>
        </is>
      </c>
      <c r="C466" t="inlineStr">
        <is>
          <t>Wholesalers / bulk buyers</t>
        </is>
      </c>
      <c r="D466" t="inlineStr">
        <is>
          <t>Recipe</t>
        </is>
      </c>
      <c r="E466" t="inlineStr">
        <is>
          <t>Informational</t>
        </is>
      </c>
      <c r="F466" t="inlineStr">
        <is>
          <t>Informational</t>
        </is>
      </c>
      <c r="G466" t="inlineStr">
        <is>
          <t>TOFU</t>
        </is>
      </c>
      <c r="H466" t="inlineStr">
        <is>
          <t>UAE (generic)</t>
        </is>
      </c>
      <c r="I466" t="inlineStr">
        <is>
          <t>Blog article</t>
        </is>
      </c>
      <c r="J466" t="inlineStr">
        <is>
          <t>Blog</t>
        </is>
      </c>
      <c r="K466">
        <f>IFERROR(VLOOKUP($A466,'Semrush Import'!$A:$D,2,FALSE),"")</f>
        <v/>
      </c>
      <c r="L466">
        <f>IFERROR(VLOOKUP($A466,'Semrush Import'!$A:$D,3,FALSE),"")</f>
        <v/>
      </c>
      <c r="M466">
        <f>IFERROR(VLOOKUP($A466,'Semrush Import'!$A:$D,4,FALSE),"")</f>
        <v/>
      </c>
      <c r="N466">
        <f>IFERROR(VLOOKUP($A466,'KP Import'!$A:$B,2,FALSE),"")</f>
        <v/>
      </c>
      <c r="O466">
        <f>IF(K466="","",ROUND(K466/(L466+10),1))</f>
        <v/>
      </c>
      <c r="P466">
        <f>IF(O466="","",IF(O466&gt;=20,"A - Go first",IF(O466&gt;=5,"B - Next","C - Later")))</f>
        <v/>
      </c>
      <c r="Q466" t="inlineStr">
        <is>
          <t>To research</t>
        </is>
      </c>
      <c r="R466" t="inlineStr"/>
    </row>
    <row r="467">
      <c r="A467" t="inlineStr">
        <is>
          <t>best rice for biryani</t>
        </is>
      </c>
      <c r="B467" t="inlineStr">
        <is>
          <t>Phase 1 - B2B content</t>
        </is>
      </c>
      <c r="C467" t="inlineStr">
        <is>
          <t>Wholesalers / bulk buyers</t>
        </is>
      </c>
      <c r="D467" t="inlineStr">
        <is>
          <t>Buying guide</t>
        </is>
      </c>
      <c r="E467" t="inlineStr">
        <is>
          <t>Informational</t>
        </is>
      </c>
      <c r="F467" t="inlineStr">
        <is>
          <t>Informational</t>
        </is>
      </c>
      <c r="G467" t="inlineStr">
        <is>
          <t>TOFU</t>
        </is>
      </c>
      <c r="H467" t="inlineStr">
        <is>
          <t>UAE (generic)</t>
        </is>
      </c>
      <c r="I467" t="inlineStr">
        <is>
          <t>Blog article</t>
        </is>
      </c>
      <c r="J467" t="inlineStr">
        <is>
          <t>Blog</t>
        </is>
      </c>
      <c r="K467">
        <f>IFERROR(VLOOKUP($A467,'Semrush Import'!$A:$D,2,FALSE),"")</f>
        <v/>
      </c>
      <c r="L467">
        <f>IFERROR(VLOOKUP($A467,'Semrush Import'!$A:$D,3,FALSE),"")</f>
        <v/>
      </c>
      <c r="M467">
        <f>IFERROR(VLOOKUP($A467,'Semrush Import'!$A:$D,4,FALSE),"")</f>
        <v/>
      </c>
      <c r="N467">
        <f>IFERROR(VLOOKUP($A467,'KP Import'!$A:$B,2,FALSE),"")</f>
        <v/>
      </c>
      <c r="O467">
        <f>IF(K467="","",ROUND(K467/(L467+10),1))</f>
        <v/>
      </c>
      <c r="P467">
        <f>IF(O467="","",IF(O467&gt;=20,"A - Go first",IF(O467&gt;=5,"B - Next","C - Later")))</f>
        <v/>
      </c>
      <c r="Q467" t="inlineStr">
        <is>
          <t>To research</t>
        </is>
      </c>
      <c r="R467" t="inlineStr"/>
    </row>
    <row r="468">
      <c r="A468" t="inlineStr">
        <is>
          <t>best rice for pulao</t>
        </is>
      </c>
      <c r="B468" t="inlineStr">
        <is>
          <t>Phase 1 - B2B content</t>
        </is>
      </c>
      <c r="C468" t="inlineStr">
        <is>
          <t>Wholesalers / bulk buyers</t>
        </is>
      </c>
      <c r="D468" t="inlineStr">
        <is>
          <t>Buying guide</t>
        </is>
      </c>
      <c r="E468" t="inlineStr">
        <is>
          <t>Informational</t>
        </is>
      </c>
      <c r="F468" t="inlineStr">
        <is>
          <t>Informational</t>
        </is>
      </c>
      <c r="G468" t="inlineStr">
        <is>
          <t>TOFU</t>
        </is>
      </c>
      <c r="H468" t="inlineStr">
        <is>
          <t>UAE (generic)</t>
        </is>
      </c>
      <c r="I468" t="inlineStr">
        <is>
          <t>Blog article</t>
        </is>
      </c>
      <c r="J468" t="inlineStr">
        <is>
          <t>Blog</t>
        </is>
      </c>
      <c r="K468">
        <f>IFERROR(VLOOKUP($A468,'Semrush Import'!$A:$D,2,FALSE),"")</f>
        <v/>
      </c>
      <c r="L468">
        <f>IFERROR(VLOOKUP($A468,'Semrush Import'!$A:$D,3,FALSE),"")</f>
        <v/>
      </c>
      <c r="M468">
        <f>IFERROR(VLOOKUP($A468,'Semrush Import'!$A:$D,4,FALSE),"")</f>
        <v/>
      </c>
      <c r="N468">
        <f>IFERROR(VLOOKUP($A468,'KP Import'!$A:$B,2,FALSE),"")</f>
        <v/>
      </c>
      <c r="O468">
        <f>IF(K468="","",ROUND(K468/(L468+10),1))</f>
        <v/>
      </c>
      <c r="P468">
        <f>IF(O468="","",IF(O468&gt;=20,"A - Go first",IF(O468&gt;=5,"B - Next","C - Later")))</f>
        <v/>
      </c>
      <c r="Q468" t="inlineStr">
        <is>
          <t>To research</t>
        </is>
      </c>
      <c r="R468" t="inlineStr"/>
    </row>
    <row r="469">
      <c r="A469" t="inlineStr">
        <is>
          <t>best rice for fried rice</t>
        </is>
      </c>
      <c r="B469" t="inlineStr">
        <is>
          <t>Phase 1 - B2B content</t>
        </is>
      </c>
      <c r="C469" t="inlineStr">
        <is>
          <t>Wholesalers / bulk buyers</t>
        </is>
      </c>
      <c r="D469" t="inlineStr">
        <is>
          <t>Buying guide</t>
        </is>
      </c>
      <c r="E469" t="inlineStr">
        <is>
          <t>Informational</t>
        </is>
      </c>
      <c r="F469" t="inlineStr">
        <is>
          <t>Informational</t>
        </is>
      </c>
      <c r="G469" t="inlineStr">
        <is>
          <t>TOFU</t>
        </is>
      </c>
      <c r="H469" t="inlineStr">
        <is>
          <t>UAE (generic)</t>
        </is>
      </c>
      <c r="I469" t="inlineStr">
        <is>
          <t>Blog article</t>
        </is>
      </c>
      <c r="J469" t="inlineStr">
        <is>
          <t>Blog</t>
        </is>
      </c>
      <c r="K469">
        <f>IFERROR(VLOOKUP($A469,'Semrush Import'!$A:$D,2,FALSE),"")</f>
        <v/>
      </c>
      <c r="L469">
        <f>IFERROR(VLOOKUP($A469,'Semrush Import'!$A:$D,3,FALSE),"")</f>
        <v/>
      </c>
      <c r="M469">
        <f>IFERROR(VLOOKUP($A469,'Semrush Import'!$A:$D,4,FALSE),"")</f>
        <v/>
      </c>
      <c r="N469">
        <f>IFERROR(VLOOKUP($A469,'KP Import'!$A:$B,2,FALSE),"")</f>
        <v/>
      </c>
      <c r="O469">
        <f>IF(K469="","",ROUND(K469/(L469+10),1))</f>
        <v/>
      </c>
      <c r="P469">
        <f>IF(O469="","",IF(O469&gt;=20,"A - Go first",IF(O469&gt;=5,"B - Next","C - Later")))</f>
        <v/>
      </c>
      <c r="Q469" t="inlineStr">
        <is>
          <t>To research</t>
        </is>
      </c>
      <c r="R469" t="inlineStr"/>
    </row>
    <row r="470">
      <c r="A470" t="inlineStr">
        <is>
          <t>is basmati rice healthy</t>
        </is>
      </c>
      <c r="B470" t="inlineStr">
        <is>
          <t>Phase 1 - B2B content</t>
        </is>
      </c>
      <c r="C470" t="inlineStr">
        <is>
          <t>Wholesalers / bulk buyers</t>
        </is>
      </c>
      <c r="D470" t="inlineStr">
        <is>
          <t>Health</t>
        </is>
      </c>
      <c r="E470" t="inlineStr">
        <is>
          <t>Informational</t>
        </is>
      </c>
      <c r="F470" t="inlineStr">
        <is>
          <t>Informational</t>
        </is>
      </c>
      <c r="G470" t="inlineStr">
        <is>
          <t>TOFU</t>
        </is>
      </c>
      <c r="H470" t="inlineStr">
        <is>
          <t>UAE (generic)</t>
        </is>
      </c>
      <c r="I470" t="inlineStr">
        <is>
          <t>Blog article</t>
        </is>
      </c>
      <c r="J470" t="inlineStr">
        <is>
          <t>Blog</t>
        </is>
      </c>
      <c r="K470">
        <f>IFERROR(VLOOKUP($A470,'Semrush Import'!$A:$D,2,FALSE),"")</f>
        <v/>
      </c>
      <c r="L470">
        <f>IFERROR(VLOOKUP($A470,'Semrush Import'!$A:$D,3,FALSE),"")</f>
        <v/>
      </c>
      <c r="M470">
        <f>IFERROR(VLOOKUP($A470,'Semrush Import'!$A:$D,4,FALSE),"")</f>
        <v/>
      </c>
      <c r="N470">
        <f>IFERROR(VLOOKUP($A470,'KP Import'!$A:$B,2,FALSE),"")</f>
        <v/>
      </c>
      <c r="O470">
        <f>IF(K470="","",ROUND(K470/(L470+10),1))</f>
        <v/>
      </c>
      <c r="P470">
        <f>IF(O470="","",IF(O470&gt;=20,"A - Go first",IF(O470&gt;=5,"B - Next","C - Later")))</f>
        <v/>
      </c>
      <c r="Q470" t="inlineStr">
        <is>
          <t>To research</t>
        </is>
      </c>
      <c r="R470" t="inlineStr"/>
    </row>
    <row r="471">
      <c r="A471" t="inlineStr">
        <is>
          <t>brown rice vs white rice</t>
        </is>
      </c>
      <c r="B471" t="inlineStr">
        <is>
          <t>Phase 1 - B2B content</t>
        </is>
      </c>
      <c r="C471" t="inlineStr">
        <is>
          <t>Wholesalers / bulk buyers</t>
        </is>
      </c>
      <c r="D471" t="inlineStr">
        <is>
          <t>Health</t>
        </is>
      </c>
      <c r="E471" t="inlineStr">
        <is>
          <t>Informational</t>
        </is>
      </c>
      <c r="F471" t="inlineStr">
        <is>
          <t>Informational</t>
        </is>
      </c>
      <c r="G471" t="inlineStr">
        <is>
          <t>TOFU</t>
        </is>
      </c>
      <c r="H471" t="inlineStr">
        <is>
          <t>UAE (generic)</t>
        </is>
      </c>
      <c r="I471" t="inlineStr">
        <is>
          <t>Blog article</t>
        </is>
      </c>
      <c r="J471" t="inlineStr">
        <is>
          <t>Blog</t>
        </is>
      </c>
      <c r="K471">
        <f>IFERROR(VLOOKUP($A471,'Semrush Import'!$A:$D,2,FALSE),"")</f>
        <v/>
      </c>
      <c r="L471">
        <f>IFERROR(VLOOKUP($A471,'Semrush Import'!$A:$D,3,FALSE),"")</f>
        <v/>
      </c>
      <c r="M471">
        <f>IFERROR(VLOOKUP($A471,'Semrush Import'!$A:$D,4,FALSE),"")</f>
        <v/>
      </c>
      <c r="N471">
        <f>IFERROR(VLOOKUP($A471,'KP Import'!$A:$B,2,FALSE),"")</f>
        <v/>
      </c>
      <c r="O471">
        <f>IF(K471="","",ROUND(K471/(L471+10),1))</f>
        <v/>
      </c>
      <c r="P471">
        <f>IF(O471="","",IF(O471&gt;=20,"A - Go first",IF(O471&gt;=5,"B - Next","C - Later")))</f>
        <v/>
      </c>
      <c r="Q471" t="inlineStr">
        <is>
          <t>To research</t>
        </is>
      </c>
      <c r="R471" t="inlineStr"/>
    </row>
    <row r="472">
      <c r="A472" t="inlineStr">
        <is>
          <t>basmati rice calories</t>
        </is>
      </c>
      <c r="B472" t="inlineStr">
        <is>
          <t>Phase 1 - B2B content</t>
        </is>
      </c>
      <c r="C472" t="inlineStr">
        <is>
          <t>Wholesalers / bulk buyers</t>
        </is>
      </c>
      <c r="D472" t="inlineStr">
        <is>
          <t>Health</t>
        </is>
      </c>
      <c r="E472" t="inlineStr">
        <is>
          <t>Informational</t>
        </is>
      </c>
      <c r="F472" t="inlineStr">
        <is>
          <t>Informational</t>
        </is>
      </c>
      <c r="G472" t="inlineStr">
        <is>
          <t>TOFU</t>
        </is>
      </c>
      <c r="H472" t="inlineStr">
        <is>
          <t>UAE (generic)</t>
        </is>
      </c>
      <c r="I472" t="inlineStr">
        <is>
          <t>Blog article</t>
        </is>
      </c>
      <c r="J472" t="inlineStr">
        <is>
          <t>Blog</t>
        </is>
      </c>
      <c r="K472">
        <f>IFERROR(VLOOKUP($A472,'Semrush Import'!$A:$D,2,FALSE),"")</f>
        <v/>
      </c>
      <c r="L472">
        <f>IFERROR(VLOOKUP($A472,'Semrush Import'!$A:$D,3,FALSE),"")</f>
        <v/>
      </c>
      <c r="M472">
        <f>IFERROR(VLOOKUP($A472,'Semrush Import'!$A:$D,4,FALSE),"")</f>
        <v/>
      </c>
      <c r="N472">
        <f>IFERROR(VLOOKUP($A472,'KP Import'!$A:$B,2,FALSE),"")</f>
        <v/>
      </c>
      <c r="O472">
        <f>IF(K472="","",ROUND(K472/(L472+10),1))</f>
        <v/>
      </c>
      <c r="P472">
        <f>IF(O472="","",IF(O472&gt;=20,"A - Go first",IF(O472&gt;=5,"B - Next","C - Later")))</f>
        <v/>
      </c>
      <c r="Q472" t="inlineStr">
        <is>
          <t>To research</t>
        </is>
      </c>
      <c r="R472" t="inlineStr"/>
    </row>
    <row r="473">
      <c r="A473" t="inlineStr">
        <is>
          <t>glycemic index of basmati rice</t>
        </is>
      </c>
      <c r="B473" t="inlineStr">
        <is>
          <t>Phase 1 - B2B content</t>
        </is>
      </c>
      <c r="C473" t="inlineStr">
        <is>
          <t>Wholesalers / bulk buyers</t>
        </is>
      </c>
      <c r="D473" t="inlineStr">
        <is>
          <t>Health</t>
        </is>
      </c>
      <c r="E473" t="inlineStr">
        <is>
          <t>Informational</t>
        </is>
      </c>
      <c r="F473" t="inlineStr">
        <is>
          <t>Informational</t>
        </is>
      </c>
      <c r="G473" t="inlineStr">
        <is>
          <t>TOFU</t>
        </is>
      </c>
      <c r="H473" t="inlineStr">
        <is>
          <t>UAE (generic)</t>
        </is>
      </c>
      <c r="I473" t="inlineStr">
        <is>
          <t>Blog article</t>
        </is>
      </c>
      <c r="J473" t="inlineStr">
        <is>
          <t>Blog</t>
        </is>
      </c>
      <c r="K473">
        <f>IFERROR(VLOOKUP($A473,'Semrush Import'!$A:$D,2,FALSE),"")</f>
        <v/>
      </c>
      <c r="L473">
        <f>IFERROR(VLOOKUP($A473,'Semrush Import'!$A:$D,3,FALSE),"")</f>
        <v/>
      </c>
      <c r="M473">
        <f>IFERROR(VLOOKUP($A473,'Semrush Import'!$A:$D,4,FALSE),"")</f>
        <v/>
      </c>
      <c r="N473">
        <f>IFERROR(VLOOKUP($A473,'KP Import'!$A:$B,2,FALSE),"")</f>
        <v/>
      </c>
      <c r="O473">
        <f>IF(K473="","",ROUND(K473/(L473+10),1))</f>
        <v/>
      </c>
      <c r="P473">
        <f>IF(O473="","",IF(O473&gt;=20,"A - Go first",IF(O473&gt;=5,"B - Next","C - Later")))</f>
        <v/>
      </c>
      <c r="Q473" t="inlineStr">
        <is>
          <t>To research</t>
        </is>
      </c>
      <c r="R473" t="inlineStr"/>
    </row>
    <row r="474">
      <c r="A474" t="inlineStr">
        <is>
          <t>what is sella basmati rice</t>
        </is>
      </c>
      <c r="B474" t="inlineStr">
        <is>
          <t>Phase 1 - B2B content</t>
        </is>
      </c>
      <c r="C474" t="inlineStr">
        <is>
          <t>Wholesalers / bulk buyers</t>
        </is>
      </c>
      <c r="D474" t="inlineStr">
        <is>
          <t>Definition</t>
        </is>
      </c>
      <c r="E474" t="inlineStr">
        <is>
          <t>Informational</t>
        </is>
      </c>
      <c r="F474" t="inlineStr">
        <is>
          <t>Informational</t>
        </is>
      </c>
      <c r="G474" t="inlineStr">
        <is>
          <t>TOFU</t>
        </is>
      </c>
      <c r="H474" t="inlineStr">
        <is>
          <t>UAE (generic)</t>
        </is>
      </c>
      <c r="I474" t="inlineStr">
        <is>
          <t>Blog article</t>
        </is>
      </c>
      <c r="J474" t="inlineStr">
        <is>
          <t>Blog</t>
        </is>
      </c>
      <c r="K474">
        <f>IFERROR(VLOOKUP($A474,'Semrush Import'!$A:$D,2,FALSE),"")</f>
        <v/>
      </c>
      <c r="L474">
        <f>IFERROR(VLOOKUP($A474,'Semrush Import'!$A:$D,3,FALSE),"")</f>
        <v/>
      </c>
      <c r="M474">
        <f>IFERROR(VLOOKUP($A474,'Semrush Import'!$A:$D,4,FALSE),"")</f>
        <v/>
      </c>
      <c r="N474">
        <f>IFERROR(VLOOKUP($A474,'KP Import'!$A:$B,2,FALSE),"")</f>
        <v/>
      </c>
      <c r="O474">
        <f>IF(K474="","",ROUND(K474/(L474+10),1))</f>
        <v/>
      </c>
      <c r="P474">
        <f>IF(O474="","",IF(O474&gt;=20,"A - Go first",IF(O474&gt;=5,"B - Next","C - Later")))</f>
        <v/>
      </c>
      <c r="Q474" t="inlineStr">
        <is>
          <t>To research</t>
        </is>
      </c>
      <c r="R474" t="inlineStr"/>
    </row>
    <row r="475">
      <c r="A475" t="inlineStr">
        <is>
          <t>what is 1121 basmati rice</t>
        </is>
      </c>
      <c r="B475" t="inlineStr">
        <is>
          <t>Phase 1 - B2B content</t>
        </is>
      </c>
      <c r="C475" t="inlineStr">
        <is>
          <t>Wholesalers / bulk buyers</t>
        </is>
      </c>
      <c r="D475" t="inlineStr">
        <is>
          <t>Definition</t>
        </is>
      </c>
      <c r="E475" t="inlineStr">
        <is>
          <t>Informational</t>
        </is>
      </c>
      <c r="F475" t="inlineStr">
        <is>
          <t>Informational</t>
        </is>
      </c>
      <c r="G475" t="inlineStr">
        <is>
          <t>TOFU</t>
        </is>
      </c>
      <c r="H475" t="inlineStr">
        <is>
          <t>UAE (generic)</t>
        </is>
      </c>
      <c r="I475" t="inlineStr">
        <is>
          <t>Blog article</t>
        </is>
      </c>
      <c r="J475" t="inlineStr">
        <is>
          <t>Blog</t>
        </is>
      </c>
      <c r="K475">
        <f>IFERROR(VLOOKUP($A475,'Semrush Import'!$A:$D,2,FALSE),"")</f>
        <v/>
      </c>
      <c r="L475">
        <f>IFERROR(VLOOKUP($A475,'Semrush Import'!$A:$D,3,FALSE),"")</f>
        <v/>
      </c>
      <c r="M475">
        <f>IFERROR(VLOOKUP($A475,'Semrush Import'!$A:$D,4,FALSE),"")</f>
        <v/>
      </c>
      <c r="N475">
        <f>IFERROR(VLOOKUP($A475,'KP Import'!$A:$B,2,FALSE),"")</f>
        <v/>
      </c>
      <c r="O475">
        <f>IF(K475="","",ROUND(K475/(L475+10),1))</f>
        <v/>
      </c>
      <c r="P475">
        <f>IF(O475="","",IF(O475&gt;=20,"A - Go first",IF(O475&gt;=5,"B - Next","C - Later")))</f>
        <v/>
      </c>
      <c r="Q475" t="inlineStr">
        <is>
          <t>To research</t>
        </is>
      </c>
      <c r="R475" t="inlineStr"/>
    </row>
    <row r="476">
      <c r="A476" t="inlineStr">
        <is>
          <t>what is parboiled rice</t>
        </is>
      </c>
      <c r="B476" t="inlineStr">
        <is>
          <t>Phase 1 - B2B content</t>
        </is>
      </c>
      <c r="C476" t="inlineStr">
        <is>
          <t>Wholesalers / bulk buyers</t>
        </is>
      </c>
      <c r="D476" t="inlineStr">
        <is>
          <t>Definition</t>
        </is>
      </c>
      <c r="E476" t="inlineStr">
        <is>
          <t>Informational</t>
        </is>
      </c>
      <c r="F476" t="inlineStr">
        <is>
          <t>Informational</t>
        </is>
      </c>
      <c r="G476" t="inlineStr">
        <is>
          <t>TOFU</t>
        </is>
      </c>
      <c r="H476" t="inlineStr">
        <is>
          <t>UAE (generic)</t>
        </is>
      </c>
      <c r="I476" t="inlineStr">
        <is>
          <t>Blog article</t>
        </is>
      </c>
      <c r="J476" t="inlineStr">
        <is>
          <t>Blog</t>
        </is>
      </c>
      <c r="K476">
        <f>IFERROR(VLOOKUP($A476,'Semrush Import'!$A:$D,2,FALSE),"")</f>
        <v/>
      </c>
      <c r="L476">
        <f>IFERROR(VLOOKUP($A476,'Semrush Import'!$A:$D,3,FALSE),"")</f>
        <v/>
      </c>
      <c r="M476">
        <f>IFERROR(VLOOKUP($A476,'Semrush Import'!$A:$D,4,FALSE),"")</f>
        <v/>
      </c>
      <c r="N476">
        <f>IFERROR(VLOOKUP($A476,'KP Import'!$A:$B,2,FALSE),"")</f>
        <v/>
      </c>
      <c r="O476">
        <f>IF(K476="","",ROUND(K476/(L476+10),1))</f>
        <v/>
      </c>
      <c r="P476">
        <f>IF(O476="","",IF(O476&gt;=20,"A - Go first",IF(O476&gt;=5,"B - Next","C - Later")))</f>
        <v/>
      </c>
      <c r="Q476" t="inlineStr">
        <is>
          <t>To research</t>
        </is>
      </c>
      <c r="R476" t="inlineStr"/>
    </row>
    <row r="477">
      <c r="A477" t="inlineStr">
        <is>
          <t>why is basmati rice expensive</t>
        </is>
      </c>
      <c r="B477" t="inlineStr">
        <is>
          <t>Phase 1 - B2B content</t>
        </is>
      </c>
      <c r="C477" t="inlineStr">
        <is>
          <t>Wholesalers / bulk buyers</t>
        </is>
      </c>
      <c r="D477" t="inlineStr">
        <is>
          <t>Buying guide</t>
        </is>
      </c>
      <c r="E477" t="inlineStr">
        <is>
          <t>Informational</t>
        </is>
      </c>
      <c r="F477" t="inlineStr">
        <is>
          <t>Informational</t>
        </is>
      </c>
      <c r="G477" t="inlineStr">
        <is>
          <t>TOFU</t>
        </is>
      </c>
      <c r="H477" t="inlineStr">
        <is>
          <t>UAE (generic)</t>
        </is>
      </c>
      <c r="I477" t="inlineStr">
        <is>
          <t>Blog article</t>
        </is>
      </c>
      <c r="J477" t="inlineStr">
        <is>
          <t>Blog</t>
        </is>
      </c>
      <c r="K477">
        <f>IFERROR(VLOOKUP($A477,'Semrush Import'!$A:$D,2,FALSE),"")</f>
        <v/>
      </c>
      <c r="L477">
        <f>IFERROR(VLOOKUP($A477,'Semrush Import'!$A:$D,3,FALSE),"")</f>
        <v/>
      </c>
      <c r="M477">
        <f>IFERROR(VLOOKUP($A477,'Semrush Import'!$A:$D,4,FALSE),"")</f>
        <v/>
      </c>
      <c r="N477">
        <f>IFERROR(VLOOKUP($A477,'KP Import'!$A:$B,2,FALSE),"")</f>
        <v/>
      </c>
      <c r="O477">
        <f>IF(K477="","",ROUND(K477/(L477+10),1))</f>
        <v/>
      </c>
      <c r="P477">
        <f>IF(O477="","",IF(O477&gt;=20,"A - Go first",IF(O477&gt;=5,"B - Next","C - Later")))</f>
        <v/>
      </c>
      <c r="Q477" t="inlineStr">
        <is>
          <t>To research</t>
        </is>
      </c>
      <c r="R477" t="inlineStr"/>
    </row>
    <row r="478">
      <c r="A478" t="inlineStr">
        <is>
          <t>basmati rice grading</t>
        </is>
      </c>
      <c r="B478" t="inlineStr">
        <is>
          <t>Phase 1 - B2B content</t>
        </is>
      </c>
      <c r="C478" t="inlineStr">
        <is>
          <t>Wholesalers / bulk buyers</t>
        </is>
      </c>
      <c r="D478" t="inlineStr">
        <is>
          <t>Buying guide</t>
        </is>
      </c>
      <c r="E478" t="inlineStr">
        <is>
          <t>Informational</t>
        </is>
      </c>
      <c r="F478" t="inlineStr">
        <is>
          <t>Informational</t>
        </is>
      </c>
      <c r="G478" t="inlineStr">
        <is>
          <t>TOFU</t>
        </is>
      </c>
      <c r="H478" t="inlineStr">
        <is>
          <t>UAE (generic)</t>
        </is>
      </c>
      <c r="I478" t="inlineStr">
        <is>
          <t>Blog article</t>
        </is>
      </c>
      <c r="J478" t="inlineStr">
        <is>
          <t>Blog</t>
        </is>
      </c>
      <c r="K478">
        <f>IFERROR(VLOOKUP($A478,'Semrush Import'!$A:$D,2,FALSE),"")</f>
        <v/>
      </c>
      <c r="L478">
        <f>IFERROR(VLOOKUP($A478,'Semrush Import'!$A:$D,3,FALSE),"")</f>
        <v/>
      </c>
      <c r="M478">
        <f>IFERROR(VLOOKUP($A478,'Semrush Import'!$A:$D,4,FALSE),"")</f>
        <v/>
      </c>
      <c r="N478">
        <f>IFERROR(VLOOKUP($A478,'KP Import'!$A:$B,2,FALSE),"")</f>
        <v/>
      </c>
      <c r="O478">
        <f>IF(K478="","",ROUND(K478/(L478+10),1))</f>
        <v/>
      </c>
      <c r="P478">
        <f>IF(O478="","",IF(O478&gt;=20,"A - Go first",IF(O478&gt;=5,"B - Next","C - Later")))</f>
        <v/>
      </c>
      <c r="Q478" t="inlineStr">
        <is>
          <t>To research</t>
        </is>
      </c>
      <c r="R478" t="inlineStr"/>
    </row>
    <row r="479">
      <c r="A479" t="inlineStr">
        <is>
          <t>rice import regulations uae</t>
        </is>
      </c>
      <c r="B479" t="inlineStr">
        <is>
          <t>Phase 1 - B2B content</t>
        </is>
      </c>
      <c r="C479" t="inlineStr">
        <is>
          <t>Wholesalers / bulk buyers</t>
        </is>
      </c>
      <c r="D479" t="inlineStr">
        <is>
          <t>B2B guide</t>
        </is>
      </c>
      <c r="E479" t="inlineStr">
        <is>
          <t>Informational</t>
        </is>
      </c>
      <c r="F479" t="inlineStr">
        <is>
          <t>Informational</t>
        </is>
      </c>
      <c r="G479" t="inlineStr">
        <is>
          <t>TOFU</t>
        </is>
      </c>
      <c r="H479" t="inlineStr">
        <is>
          <t>UAE (generic)</t>
        </is>
      </c>
      <c r="I479" t="inlineStr">
        <is>
          <t>Blog article</t>
        </is>
      </c>
      <c r="J479" t="inlineStr">
        <is>
          <t>Blog</t>
        </is>
      </c>
      <c r="K479">
        <f>IFERROR(VLOOKUP($A479,'Semrush Import'!$A:$D,2,FALSE),"")</f>
        <v/>
      </c>
      <c r="L479">
        <f>IFERROR(VLOOKUP($A479,'Semrush Import'!$A:$D,3,FALSE),"")</f>
        <v/>
      </c>
      <c r="M479">
        <f>IFERROR(VLOOKUP($A479,'Semrush Import'!$A:$D,4,FALSE),"")</f>
        <v/>
      </c>
      <c r="N479">
        <f>IFERROR(VLOOKUP($A479,'KP Import'!$A:$B,2,FALSE),"")</f>
        <v/>
      </c>
      <c r="O479">
        <f>IF(K479="","",ROUND(K479/(L479+10),1))</f>
        <v/>
      </c>
      <c r="P479">
        <f>IF(O479="","",IF(O479&gt;=20,"A - Go first",IF(O479&gt;=5,"B - Next","C - Later")))</f>
        <v/>
      </c>
      <c r="Q479" t="inlineStr">
        <is>
          <t>To research</t>
        </is>
      </c>
      <c r="R479" t="inlineStr"/>
    </row>
    <row r="480">
      <c r="A480" t="inlineStr">
        <is>
          <t>uae rice import duty</t>
        </is>
      </c>
      <c r="B480" t="inlineStr">
        <is>
          <t>Phase 1 - B2B content</t>
        </is>
      </c>
      <c r="C480" t="inlineStr">
        <is>
          <t>Wholesalers / bulk buyers</t>
        </is>
      </c>
      <c r="D480" t="inlineStr">
        <is>
          <t>B2B guide</t>
        </is>
      </c>
      <c r="E480" t="inlineStr">
        <is>
          <t>Informational</t>
        </is>
      </c>
      <c r="F480" t="inlineStr">
        <is>
          <t>Informational</t>
        </is>
      </c>
      <c r="G480" t="inlineStr">
        <is>
          <t>TOFU</t>
        </is>
      </c>
      <c r="H480" t="inlineStr">
        <is>
          <t>UAE (generic)</t>
        </is>
      </c>
      <c r="I480" t="inlineStr">
        <is>
          <t>Blog article</t>
        </is>
      </c>
      <c r="J480" t="inlineStr">
        <is>
          <t>Blog</t>
        </is>
      </c>
      <c r="K480">
        <f>IFERROR(VLOOKUP($A480,'Semrush Import'!$A:$D,2,FALSE),"")</f>
        <v/>
      </c>
      <c r="L480">
        <f>IFERROR(VLOOKUP($A480,'Semrush Import'!$A:$D,3,FALSE),"")</f>
        <v/>
      </c>
      <c r="M480">
        <f>IFERROR(VLOOKUP($A480,'Semrush Import'!$A:$D,4,FALSE),"")</f>
        <v/>
      </c>
      <c r="N480">
        <f>IFERROR(VLOOKUP($A480,'KP Import'!$A:$B,2,FALSE),"")</f>
        <v/>
      </c>
      <c r="O480">
        <f>IF(K480="","",ROUND(K480/(L480+10),1))</f>
        <v/>
      </c>
      <c r="P480">
        <f>IF(O480="","",IF(O480&gt;=20,"A - Go first",IF(O480&gt;=5,"B - Next","C - Later")))</f>
        <v/>
      </c>
      <c r="Q480" t="inlineStr">
        <is>
          <t>To research</t>
        </is>
      </c>
      <c r="R480" t="inlineStr"/>
    </row>
    <row r="481">
      <c r="A481" t="inlineStr">
        <is>
          <t>rice price trend uae</t>
        </is>
      </c>
      <c r="B481" t="inlineStr">
        <is>
          <t>Phase 1 - B2B content</t>
        </is>
      </c>
      <c r="C481" t="inlineStr">
        <is>
          <t>Wholesalers / bulk buyers</t>
        </is>
      </c>
      <c r="D481" t="inlineStr">
        <is>
          <t>Market</t>
        </is>
      </c>
      <c r="E481" t="inlineStr">
        <is>
          <t>Informational</t>
        </is>
      </c>
      <c r="F481" t="inlineStr">
        <is>
          <t>Informational</t>
        </is>
      </c>
      <c r="G481" t="inlineStr">
        <is>
          <t>TOFU</t>
        </is>
      </c>
      <c r="H481" t="inlineStr">
        <is>
          <t>UAE (generic)</t>
        </is>
      </c>
      <c r="I481" t="inlineStr">
        <is>
          <t>Blog article</t>
        </is>
      </c>
      <c r="J481" t="inlineStr">
        <is>
          <t>Blog</t>
        </is>
      </c>
      <c r="K481">
        <f>IFERROR(VLOOKUP($A481,'Semrush Import'!$A:$D,2,FALSE),"")</f>
        <v/>
      </c>
      <c r="L481">
        <f>IFERROR(VLOOKUP($A481,'Semrush Import'!$A:$D,3,FALSE),"")</f>
        <v/>
      </c>
      <c r="M481">
        <f>IFERROR(VLOOKUP($A481,'Semrush Import'!$A:$D,4,FALSE),"")</f>
        <v/>
      </c>
      <c r="N481">
        <f>IFERROR(VLOOKUP($A481,'KP Import'!$A:$B,2,FALSE),"")</f>
        <v/>
      </c>
      <c r="O481">
        <f>IF(K481="","",ROUND(K481/(L481+10),1))</f>
        <v/>
      </c>
      <c r="P481">
        <f>IF(O481="","",IF(O481&gt;=20,"A - Go first",IF(O481&gt;=5,"B - Next","C - Later")))</f>
        <v/>
      </c>
      <c r="Q481" t="inlineStr">
        <is>
          <t>To research</t>
        </is>
      </c>
      <c r="R481" t="inlineStr"/>
    </row>
    <row r="482">
      <c r="A482" t="inlineStr">
        <is>
          <t>india rice export ban impact on uae</t>
        </is>
      </c>
      <c r="B482" t="inlineStr">
        <is>
          <t>Phase 1 - B2B content</t>
        </is>
      </c>
      <c r="C482" t="inlineStr">
        <is>
          <t>Wholesalers / bulk buyers</t>
        </is>
      </c>
      <c r="D482" t="inlineStr">
        <is>
          <t>Market</t>
        </is>
      </c>
      <c r="E482" t="inlineStr">
        <is>
          <t>Informational</t>
        </is>
      </c>
      <c r="F482" t="inlineStr">
        <is>
          <t>Informational</t>
        </is>
      </c>
      <c r="G482" t="inlineStr">
        <is>
          <t>TOFU</t>
        </is>
      </c>
      <c r="H482" t="inlineStr">
        <is>
          <t>UAE (generic)</t>
        </is>
      </c>
      <c r="I482" t="inlineStr">
        <is>
          <t>Blog article</t>
        </is>
      </c>
      <c r="J482" t="inlineStr">
        <is>
          <t>Blog</t>
        </is>
      </c>
      <c r="K482">
        <f>IFERROR(VLOOKUP($A482,'Semrush Import'!$A:$D,2,FALSE),"")</f>
        <v/>
      </c>
      <c r="L482">
        <f>IFERROR(VLOOKUP($A482,'Semrush Import'!$A:$D,3,FALSE),"")</f>
        <v/>
      </c>
      <c r="M482">
        <f>IFERROR(VLOOKUP($A482,'Semrush Import'!$A:$D,4,FALSE),"")</f>
        <v/>
      </c>
      <c r="N482">
        <f>IFERROR(VLOOKUP($A482,'KP Import'!$A:$B,2,FALSE),"")</f>
        <v/>
      </c>
      <c r="O482">
        <f>IF(K482="","",ROUND(K482/(L482+10),1))</f>
        <v/>
      </c>
      <c r="P482">
        <f>IF(O482="","",IF(O482&gt;=20,"A - Go first",IF(O482&gt;=5,"B - Next","C - Later")))</f>
        <v/>
      </c>
      <c r="Q482" t="inlineStr">
        <is>
          <t>To research</t>
        </is>
      </c>
      <c r="R482" t="inlineStr"/>
    </row>
    <row r="483">
      <c r="A483" t="inlineStr">
        <is>
          <t>how to start rice trading business in dubai</t>
        </is>
      </c>
      <c r="B483" t="inlineStr">
        <is>
          <t>Phase 1 - B2B content</t>
        </is>
      </c>
      <c r="C483" t="inlineStr">
        <is>
          <t>Wholesalers / bulk buyers</t>
        </is>
      </c>
      <c r="D483" t="inlineStr">
        <is>
          <t>B2B guide</t>
        </is>
      </c>
      <c r="E483" t="inlineStr">
        <is>
          <t>Informational</t>
        </is>
      </c>
      <c r="F483" t="inlineStr">
        <is>
          <t>Informational</t>
        </is>
      </c>
      <c r="G483" t="inlineStr">
        <is>
          <t>TOFU</t>
        </is>
      </c>
      <c r="H483" t="inlineStr">
        <is>
          <t>UAE (generic)</t>
        </is>
      </c>
      <c r="I483" t="inlineStr">
        <is>
          <t>Blog article</t>
        </is>
      </c>
      <c r="J483" t="inlineStr">
        <is>
          <t>Blog</t>
        </is>
      </c>
      <c r="K483">
        <f>IFERROR(VLOOKUP($A483,'Semrush Import'!$A:$D,2,FALSE),"")</f>
        <v/>
      </c>
      <c r="L483">
        <f>IFERROR(VLOOKUP($A483,'Semrush Import'!$A:$D,3,FALSE),"")</f>
        <v/>
      </c>
      <c r="M483">
        <f>IFERROR(VLOOKUP($A483,'Semrush Import'!$A:$D,4,FALSE),"")</f>
        <v/>
      </c>
      <c r="N483">
        <f>IFERROR(VLOOKUP($A483,'KP Import'!$A:$B,2,FALSE),"")</f>
        <v/>
      </c>
      <c r="O483">
        <f>IF(K483="","",ROUND(K483/(L483+10),1))</f>
        <v/>
      </c>
      <c r="P483">
        <f>IF(O483="","",IF(O483&gt;=20,"A - Go first",IF(O483&gt;=5,"B - Next","C - Later")))</f>
        <v/>
      </c>
      <c r="Q483" t="inlineStr">
        <is>
          <t>To research</t>
        </is>
      </c>
      <c r="R483" t="inlineStr"/>
    </row>
    <row r="484">
      <c r="A484" t="inlineStr">
        <is>
          <t>rice trading license dubai</t>
        </is>
      </c>
      <c r="B484" t="inlineStr">
        <is>
          <t>Phase 1 - B2B content</t>
        </is>
      </c>
      <c r="C484" t="inlineStr">
        <is>
          <t>Wholesalers / bulk buyers</t>
        </is>
      </c>
      <c r="D484" t="inlineStr">
        <is>
          <t>B2B guide</t>
        </is>
      </c>
      <c r="E484" t="inlineStr">
        <is>
          <t>Informational</t>
        </is>
      </c>
      <c r="F484" t="inlineStr">
        <is>
          <t>Informational</t>
        </is>
      </c>
      <c r="G484" t="inlineStr">
        <is>
          <t>TOFU</t>
        </is>
      </c>
      <c r="H484" t="inlineStr">
        <is>
          <t>UAE (generic)</t>
        </is>
      </c>
      <c r="I484" t="inlineStr">
        <is>
          <t>Blog article</t>
        </is>
      </c>
      <c r="J484" t="inlineStr">
        <is>
          <t>Blog</t>
        </is>
      </c>
      <c r="K484">
        <f>IFERROR(VLOOKUP($A484,'Semrush Import'!$A:$D,2,FALSE),"")</f>
        <v/>
      </c>
      <c r="L484">
        <f>IFERROR(VLOOKUP($A484,'Semrush Import'!$A:$D,3,FALSE),"")</f>
        <v/>
      </c>
      <c r="M484">
        <f>IFERROR(VLOOKUP($A484,'Semrush Import'!$A:$D,4,FALSE),"")</f>
        <v/>
      </c>
      <c r="N484">
        <f>IFERROR(VLOOKUP($A484,'KP Import'!$A:$B,2,FALSE),"")</f>
        <v/>
      </c>
      <c r="O484">
        <f>IF(K484="","",ROUND(K484/(L484+10),1))</f>
        <v/>
      </c>
      <c r="P484">
        <f>IF(O484="","",IF(O484&gt;=20,"A - Go first",IF(O484&gt;=5,"B - Next","C - Later")))</f>
        <v/>
      </c>
      <c r="Q484" t="inlineStr">
        <is>
          <t>To research</t>
        </is>
      </c>
      <c r="R484" t="inlineStr"/>
    </row>
    <row r="485">
      <c r="A485" t="inlineStr">
        <is>
          <t>ارز بسمتي</t>
        </is>
      </c>
      <c r="B485" t="inlineStr">
        <is>
          <t>Phase 1 - B2B now</t>
        </is>
      </c>
      <c r="C485" t="inlineStr">
        <is>
          <t>Wholesalers / bulk buyers</t>
        </is>
      </c>
      <c r="D485" t="inlineStr">
        <is>
          <t>Arabic</t>
        </is>
      </c>
      <c r="E485" t="inlineStr">
        <is>
          <t>Arabic</t>
        </is>
      </c>
      <c r="F485" t="inlineStr">
        <is>
          <t>Transactional</t>
        </is>
      </c>
      <c r="G485" t="inlineStr">
        <is>
          <t>BOFU</t>
        </is>
      </c>
      <c r="H485" t="inlineStr">
        <is>
          <t>UAE (Arabic)</t>
        </is>
      </c>
      <c r="I485" t="inlineStr">
        <is>
          <t>Arabic version pages (/ar/)</t>
        </is>
      </c>
      <c r="J485" t="inlineStr">
        <is>
          <t>Arabic landing</t>
        </is>
      </c>
      <c r="K485">
        <f>IFERROR(VLOOKUP($A485,'Semrush Import'!$A:$D,2,FALSE),"")</f>
        <v/>
      </c>
      <c r="L485">
        <f>IFERROR(VLOOKUP($A485,'Semrush Import'!$A:$D,3,FALSE),"")</f>
        <v/>
      </c>
      <c r="M485">
        <f>IFERROR(VLOOKUP($A485,'Semrush Import'!$A:$D,4,FALSE),"")</f>
        <v/>
      </c>
      <c r="N485">
        <f>IFERROR(VLOOKUP($A485,'KP Import'!$A:$B,2,FALSE),"")</f>
        <v/>
      </c>
      <c r="O485">
        <f>IF(K485="","",ROUND(K485/(L485+10),1))</f>
        <v/>
      </c>
      <c r="P485">
        <f>IF(O485="","",IF(O485&gt;=20,"A - Go first",IF(O485&gt;=5,"B - Next","C - Later")))</f>
        <v/>
      </c>
      <c r="Q485" t="inlineStr">
        <is>
          <t>To research</t>
        </is>
      </c>
      <c r="R485" t="inlineStr"/>
    </row>
    <row r="486">
      <c r="A486" t="inlineStr">
        <is>
          <t>ارز بسمتي دبي</t>
        </is>
      </c>
      <c r="B486" t="inlineStr">
        <is>
          <t>Phase 1 - B2B now</t>
        </is>
      </c>
      <c r="C486" t="inlineStr">
        <is>
          <t>Wholesalers / bulk buyers</t>
        </is>
      </c>
      <c r="D486" t="inlineStr">
        <is>
          <t>Arabic</t>
        </is>
      </c>
      <c r="E486" t="inlineStr">
        <is>
          <t>Arabic</t>
        </is>
      </c>
      <c r="F486" t="inlineStr">
        <is>
          <t>Transactional</t>
        </is>
      </c>
      <c r="G486" t="inlineStr">
        <is>
          <t>BOFU</t>
        </is>
      </c>
      <c r="H486" t="inlineStr">
        <is>
          <t>UAE (Arabic)</t>
        </is>
      </c>
      <c r="I486" t="inlineStr">
        <is>
          <t>Arabic version pages (/ar/)</t>
        </is>
      </c>
      <c r="J486" t="inlineStr">
        <is>
          <t>Arabic landing</t>
        </is>
      </c>
      <c r="K486">
        <f>IFERROR(VLOOKUP($A486,'Semrush Import'!$A:$D,2,FALSE),"")</f>
        <v/>
      </c>
      <c r="L486">
        <f>IFERROR(VLOOKUP($A486,'Semrush Import'!$A:$D,3,FALSE),"")</f>
        <v/>
      </c>
      <c r="M486">
        <f>IFERROR(VLOOKUP($A486,'Semrush Import'!$A:$D,4,FALSE),"")</f>
        <v/>
      </c>
      <c r="N486">
        <f>IFERROR(VLOOKUP($A486,'KP Import'!$A:$B,2,FALSE),"")</f>
        <v/>
      </c>
      <c r="O486">
        <f>IF(K486="","",ROUND(K486/(L486+10),1))</f>
        <v/>
      </c>
      <c r="P486">
        <f>IF(O486="","",IF(O486&gt;=20,"A - Go first",IF(O486&gt;=5,"B - Next","C - Later")))</f>
        <v/>
      </c>
      <c r="Q486" t="inlineStr">
        <is>
          <t>To research</t>
        </is>
      </c>
      <c r="R486" t="inlineStr"/>
    </row>
    <row r="487">
      <c r="A487" t="inlineStr">
        <is>
          <t>ارز بسمتي بالجملة</t>
        </is>
      </c>
      <c r="B487" t="inlineStr">
        <is>
          <t>Phase 1 - B2B now</t>
        </is>
      </c>
      <c r="C487" t="inlineStr">
        <is>
          <t>Wholesalers / bulk buyers</t>
        </is>
      </c>
      <c r="D487" t="inlineStr">
        <is>
          <t>Arabic</t>
        </is>
      </c>
      <c r="E487" t="inlineStr">
        <is>
          <t>Arabic</t>
        </is>
      </c>
      <c r="F487" t="inlineStr">
        <is>
          <t>Transactional</t>
        </is>
      </c>
      <c r="G487" t="inlineStr">
        <is>
          <t>BOFU</t>
        </is>
      </c>
      <c r="H487" t="inlineStr">
        <is>
          <t>UAE (Arabic)</t>
        </is>
      </c>
      <c r="I487" t="inlineStr">
        <is>
          <t>Arabic version pages (/ar/)</t>
        </is>
      </c>
      <c r="J487" t="inlineStr">
        <is>
          <t>Arabic landing</t>
        </is>
      </c>
      <c r="K487">
        <f>IFERROR(VLOOKUP($A487,'Semrush Import'!$A:$D,2,FALSE),"")</f>
        <v/>
      </c>
      <c r="L487">
        <f>IFERROR(VLOOKUP($A487,'Semrush Import'!$A:$D,3,FALSE),"")</f>
        <v/>
      </c>
      <c r="M487">
        <f>IFERROR(VLOOKUP($A487,'Semrush Import'!$A:$D,4,FALSE),"")</f>
        <v/>
      </c>
      <c r="N487">
        <f>IFERROR(VLOOKUP($A487,'KP Import'!$A:$B,2,FALSE),"")</f>
        <v/>
      </c>
      <c r="O487">
        <f>IF(K487="","",ROUND(K487/(L487+10),1))</f>
        <v/>
      </c>
      <c r="P487">
        <f>IF(O487="","",IF(O487&gt;=20,"A - Go first",IF(O487&gt;=5,"B - Next","C - Later")))</f>
        <v/>
      </c>
      <c r="Q487" t="inlineStr">
        <is>
          <t>To research</t>
        </is>
      </c>
      <c r="R487" t="inlineStr"/>
    </row>
    <row r="488">
      <c r="A488" t="inlineStr">
        <is>
          <t>سعر الارز في الامارات</t>
        </is>
      </c>
      <c r="B488" t="inlineStr">
        <is>
          <t>Phase 1 - B2B now</t>
        </is>
      </c>
      <c r="C488" t="inlineStr">
        <is>
          <t>Wholesalers / bulk buyers</t>
        </is>
      </c>
      <c r="D488" t="inlineStr">
        <is>
          <t>Arabic</t>
        </is>
      </c>
      <c r="E488" t="inlineStr">
        <is>
          <t>Arabic</t>
        </is>
      </c>
      <c r="F488" t="inlineStr">
        <is>
          <t>Transactional</t>
        </is>
      </c>
      <c r="G488" t="inlineStr">
        <is>
          <t>BOFU</t>
        </is>
      </c>
      <c r="H488" t="inlineStr">
        <is>
          <t>UAE (Arabic)</t>
        </is>
      </c>
      <c r="I488" t="inlineStr">
        <is>
          <t>Arabic version pages (/ar/)</t>
        </is>
      </c>
      <c r="J488" t="inlineStr">
        <is>
          <t>Arabic landing</t>
        </is>
      </c>
      <c r="K488">
        <f>IFERROR(VLOOKUP($A488,'Semrush Import'!$A:$D,2,FALSE),"")</f>
        <v/>
      </c>
      <c r="L488">
        <f>IFERROR(VLOOKUP($A488,'Semrush Import'!$A:$D,3,FALSE),"")</f>
        <v/>
      </c>
      <c r="M488">
        <f>IFERROR(VLOOKUP($A488,'Semrush Import'!$A:$D,4,FALSE),"")</f>
        <v/>
      </c>
      <c r="N488">
        <f>IFERROR(VLOOKUP($A488,'KP Import'!$A:$B,2,FALSE),"")</f>
        <v/>
      </c>
      <c r="O488">
        <f>IF(K488="","",ROUND(K488/(L488+10),1))</f>
        <v/>
      </c>
      <c r="P488">
        <f>IF(O488="","",IF(O488&gt;=20,"A - Go first",IF(O488&gt;=5,"B - Next","C - Later")))</f>
        <v/>
      </c>
      <c r="Q488" t="inlineStr">
        <is>
          <t>To research</t>
        </is>
      </c>
      <c r="R488" t="inlineStr"/>
    </row>
    <row r="489">
      <c r="A489" t="inlineStr">
        <is>
          <t>شراء ارز اونلاين دبي</t>
        </is>
      </c>
      <c r="B489" t="inlineStr">
        <is>
          <t>Phase 1 - B2B now</t>
        </is>
      </c>
      <c r="C489" t="inlineStr">
        <is>
          <t>Wholesalers / bulk buyers</t>
        </is>
      </c>
      <c r="D489" t="inlineStr">
        <is>
          <t>Arabic</t>
        </is>
      </c>
      <c r="E489" t="inlineStr">
        <is>
          <t>Arabic</t>
        </is>
      </c>
      <c r="F489" t="inlineStr">
        <is>
          <t>Transactional</t>
        </is>
      </c>
      <c r="G489" t="inlineStr">
        <is>
          <t>BOFU</t>
        </is>
      </c>
      <c r="H489" t="inlineStr">
        <is>
          <t>UAE (Arabic)</t>
        </is>
      </c>
      <c r="I489" t="inlineStr">
        <is>
          <t>Arabic version pages (/ar/)</t>
        </is>
      </c>
      <c r="J489" t="inlineStr">
        <is>
          <t>Arabic landing</t>
        </is>
      </c>
      <c r="K489">
        <f>IFERROR(VLOOKUP($A489,'Semrush Import'!$A:$D,2,FALSE),"")</f>
        <v/>
      </c>
      <c r="L489">
        <f>IFERROR(VLOOKUP($A489,'Semrush Import'!$A:$D,3,FALSE),"")</f>
        <v/>
      </c>
      <c r="M489">
        <f>IFERROR(VLOOKUP($A489,'Semrush Import'!$A:$D,4,FALSE),"")</f>
        <v/>
      </c>
      <c r="N489">
        <f>IFERROR(VLOOKUP($A489,'KP Import'!$A:$B,2,FALSE),"")</f>
        <v/>
      </c>
      <c r="O489">
        <f>IF(K489="","",ROUND(K489/(L489+10),1))</f>
        <v/>
      </c>
      <c r="P489">
        <f>IF(O489="","",IF(O489&gt;=20,"A - Go first",IF(O489&gt;=5,"B - Next","C - Later")))</f>
        <v/>
      </c>
      <c r="Q489" t="inlineStr">
        <is>
          <t>To research</t>
        </is>
      </c>
      <c r="R489" t="inlineStr"/>
    </row>
    <row r="490">
      <c r="A490" t="inlineStr">
        <is>
          <t>توصيل ارز دبي</t>
        </is>
      </c>
      <c r="B490" t="inlineStr">
        <is>
          <t>Phase 1 - B2B now</t>
        </is>
      </c>
      <c r="C490" t="inlineStr">
        <is>
          <t>Wholesalers / bulk buyers</t>
        </is>
      </c>
      <c r="D490" t="inlineStr">
        <is>
          <t>Arabic</t>
        </is>
      </c>
      <c r="E490" t="inlineStr">
        <is>
          <t>Arabic</t>
        </is>
      </c>
      <c r="F490" t="inlineStr">
        <is>
          <t>Transactional</t>
        </is>
      </c>
      <c r="G490" t="inlineStr">
        <is>
          <t>BOFU</t>
        </is>
      </c>
      <c r="H490" t="inlineStr">
        <is>
          <t>UAE (Arabic)</t>
        </is>
      </c>
      <c r="I490" t="inlineStr">
        <is>
          <t>Arabic version pages (/ar/)</t>
        </is>
      </c>
      <c r="J490" t="inlineStr">
        <is>
          <t>Arabic landing</t>
        </is>
      </c>
      <c r="K490">
        <f>IFERROR(VLOOKUP($A490,'Semrush Import'!$A:$D,2,FALSE),"")</f>
        <v/>
      </c>
      <c r="L490">
        <f>IFERROR(VLOOKUP($A490,'Semrush Import'!$A:$D,3,FALSE),"")</f>
        <v/>
      </c>
      <c r="M490">
        <f>IFERROR(VLOOKUP($A490,'Semrush Import'!$A:$D,4,FALSE),"")</f>
        <v/>
      </c>
      <c r="N490">
        <f>IFERROR(VLOOKUP($A490,'KP Import'!$A:$B,2,FALSE),"")</f>
        <v/>
      </c>
      <c r="O490">
        <f>IF(K490="","",ROUND(K490/(L490+10),1))</f>
        <v/>
      </c>
      <c r="P490">
        <f>IF(O490="","",IF(O490&gt;=20,"A - Go first",IF(O490&gt;=5,"B - Next","C - Later")))</f>
        <v/>
      </c>
      <c r="Q490" t="inlineStr">
        <is>
          <t>To research</t>
        </is>
      </c>
      <c r="R490" t="inlineStr"/>
    </row>
    <row r="491">
      <c r="A491" t="inlineStr">
        <is>
          <t>ارز بسمتي سيلا</t>
        </is>
      </c>
      <c r="B491" t="inlineStr">
        <is>
          <t>Phase 1 - B2B now</t>
        </is>
      </c>
      <c r="C491" t="inlineStr">
        <is>
          <t>Wholesalers / bulk buyers</t>
        </is>
      </c>
      <c r="D491" t="inlineStr">
        <is>
          <t>Arabic</t>
        </is>
      </c>
      <c r="E491" t="inlineStr">
        <is>
          <t>Arabic</t>
        </is>
      </c>
      <c r="F491" t="inlineStr">
        <is>
          <t>Transactional</t>
        </is>
      </c>
      <c r="G491" t="inlineStr">
        <is>
          <t>BOFU</t>
        </is>
      </c>
      <c r="H491" t="inlineStr">
        <is>
          <t>UAE (Arabic)</t>
        </is>
      </c>
      <c r="I491" t="inlineStr">
        <is>
          <t>Arabic version pages (/ar/)</t>
        </is>
      </c>
      <c r="J491" t="inlineStr">
        <is>
          <t>Arabic landing</t>
        </is>
      </c>
      <c r="K491">
        <f>IFERROR(VLOOKUP($A491,'Semrush Import'!$A:$D,2,FALSE),"")</f>
        <v/>
      </c>
      <c r="L491">
        <f>IFERROR(VLOOKUP($A491,'Semrush Import'!$A:$D,3,FALSE),"")</f>
        <v/>
      </c>
      <c r="M491">
        <f>IFERROR(VLOOKUP($A491,'Semrush Import'!$A:$D,4,FALSE),"")</f>
        <v/>
      </c>
      <c r="N491">
        <f>IFERROR(VLOOKUP($A491,'KP Import'!$A:$B,2,FALSE),"")</f>
        <v/>
      </c>
      <c r="O491">
        <f>IF(K491="","",ROUND(K491/(L491+10),1))</f>
        <v/>
      </c>
      <c r="P491">
        <f>IF(O491="","",IF(O491&gt;=20,"A - Go first",IF(O491&gt;=5,"B - Next","C - Later")))</f>
        <v/>
      </c>
      <c r="Q491" t="inlineStr">
        <is>
          <t>To research</t>
        </is>
      </c>
      <c r="R491" t="inlineStr"/>
    </row>
    <row r="492">
      <c r="A492" t="inlineStr">
        <is>
          <t>موردين ارز في الامارات</t>
        </is>
      </c>
      <c r="B492" t="inlineStr">
        <is>
          <t>Phase 1 - B2B now</t>
        </is>
      </c>
      <c r="C492" t="inlineStr">
        <is>
          <t>Wholesalers / bulk buyers</t>
        </is>
      </c>
      <c r="D492" t="inlineStr">
        <is>
          <t>Arabic</t>
        </is>
      </c>
      <c r="E492" t="inlineStr">
        <is>
          <t>Arabic</t>
        </is>
      </c>
      <c r="F492" t="inlineStr">
        <is>
          <t>Transactional</t>
        </is>
      </c>
      <c r="G492" t="inlineStr">
        <is>
          <t>BOFU</t>
        </is>
      </c>
      <c r="H492" t="inlineStr">
        <is>
          <t>UAE (Arabic)</t>
        </is>
      </c>
      <c r="I492" t="inlineStr">
        <is>
          <t>Arabic version pages (/ar/)</t>
        </is>
      </c>
      <c r="J492" t="inlineStr">
        <is>
          <t>Arabic landing</t>
        </is>
      </c>
      <c r="K492">
        <f>IFERROR(VLOOKUP($A492,'Semrush Import'!$A:$D,2,FALSE),"")</f>
        <v/>
      </c>
      <c r="L492">
        <f>IFERROR(VLOOKUP($A492,'Semrush Import'!$A:$D,3,FALSE),"")</f>
        <v/>
      </c>
      <c r="M492">
        <f>IFERROR(VLOOKUP($A492,'Semrush Import'!$A:$D,4,FALSE),"")</f>
        <v/>
      </c>
      <c r="N492">
        <f>IFERROR(VLOOKUP($A492,'KP Import'!$A:$B,2,FALSE),"")</f>
        <v/>
      </c>
      <c r="O492">
        <f>IF(K492="","",ROUND(K492/(L492+10),1))</f>
        <v/>
      </c>
      <c r="P492">
        <f>IF(O492="","",IF(O492&gt;=20,"A - Go first",IF(O492&gt;=5,"B - Next","C - Later")))</f>
        <v/>
      </c>
      <c r="Q492" t="inlineStr">
        <is>
          <t>To research</t>
        </is>
      </c>
      <c r="R492" t="inlineStr"/>
    </row>
    <row r="493">
      <c r="A493" t="inlineStr">
        <is>
          <t>ارز مندي</t>
        </is>
      </c>
      <c r="B493" t="inlineStr">
        <is>
          <t>Phase 1 - B2B now</t>
        </is>
      </c>
      <c r="C493" t="inlineStr">
        <is>
          <t>Wholesalers / bulk buyers</t>
        </is>
      </c>
      <c r="D493" t="inlineStr">
        <is>
          <t>Arabic</t>
        </is>
      </c>
      <c r="E493" t="inlineStr">
        <is>
          <t>Arabic</t>
        </is>
      </c>
      <c r="F493" t="inlineStr">
        <is>
          <t>Transactional</t>
        </is>
      </c>
      <c r="G493" t="inlineStr">
        <is>
          <t>BOFU</t>
        </is>
      </c>
      <c r="H493" t="inlineStr">
        <is>
          <t>UAE (Arabic)</t>
        </is>
      </c>
      <c r="I493" t="inlineStr">
        <is>
          <t>Arabic version pages (/ar/)</t>
        </is>
      </c>
      <c r="J493" t="inlineStr">
        <is>
          <t>Arabic landing</t>
        </is>
      </c>
      <c r="K493">
        <f>IFERROR(VLOOKUP($A493,'Semrush Import'!$A:$D,2,FALSE),"")</f>
        <v/>
      </c>
      <c r="L493">
        <f>IFERROR(VLOOKUP($A493,'Semrush Import'!$A:$D,3,FALSE),"")</f>
        <v/>
      </c>
      <c r="M493">
        <f>IFERROR(VLOOKUP($A493,'Semrush Import'!$A:$D,4,FALSE),"")</f>
        <v/>
      </c>
      <c r="N493">
        <f>IFERROR(VLOOKUP($A493,'KP Import'!$A:$B,2,FALSE),"")</f>
        <v/>
      </c>
      <c r="O493">
        <f>IF(K493="","",ROUND(K493/(L493+10),1))</f>
        <v/>
      </c>
      <c r="P493">
        <f>IF(O493="","",IF(O493&gt;=20,"A - Go first",IF(O493&gt;=5,"B - Next","C - Later")))</f>
        <v/>
      </c>
      <c r="Q493" t="inlineStr">
        <is>
          <t>To research</t>
        </is>
      </c>
      <c r="R493" t="inlineStr"/>
    </row>
    <row r="494">
      <c r="A494" t="inlineStr">
        <is>
          <t>ارز كبسة</t>
        </is>
      </c>
      <c r="B494" t="inlineStr">
        <is>
          <t>Phase 1 - B2B now</t>
        </is>
      </c>
      <c r="C494" t="inlineStr">
        <is>
          <t>Wholesalers / bulk buyers</t>
        </is>
      </c>
      <c r="D494" t="inlineStr">
        <is>
          <t>Arabic</t>
        </is>
      </c>
      <c r="E494" t="inlineStr">
        <is>
          <t>Arabic</t>
        </is>
      </c>
      <c r="F494" t="inlineStr">
        <is>
          <t>Transactional</t>
        </is>
      </c>
      <c r="G494" t="inlineStr">
        <is>
          <t>BOFU</t>
        </is>
      </c>
      <c r="H494" t="inlineStr">
        <is>
          <t>UAE (Arabic)</t>
        </is>
      </c>
      <c r="I494" t="inlineStr">
        <is>
          <t>Arabic version pages (/ar/)</t>
        </is>
      </c>
      <c r="J494" t="inlineStr">
        <is>
          <t>Arabic landing</t>
        </is>
      </c>
      <c r="K494">
        <f>IFERROR(VLOOKUP($A494,'Semrush Import'!$A:$D,2,FALSE),"")</f>
        <v/>
      </c>
      <c r="L494">
        <f>IFERROR(VLOOKUP($A494,'Semrush Import'!$A:$D,3,FALSE),"")</f>
        <v/>
      </c>
      <c r="M494">
        <f>IFERROR(VLOOKUP($A494,'Semrush Import'!$A:$D,4,FALSE),"")</f>
        <v/>
      </c>
      <c r="N494">
        <f>IFERROR(VLOOKUP($A494,'KP Import'!$A:$B,2,FALSE),"")</f>
        <v/>
      </c>
      <c r="O494">
        <f>IF(K494="","",ROUND(K494/(L494+10),1))</f>
        <v/>
      </c>
      <c r="P494">
        <f>IF(O494="","",IF(O494&gt;=20,"A - Go first",IF(O494&gt;=5,"B - Next","C - Later")))</f>
        <v/>
      </c>
      <c r="Q494" t="inlineStr">
        <is>
          <t>To research</t>
        </is>
      </c>
      <c r="R494" t="inlineStr"/>
    </row>
    <row r="495">
      <c r="A495" t="inlineStr">
        <is>
          <t>rice importers in dubai</t>
        </is>
      </c>
      <c r="B495" t="inlineStr">
        <is>
          <t>Phase 1 - B2B now</t>
        </is>
      </c>
      <c r="C495" t="inlineStr">
        <is>
          <t>Importers / exporters / traders</t>
        </is>
      </c>
      <c r="D495" t="inlineStr">
        <is>
          <t>Importers &amp; Exporters</t>
        </is>
      </c>
      <c r="E495" t="inlineStr">
        <is>
          <t>B2B</t>
        </is>
      </c>
      <c r="F495" t="inlineStr">
        <is>
          <t>Transactional (B2B)</t>
        </is>
      </c>
      <c r="G495" t="inlineStr">
        <is>
          <t>BOFU</t>
        </is>
      </c>
      <c r="H495" t="inlineStr">
        <is>
          <t>Dubai</t>
        </is>
      </c>
      <c r="I495" t="inlineStr">
        <is>
          <t>Importers &amp; Exporters landing page</t>
        </is>
      </c>
      <c r="J495" t="inlineStr">
        <is>
          <t>Landing</t>
        </is>
      </c>
      <c r="K495">
        <f>IFERROR(VLOOKUP($A495,'Semrush Import'!$A:$D,2,FALSE),"")</f>
        <v/>
      </c>
      <c r="L495">
        <f>IFERROR(VLOOKUP($A495,'Semrush Import'!$A:$D,3,FALSE),"")</f>
        <v/>
      </c>
      <c r="M495">
        <f>IFERROR(VLOOKUP($A495,'Semrush Import'!$A:$D,4,FALSE),"")</f>
        <v/>
      </c>
      <c r="N495">
        <f>IFERROR(VLOOKUP($A495,'KP Import'!$A:$B,2,FALSE),"")</f>
        <v/>
      </c>
      <c r="O495">
        <f>IF(K495="","",ROUND(K495/(L495+10),1))</f>
        <v/>
      </c>
      <c r="P495">
        <f>IF(O495="","",IF(O495&gt;=20,"A - Go first",IF(O495&gt;=5,"B - Next","C - Later")))</f>
        <v/>
      </c>
      <c r="Q495" t="inlineStr">
        <is>
          <t>To research</t>
        </is>
      </c>
      <c r="R495" t="inlineStr"/>
    </row>
    <row r="496">
      <c r="A496" t="inlineStr">
        <is>
          <t>rice importers in uae</t>
        </is>
      </c>
      <c r="B496" t="inlineStr">
        <is>
          <t>Phase 1 - B2B now</t>
        </is>
      </c>
      <c r="C496" t="inlineStr">
        <is>
          <t>Importers / exporters / traders</t>
        </is>
      </c>
      <c r="D496" t="inlineStr">
        <is>
          <t>Importers &amp; Exporters</t>
        </is>
      </c>
      <c r="E496" t="inlineStr">
        <is>
          <t>B2B</t>
        </is>
      </c>
      <c r="F496" t="inlineStr">
        <is>
          <t>Transactional (B2B)</t>
        </is>
      </c>
      <c r="G496" t="inlineStr">
        <is>
          <t>BOFU</t>
        </is>
      </c>
      <c r="H496" t="inlineStr">
        <is>
          <t>UAE</t>
        </is>
      </c>
      <c r="I496" t="inlineStr">
        <is>
          <t>Importers &amp; Exporters landing page</t>
        </is>
      </c>
      <c r="J496" t="inlineStr">
        <is>
          <t>Landing</t>
        </is>
      </c>
      <c r="K496">
        <f>IFERROR(VLOOKUP($A496,'Semrush Import'!$A:$D,2,FALSE),"")</f>
        <v/>
      </c>
      <c r="L496">
        <f>IFERROR(VLOOKUP($A496,'Semrush Import'!$A:$D,3,FALSE),"")</f>
        <v/>
      </c>
      <c r="M496">
        <f>IFERROR(VLOOKUP($A496,'Semrush Import'!$A:$D,4,FALSE),"")</f>
        <v/>
      </c>
      <c r="N496">
        <f>IFERROR(VLOOKUP($A496,'KP Import'!$A:$B,2,FALSE),"")</f>
        <v/>
      </c>
      <c r="O496">
        <f>IF(K496="","",ROUND(K496/(L496+10),1))</f>
        <v/>
      </c>
      <c r="P496">
        <f>IF(O496="","",IF(O496&gt;=20,"A - Go first",IF(O496&gt;=5,"B - Next","C - Later")))</f>
        <v/>
      </c>
      <c r="Q496" t="inlineStr">
        <is>
          <t>To research</t>
        </is>
      </c>
      <c r="R496" t="inlineStr"/>
    </row>
    <row r="497">
      <c r="A497" t="inlineStr">
        <is>
          <t>rice importer dubai</t>
        </is>
      </c>
      <c r="B497" t="inlineStr">
        <is>
          <t>Phase 1 - B2B now</t>
        </is>
      </c>
      <c r="C497" t="inlineStr">
        <is>
          <t>Importers / exporters / traders</t>
        </is>
      </c>
      <c r="D497" t="inlineStr">
        <is>
          <t>Importers &amp; Exporters</t>
        </is>
      </c>
      <c r="E497" t="inlineStr">
        <is>
          <t>B2B</t>
        </is>
      </c>
      <c r="F497" t="inlineStr">
        <is>
          <t>Transactional (B2B)</t>
        </is>
      </c>
      <c r="G497" t="inlineStr">
        <is>
          <t>BOFU</t>
        </is>
      </c>
      <c r="H497" t="inlineStr">
        <is>
          <t>Dubai</t>
        </is>
      </c>
      <c r="I497" t="inlineStr">
        <is>
          <t>Importers &amp; Exporters landing page</t>
        </is>
      </c>
      <c r="J497" t="inlineStr">
        <is>
          <t>Landing</t>
        </is>
      </c>
      <c r="K497">
        <f>IFERROR(VLOOKUP($A497,'Semrush Import'!$A:$D,2,FALSE),"")</f>
        <v/>
      </c>
      <c r="L497">
        <f>IFERROR(VLOOKUP($A497,'Semrush Import'!$A:$D,3,FALSE),"")</f>
        <v/>
      </c>
      <c r="M497">
        <f>IFERROR(VLOOKUP($A497,'Semrush Import'!$A:$D,4,FALSE),"")</f>
        <v/>
      </c>
      <c r="N497">
        <f>IFERROR(VLOOKUP($A497,'KP Import'!$A:$B,2,FALSE),"")</f>
        <v/>
      </c>
      <c r="O497">
        <f>IF(K497="","",ROUND(K497/(L497+10),1))</f>
        <v/>
      </c>
      <c r="P497">
        <f>IF(O497="","",IF(O497&gt;=20,"A - Go first",IF(O497&gt;=5,"B - Next","C - Later")))</f>
        <v/>
      </c>
      <c r="Q497" t="inlineStr">
        <is>
          <t>To research</t>
        </is>
      </c>
      <c r="R497" t="inlineStr"/>
    </row>
    <row r="498">
      <c r="A498" t="inlineStr">
        <is>
          <t>rice exporters in uae</t>
        </is>
      </c>
      <c r="B498" t="inlineStr">
        <is>
          <t>Phase 1 - B2B now</t>
        </is>
      </c>
      <c r="C498" t="inlineStr">
        <is>
          <t>Importers / exporters / traders</t>
        </is>
      </c>
      <c r="D498" t="inlineStr">
        <is>
          <t>Importers &amp; Exporters</t>
        </is>
      </c>
      <c r="E498" t="inlineStr">
        <is>
          <t>B2B</t>
        </is>
      </c>
      <c r="F498" t="inlineStr">
        <is>
          <t>Transactional (B2B)</t>
        </is>
      </c>
      <c r="G498" t="inlineStr">
        <is>
          <t>BOFU</t>
        </is>
      </c>
      <c r="H498" t="inlineStr">
        <is>
          <t>UAE</t>
        </is>
      </c>
      <c r="I498" t="inlineStr">
        <is>
          <t>Importers &amp; Exporters landing page</t>
        </is>
      </c>
      <c r="J498" t="inlineStr">
        <is>
          <t>Landing</t>
        </is>
      </c>
      <c r="K498">
        <f>IFERROR(VLOOKUP($A498,'Semrush Import'!$A:$D,2,FALSE),"")</f>
        <v/>
      </c>
      <c r="L498">
        <f>IFERROR(VLOOKUP($A498,'Semrush Import'!$A:$D,3,FALSE),"")</f>
        <v/>
      </c>
      <c r="M498">
        <f>IFERROR(VLOOKUP($A498,'Semrush Import'!$A:$D,4,FALSE),"")</f>
        <v/>
      </c>
      <c r="N498">
        <f>IFERROR(VLOOKUP($A498,'KP Import'!$A:$B,2,FALSE),"")</f>
        <v/>
      </c>
      <c r="O498">
        <f>IF(K498="","",ROUND(K498/(L498+10),1))</f>
        <v/>
      </c>
      <c r="P498">
        <f>IF(O498="","",IF(O498&gt;=20,"A - Go first",IF(O498&gt;=5,"B - Next","C - Later")))</f>
        <v/>
      </c>
      <c r="Q498" t="inlineStr">
        <is>
          <t>To research</t>
        </is>
      </c>
      <c r="R498" t="inlineStr"/>
    </row>
    <row r="499">
      <c r="A499" t="inlineStr">
        <is>
          <t>basmati rice importers uae</t>
        </is>
      </c>
      <c r="B499" t="inlineStr">
        <is>
          <t>Phase 1 - B2B now</t>
        </is>
      </c>
      <c r="C499" t="inlineStr">
        <is>
          <t>Importers / exporters / traders</t>
        </is>
      </c>
      <c r="D499" t="inlineStr">
        <is>
          <t>Importers &amp; Exporters</t>
        </is>
      </c>
      <c r="E499" t="inlineStr">
        <is>
          <t>B2B</t>
        </is>
      </c>
      <c r="F499" t="inlineStr">
        <is>
          <t>Transactional (B2B)</t>
        </is>
      </c>
      <c r="G499" t="inlineStr">
        <is>
          <t>BOFU</t>
        </is>
      </c>
      <c r="H499" t="inlineStr">
        <is>
          <t>UAE</t>
        </is>
      </c>
      <c r="I499" t="inlineStr">
        <is>
          <t>Importers &amp; Exporters landing page</t>
        </is>
      </c>
      <c r="J499" t="inlineStr">
        <is>
          <t>Landing</t>
        </is>
      </c>
      <c r="K499">
        <f>IFERROR(VLOOKUP($A499,'Semrush Import'!$A:$D,2,FALSE),"")</f>
        <v/>
      </c>
      <c r="L499">
        <f>IFERROR(VLOOKUP($A499,'Semrush Import'!$A:$D,3,FALSE),"")</f>
        <v/>
      </c>
      <c r="M499">
        <f>IFERROR(VLOOKUP($A499,'Semrush Import'!$A:$D,4,FALSE),"")</f>
        <v/>
      </c>
      <c r="N499">
        <f>IFERROR(VLOOKUP($A499,'KP Import'!$A:$B,2,FALSE),"")</f>
        <v/>
      </c>
      <c r="O499">
        <f>IF(K499="","",ROUND(K499/(L499+10),1))</f>
        <v/>
      </c>
      <c r="P499">
        <f>IF(O499="","",IF(O499&gt;=20,"A - Go first",IF(O499&gt;=5,"B - Next","C - Later")))</f>
        <v/>
      </c>
      <c r="Q499" t="inlineStr">
        <is>
          <t>To research</t>
        </is>
      </c>
      <c r="R499" t="inlineStr"/>
    </row>
    <row r="500">
      <c r="A500" t="inlineStr">
        <is>
          <t>rice re-export from dubai</t>
        </is>
      </c>
      <c r="B500" t="inlineStr">
        <is>
          <t>Phase 1 - B2B now</t>
        </is>
      </c>
      <c r="C500" t="inlineStr">
        <is>
          <t>Importers / exporters / traders</t>
        </is>
      </c>
      <c r="D500" t="inlineStr">
        <is>
          <t>Importers &amp; Exporters</t>
        </is>
      </c>
      <c r="E500" t="inlineStr">
        <is>
          <t>B2B</t>
        </is>
      </c>
      <c r="F500" t="inlineStr">
        <is>
          <t>Transactional (B2B)</t>
        </is>
      </c>
      <c r="G500" t="inlineStr">
        <is>
          <t>BOFU</t>
        </is>
      </c>
      <c r="H500" t="inlineStr">
        <is>
          <t>Dubai</t>
        </is>
      </c>
      <c r="I500" t="inlineStr">
        <is>
          <t>Importers &amp; Exporters landing page</t>
        </is>
      </c>
      <c r="J500" t="inlineStr">
        <is>
          <t>Landing</t>
        </is>
      </c>
      <c r="K500">
        <f>IFERROR(VLOOKUP($A500,'Semrush Import'!$A:$D,2,FALSE),"")</f>
        <v/>
      </c>
      <c r="L500">
        <f>IFERROR(VLOOKUP($A500,'Semrush Import'!$A:$D,3,FALSE),"")</f>
        <v/>
      </c>
      <c r="M500">
        <f>IFERROR(VLOOKUP($A500,'Semrush Import'!$A:$D,4,FALSE),"")</f>
        <v/>
      </c>
      <c r="N500">
        <f>IFERROR(VLOOKUP($A500,'KP Import'!$A:$B,2,FALSE),"")</f>
        <v/>
      </c>
      <c r="O500">
        <f>IF(K500="","",ROUND(K500/(L500+10),1))</f>
        <v/>
      </c>
      <c r="P500">
        <f>IF(O500="","",IF(O500&gt;=20,"A - Go first",IF(O500&gt;=5,"B - Next","C - Later")))</f>
        <v/>
      </c>
      <c r="Q500" t="inlineStr">
        <is>
          <t>To research</t>
        </is>
      </c>
      <c r="R500" t="inlineStr"/>
    </row>
    <row r="501">
      <c r="A501" t="inlineStr">
        <is>
          <t>rice trading company in uae</t>
        </is>
      </c>
      <c r="B501" t="inlineStr">
        <is>
          <t>Phase 1 - B2B now</t>
        </is>
      </c>
      <c r="C501" t="inlineStr">
        <is>
          <t>Importers / exporters / traders</t>
        </is>
      </c>
      <c r="D501" t="inlineStr">
        <is>
          <t>Importers &amp; Exporters</t>
        </is>
      </c>
      <c r="E501" t="inlineStr">
        <is>
          <t>B2B</t>
        </is>
      </c>
      <c r="F501" t="inlineStr">
        <is>
          <t>Transactional (B2B)</t>
        </is>
      </c>
      <c r="G501" t="inlineStr">
        <is>
          <t>BOFU</t>
        </is>
      </c>
      <c r="H501" t="inlineStr">
        <is>
          <t>UAE</t>
        </is>
      </c>
      <c r="I501" t="inlineStr">
        <is>
          <t>Importers &amp; Exporters landing page</t>
        </is>
      </c>
      <c r="J501" t="inlineStr">
        <is>
          <t>Landing</t>
        </is>
      </c>
      <c r="K501">
        <f>IFERROR(VLOOKUP($A501,'Semrush Import'!$A:$D,2,FALSE),"")</f>
        <v/>
      </c>
      <c r="L501">
        <f>IFERROR(VLOOKUP($A501,'Semrush Import'!$A:$D,3,FALSE),"")</f>
        <v/>
      </c>
      <c r="M501">
        <f>IFERROR(VLOOKUP($A501,'Semrush Import'!$A:$D,4,FALSE),"")</f>
        <v/>
      </c>
      <c r="N501">
        <f>IFERROR(VLOOKUP($A501,'KP Import'!$A:$B,2,FALSE),"")</f>
        <v/>
      </c>
      <c r="O501">
        <f>IF(K501="","",ROUND(K501/(L501+10),1))</f>
        <v/>
      </c>
      <c r="P501">
        <f>IF(O501="","",IF(O501&gt;=20,"A - Go first",IF(O501&gt;=5,"B - Next","C - Later")))</f>
        <v/>
      </c>
      <c r="Q501" t="inlineStr">
        <is>
          <t>To research</t>
        </is>
      </c>
      <c r="R501" t="inlineStr"/>
    </row>
    <row r="502">
      <c r="A502" t="inlineStr">
        <is>
          <t>rice traders in dubai</t>
        </is>
      </c>
      <c r="B502" t="inlineStr">
        <is>
          <t>Phase 1 - B2B now</t>
        </is>
      </c>
      <c r="C502" t="inlineStr">
        <is>
          <t>Importers / exporters / traders</t>
        </is>
      </c>
      <c r="D502" t="inlineStr">
        <is>
          <t>Importers &amp; Exporters</t>
        </is>
      </c>
      <c r="E502" t="inlineStr">
        <is>
          <t>B2B</t>
        </is>
      </c>
      <c r="F502" t="inlineStr">
        <is>
          <t>Transactional (B2B)</t>
        </is>
      </c>
      <c r="G502" t="inlineStr">
        <is>
          <t>BOFU</t>
        </is>
      </c>
      <c r="H502" t="inlineStr">
        <is>
          <t>Dubai</t>
        </is>
      </c>
      <c r="I502" t="inlineStr">
        <is>
          <t>Importers &amp; Exporters landing page</t>
        </is>
      </c>
      <c r="J502" t="inlineStr">
        <is>
          <t>Landing</t>
        </is>
      </c>
      <c r="K502">
        <f>IFERROR(VLOOKUP($A502,'Semrush Import'!$A:$D,2,FALSE),"")</f>
        <v/>
      </c>
      <c r="L502">
        <f>IFERROR(VLOOKUP($A502,'Semrush Import'!$A:$D,3,FALSE),"")</f>
        <v/>
      </c>
      <c r="M502">
        <f>IFERROR(VLOOKUP($A502,'Semrush Import'!$A:$D,4,FALSE),"")</f>
        <v/>
      </c>
      <c r="N502">
        <f>IFERROR(VLOOKUP($A502,'KP Import'!$A:$B,2,FALSE),"")</f>
        <v/>
      </c>
      <c r="O502">
        <f>IF(K502="","",ROUND(K502/(L502+10),1))</f>
        <v/>
      </c>
      <c r="P502">
        <f>IF(O502="","",IF(O502&gt;=20,"A - Go first",IF(O502&gt;=5,"B - Next","C - Later")))</f>
        <v/>
      </c>
      <c r="Q502" t="inlineStr">
        <is>
          <t>To research</t>
        </is>
      </c>
      <c r="R502" t="inlineStr"/>
    </row>
    <row r="503">
      <c r="A503" t="inlineStr">
        <is>
          <t>rice sourcing company dubai</t>
        </is>
      </c>
      <c r="B503" t="inlineStr">
        <is>
          <t>Phase 1 - B2B now</t>
        </is>
      </c>
      <c r="C503" t="inlineStr">
        <is>
          <t>Importers / exporters / traders</t>
        </is>
      </c>
      <c r="D503" t="inlineStr">
        <is>
          <t>Sourcing</t>
        </is>
      </c>
      <c r="E503" t="inlineStr">
        <is>
          <t>B2B</t>
        </is>
      </c>
      <c r="F503" t="inlineStr">
        <is>
          <t>Transactional (B2B)</t>
        </is>
      </c>
      <c r="G503" t="inlineStr">
        <is>
          <t>BOFU</t>
        </is>
      </c>
      <c r="H503" t="inlineStr">
        <is>
          <t>Dubai</t>
        </is>
      </c>
      <c r="I503" t="inlineStr">
        <is>
          <t>Importers &amp; Exporters landing page</t>
        </is>
      </c>
      <c r="J503" t="inlineStr">
        <is>
          <t>Landing</t>
        </is>
      </c>
      <c r="K503">
        <f>IFERROR(VLOOKUP($A503,'Semrush Import'!$A:$D,2,FALSE),"")</f>
        <v/>
      </c>
      <c r="L503">
        <f>IFERROR(VLOOKUP($A503,'Semrush Import'!$A:$D,3,FALSE),"")</f>
        <v/>
      </c>
      <c r="M503">
        <f>IFERROR(VLOOKUP($A503,'Semrush Import'!$A:$D,4,FALSE),"")</f>
        <v/>
      </c>
      <c r="N503">
        <f>IFERROR(VLOOKUP($A503,'KP Import'!$A:$B,2,FALSE),"")</f>
        <v/>
      </c>
      <c r="O503">
        <f>IF(K503="","",ROUND(K503/(L503+10),1))</f>
        <v/>
      </c>
      <c r="P503">
        <f>IF(O503="","",IF(O503&gt;=20,"A - Go first",IF(O503&gt;=5,"B - Next","C - Later")))</f>
        <v/>
      </c>
      <c r="Q503" t="inlineStr">
        <is>
          <t>To research</t>
        </is>
      </c>
      <c r="R503" t="inlineStr"/>
    </row>
    <row r="504">
      <c r="A504" t="inlineStr">
        <is>
          <t>rice procurement uae</t>
        </is>
      </c>
      <c r="B504" t="inlineStr">
        <is>
          <t>Phase 1 - B2B now</t>
        </is>
      </c>
      <c r="C504" t="inlineStr">
        <is>
          <t>Importers / exporters / traders</t>
        </is>
      </c>
      <c r="D504" t="inlineStr">
        <is>
          <t>Sourcing</t>
        </is>
      </c>
      <c r="E504" t="inlineStr">
        <is>
          <t>B2B</t>
        </is>
      </c>
      <c r="F504" t="inlineStr">
        <is>
          <t>Transactional (B2B)</t>
        </is>
      </c>
      <c r="G504" t="inlineStr">
        <is>
          <t>BOFU</t>
        </is>
      </c>
      <c r="H504" t="inlineStr">
        <is>
          <t>UAE</t>
        </is>
      </c>
      <c r="I504" t="inlineStr">
        <is>
          <t>Importers &amp; Exporters landing page</t>
        </is>
      </c>
      <c r="J504" t="inlineStr">
        <is>
          <t>Landing</t>
        </is>
      </c>
      <c r="K504">
        <f>IFERROR(VLOOKUP($A504,'Semrush Import'!$A:$D,2,FALSE),"")</f>
        <v/>
      </c>
      <c r="L504">
        <f>IFERROR(VLOOKUP($A504,'Semrush Import'!$A:$D,3,FALSE),"")</f>
        <v/>
      </c>
      <c r="M504">
        <f>IFERROR(VLOOKUP($A504,'Semrush Import'!$A:$D,4,FALSE),"")</f>
        <v/>
      </c>
      <c r="N504">
        <f>IFERROR(VLOOKUP($A504,'KP Import'!$A:$B,2,FALSE),"")</f>
        <v/>
      </c>
      <c r="O504">
        <f>IF(K504="","",ROUND(K504/(L504+10),1))</f>
        <v/>
      </c>
      <c r="P504">
        <f>IF(O504="","",IF(O504&gt;=20,"A - Go first",IF(O504&gt;=5,"B - Next","C - Later")))</f>
        <v/>
      </c>
      <c r="Q504" t="inlineStr">
        <is>
          <t>To research</t>
        </is>
      </c>
      <c r="R504" t="inlineStr"/>
    </row>
    <row r="505">
      <c r="A505" t="inlineStr">
        <is>
          <t>rice sourcing agent uae</t>
        </is>
      </c>
      <c r="B505" t="inlineStr">
        <is>
          <t>Phase 1 - B2B now</t>
        </is>
      </c>
      <c r="C505" t="inlineStr">
        <is>
          <t>Importers / exporters / traders</t>
        </is>
      </c>
      <c r="D505" t="inlineStr">
        <is>
          <t>Sourcing</t>
        </is>
      </c>
      <c r="E505" t="inlineStr">
        <is>
          <t>B2B</t>
        </is>
      </c>
      <c r="F505" t="inlineStr">
        <is>
          <t>Transactional (B2B)</t>
        </is>
      </c>
      <c r="G505" t="inlineStr">
        <is>
          <t>BOFU</t>
        </is>
      </c>
      <c r="H505" t="inlineStr">
        <is>
          <t>UAE</t>
        </is>
      </c>
      <c r="I505" t="inlineStr">
        <is>
          <t>Importers &amp; Exporters landing page</t>
        </is>
      </c>
      <c r="J505" t="inlineStr">
        <is>
          <t>Landing</t>
        </is>
      </c>
      <c r="K505">
        <f>IFERROR(VLOOKUP($A505,'Semrush Import'!$A:$D,2,FALSE),"")</f>
        <v/>
      </c>
      <c r="L505">
        <f>IFERROR(VLOOKUP($A505,'Semrush Import'!$A:$D,3,FALSE),"")</f>
        <v/>
      </c>
      <c r="M505">
        <f>IFERROR(VLOOKUP($A505,'Semrush Import'!$A:$D,4,FALSE),"")</f>
        <v/>
      </c>
      <c r="N505">
        <f>IFERROR(VLOOKUP($A505,'KP Import'!$A:$B,2,FALSE),"")</f>
        <v/>
      </c>
      <c r="O505">
        <f>IF(K505="","",ROUND(K505/(L505+10),1))</f>
        <v/>
      </c>
      <c r="P505">
        <f>IF(O505="","",IF(O505&gt;=20,"A - Go first",IF(O505&gt;=5,"B - Next","C - Later")))</f>
        <v/>
      </c>
      <c r="Q505" t="inlineStr">
        <is>
          <t>To research</t>
        </is>
      </c>
      <c r="R505" t="inlineStr"/>
    </row>
    <row r="506">
      <c r="A506" t="inlineStr">
        <is>
          <t>rice broker dubai</t>
        </is>
      </c>
      <c r="B506" t="inlineStr">
        <is>
          <t>Phase 1 - B2B now</t>
        </is>
      </c>
      <c r="C506" t="inlineStr">
        <is>
          <t>Importers / exporters / traders</t>
        </is>
      </c>
      <c r="D506" t="inlineStr">
        <is>
          <t>Sourcing</t>
        </is>
      </c>
      <c r="E506" t="inlineStr">
        <is>
          <t>B2B</t>
        </is>
      </c>
      <c r="F506" t="inlineStr">
        <is>
          <t>Transactional (B2B)</t>
        </is>
      </c>
      <c r="G506" t="inlineStr">
        <is>
          <t>BOFU</t>
        </is>
      </c>
      <c r="H506" t="inlineStr">
        <is>
          <t>Dubai</t>
        </is>
      </c>
      <c r="I506" t="inlineStr">
        <is>
          <t>Importers &amp; Exporters landing page</t>
        </is>
      </c>
      <c r="J506" t="inlineStr">
        <is>
          <t>Landing</t>
        </is>
      </c>
      <c r="K506">
        <f>IFERROR(VLOOKUP($A506,'Semrush Import'!$A:$D,2,FALSE),"")</f>
        <v/>
      </c>
      <c r="L506">
        <f>IFERROR(VLOOKUP($A506,'Semrush Import'!$A:$D,3,FALSE),"")</f>
        <v/>
      </c>
      <c r="M506">
        <f>IFERROR(VLOOKUP($A506,'Semrush Import'!$A:$D,4,FALSE),"")</f>
        <v/>
      </c>
      <c r="N506">
        <f>IFERROR(VLOOKUP($A506,'KP Import'!$A:$B,2,FALSE),"")</f>
        <v/>
      </c>
      <c r="O506">
        <f>IF(K506="","",ROUND(K506/(L506+10),1))</f>
        <v/>
      </c>
      <c r="P506">
        <f>IF(O506="","",IF(O506&gt;=20,"A - Go first",IF(O506&gt;=5,"B - Next","C - Later")))</f>
        <v/>
      </c>
      <c r="Q506" t="inlineStr">
        <is>
          <t>To research</t>
        </is>
      </c>
      <c r="R506" t="inlineStr"/>
    </row>
    <row r="507">
      <c r="A507" t="inlineStr">
        <is>
          <t>rice buyers in uae</t>
        </is>
      </c>
      <c r="B507" t="inlineStr">
        <is>
          <t>Phase 1 - B2B now</t>
        </is>
      </c>
      <c r="C507" t="inlineStr">
        <is>
          <t>Importers / exporters / traders</t>
        </is>
      </c>
      <c r="D507" t="inlineStr">
        <is>
          <t>Buyers</t>
        </is>
      </c>
      <c r="E507" t="inlineStr">
        <is>
          <t>B2B</t>
        </is>
      </c>
      <c r="F507" t="inlineStr">
        <is>
          <t>Transactional (B2B)</t>
        </is>
      </c>
      <c r="G507" t="inlineStr">
        <is>
          <t>BOFU</t>
        </is>
      </c>
      <c r="H507" t="inlineStr">
        <is>
          <t>UAE</t>
        </is>
      </c>
      <c r="I507" t="inlineStr">
        <is>
          <t>Importers &amp; Exporters landing page</t>
        </is>
      </c>
      <c r="J507" t="inlineStr">
        <is>
          <t>Landing</t>
        </is>
      </c>
      <c r="K507">
        <f>IFERROR(VLOOKUP($A507,'Semrush Import'!$A:$D,2,FALSE),"")</f>
        <v/>
      </c>
      <c r="L507">
        <f>IFERROR(VLOOKUP($A507,'Semrush Import'!$A:$D,3,FALSE),"")</f>
        <v/>
      </c>
      <c r="M507">
        <f>IFERROR(VLOOKUP($A507,'Semrush Import'!$A:$D,4,FALSE),"")</f>
        <v/>
      </c>
      <c r="N507">
        <f>IFERROR(VLOOKUP($A507,'KP Import'!$A:$B,2,FALSE),"")</f>
        <v/>
      </c>
      <c r="O507">
        <f>IF(K507="","",ROUND(K507/(L507+10),1))</f>
        <v/>
      </c>
      <c r="P507">
        <f>IF(O507="","",IF(O507&gt;=20,"A - Go first",IF(O507&gt;=5,"B - Next","C - Later")))</f>
        <v/>
      </c>
      <c r="Q507" t="inlineStr">
        <is>
          <t>To research</t>
        </is>
      </c>
      <c r="R507" t="inlineStr"/>
    </row>
    <row r="508">
      <c r="A508" t="inlineStr">
        <is>
          <t>rice buyers in dubai</t>
        </is>
      </c>
      <c r="B508" t="inlineStr">
        <is>
          <t>Phase 1 - B2B now</t>
        </is>
      </c>
      <c r="C508" t="inlineStr">
        <is>
          <t>Importers / exporters / traders</t>
        </is>
      </c>
      <c r="D508" t="inlineStr">
        <is>
          <t>Buyers</t>
        </is>
      </c>
      <c r="E508" t="inlineStr">
        <is>
          <t>B2B</t>
        </is>
      </c>
      <c r="F508" t="inlineStr">
        <is>
          <t>Transactional (B2B)</t>
        </is>
      </c>
      <c r="G508" t="inlineStr">
        <is>
          <t>BOFU</t>
        </is>
      </c>
      <c r="H508" t="inlineStr">
        <is>
          <t>Dubai</t>
        </is>
      </c>
      <c r="I508" t="inlineStr">
        <is>
          <t>Importers &amp; Exporters landing page</t>
        </is>
      </c>
      <c r="J508" t="inlineStr">
        <is>
          <t>Landing</t>
        </is>
      </c>
      <c r="K508">
        <f>IFERROR(VLOOKUP($A508,'Semrush Import'!$A:$D,2,FALSE),"")</f>
        <v/>
      </c>
      <c r="L508">
        <f>IFERROR(VLOOKUP($A508,'Semrush Import'!$A:$D,3,FALSE),"")</f>
        <v/>
      </c>
      <c r="M508">
        <f>IFERROR(VLOOKUP($A508,'Semrush Import'!$A:$D,4,FALSE),"")</f>
        <v/>
      </c>
      <c r="N508">
        <f>IFERROR(VLOOKUP($A508,'KP Import'!$A:$B,2,FALSE),"")</f>
        <v/>
      </c>
      <c r="O508">
        <f>IF(K508="","",ROUND(K508/(L508+10),1))</f>
        <v/>
      </c>
      <c r="P508">
        <f>IF(O508="","",IF(O508&gt;=20,"A - Go first",IF(O508&gt;=5,"B - Next","C - Later")))</f>
        <v/>
      </c>
      <c r="Q508" t="inlineStr">
        <is>
          <t>To research</t>
        </is>
      </c>
      <c r="R508" t="inlineStr"/>
    </row>
    <row r="509">
      <c r="A509" t="inlineStr">
        <is>
          <t>rice distributors in uae</t>
        </is>
      </c>
      <c r="B509" t="inlineStr">
        <is>
          <t>Phase 1 - B2B now</t>
        </is>
      </c>
      <c r="C509" t="inlineStr">
        <is>
          <t>Importers / exporters / traders</t>
        </is>
      </c>
      <c r="D509" t="inlineStr">
        <is>
          <t>Distribution</t>
        </is>
      </c>
      <c r="E509" t="inlineStr">
        <is>
          <t>B2B</t>
        </is>
      </c>
      <c r="F509" t="inlineStr">
        <is>
          <t>Transactional (B2B)</t>
        </is>
      </c>
      <c r="G509" t="inlineStr">
        <is>
          <t>BOFU</t>
        </is>
      </c>
      <c r="H509" t="inlineStr">
        <is>
          <t>UAE</t>
        </is>
      </c>
      <c r="I509" t="inlineStr">
        <is>
          <t>Importers &amp; Exporters landing page</t>
        </is>
      </c>
      <c r="J509" t="inlineStr">
        <is>
          <t>Landing</t>
        </is>
      </c>
      <c r="K509">
        <f>IFERROR(VLOOKUP($A509,'Semrush Import'!$A:$D,2,FALSE),"")</f>
        <v/>
      </c>
      <c r="L509">
        <f>IFERROR(VLOOKUP($A509,'Semrush Import'!$A:$D,3,FALSE),"")</f>
        <v/>
      </c>
      <c r="M509">
        <f>IFERROR(VLOOKUP($A509,'Semrush Import'!$A:$D,4,FALSE),"")</f>
        <v/>
      </c>
      <c r="N509">
        <f>IFERROR(VLOOKUP($A509,'KP Import'!$A:$B,2,FALSE),"")</f>
        <v/>
      </c>
      <c r="O509">
        <f>IF(K509="","",ROUND(K509/(L509+10),1))</f>
        <v/>
      </c>
      <c r="P509">
        <f>IF(O509="","",IF(O509&gt;=20,"A - Go first",IF(O509&gt;=5,"B - Next","C - Later")))</f>
        <v/>
      </c>
      <c r="Q509" t="inlineStr">
        <is>
          <t>To research</t>
        </is>
      </c>
      <c r="R509" t="inlineStr"/>
    </row>
    <row r="510">
      <c r="A510" t="inlineStr">
        <is>
          <t>rice stockist dubai</t>
        </is>
      </c>
      <c r="B510" t="inlineStr">
        <is>
          <t>Phase 1 - B2B now</t>
        </is>
      </c>
      <c r="C510" t="inlineStr">
        <is>
          <t>Importers / exporters / traders</t>
        </is>
      </c>
      <c r="D510" t="inlineStr">
        <is>
          <t>Distribution</t>
        </is>
      </c>
      <c r="E510" t="inlineStr">
        <is>
          <t>B2B</t>
        </is>
      </c>
      <c r="F510" t="inlineStr">
        <is>
          <t>Transactional (B2B)</t>
        </is>
      </c>
      <c r="G510" t="inlineStr">
        <is>
          <t>BOFU</t>
        </is>
      </c>
      <c r="H510" t="inlineStr">
        <is>
          <t>Dubai</t>
        </is>
      </c>
      <c r="I510" t="inlineStr">
        <is>
          <t>Importers &amp; Exporters landing page</t>
        </is>
      </c>
      <c r="J510" t="inlineStr">
        <is>
          <t>Landing</t>
        </is>
      </c>
      <c r="K510">
        <f>IFERROR(VLOOKUP($A510,'Semrush Import'!$A:$D,2,FALSE),"")</f>
        <v/>
      </c>
      <c r="L510">
        <f>IFERROR(VLOOKUP($A510,'Semrush Import'!$A:$D,3,FALSE),"")</f>
        <v/>
      </c>
      <c r="M510">
        <f>IFERROR(VLOOKUP($A510,'Semrush Import'!$A:$D,4,FALSE),"")</f>
        <v/>
      </c>
      <c r="N510">
        <f>IFERROR(VLOOKUP($A510,'KP Import'!$A:$B,2,FALSE),"")</f>
        <v/>
      </c>
      <c r="O510">
        <f>IF(K510="","",ROUND(K510/(L510+10),1))</f>
        <v/>
      </c>
      <c r="P510">
        <f>IF(O510="","",IF(O510&gt;=20,"A - Go first",IF(O510&gt;=5,"B - Next","C - Later")))</f>
        <v/>
      </c>
      <c r="Q510" t="inlineStr">
        <is>
          <t>To research</t>
        </is>
      </c>
      <c r="R510" t="inlineStr"/>
    </row>
    <row r="511">
      <c r="A511" t="inlineStr">
        <is>
          <t>rice fob price</t>
        </is>
      </c>
      <c r="B511" t="inlineStr">
        <is>
          <t>Phase 1 - B2B now</t>
        </is>
      </c>
      <c r="C511" t="inlineStr">
        <is>
          <t>Importers / exporters / traders</t>
        </is>
      </c>
      <c r="D511" t="inlineStr">
        <is>
          <t>Trade terms</t>
        </is>
      </c>
      <c r="E511" t="inlineStr">
        <is>
          <t>B2B</t>
        </is>
      </c>
      <c r="F511" t="inlineStr">
        <is>
          <t>Transactional (B2B)</t>
        </is>
      </c>
      <c r="G511" t="inlineStr">
        <is>
          <t>MOFU</t>
        </is>
      </c>
      <c r="H511" t="inlineStr">
        <is>
          <t>Global/International</t>
        </is>
      </c>
      <c r="I511" t="inlineStr">
        <is>
          <t>Trade terms &amp; pricing page</t>
        </is>
      </c>
      <c r="J511" t="inlineStr">
        <is>
          <t>Landing</t>
        </is>
      </c>
      <c r="K511">
        <f>IFERROR(VLOOKUP($A511,'Semrush Import'!$A:$D,2,FALSE),"")</f>
        <v/>
      </c>
      <c r="L511">
        <f>IFERROR(VLOOKUP($A511,'Semrush Import'!$A:$D,3,FALSE),"")</f>
        <v/>
      </c>
      <c r="M511">
        <f>IFERROR(VLOOKUP($A511,'Semrush Import'!$A:$D,4,FALSE),"")</f>
        <v/>
      </c>
      <c r="N511">
        <f>IFERROR(VLOOKUP($A511,'KP Import'!$A:$B,2,FALSE),"")</f>
        <v/>
      </c>
      <c r="O511">
        <f>IF(K511="","",ROUND(K511/(L511+10),1))</f>
        <v/>
      </c>
      <c r="P511">
        <f>IF(O511="","",IF(O511&gt;=20,"A - Go first",IF(O511&gt;=5,"B - Next","C - Later")))</f>
        <v/>
      </c>
      <c r="Q511" t="inlineStr">
        <is>
          <t>To research</t>
        </is>
      </c>
      <c r="R511" t="inlineStr"/>
    </row>
    <row r="512">
      <c r="A512" t="inlineStr">
        <is>
          <t>rice cif dubai</t>
        </is>
      </c>
      <c r="B512" t="inlineStr">
        <is>
          <t>Phase 1 - B2B now</t>
        </is>
      </c>
      <c r="C512" t="inlineStr">
        <is>
          <t>Importers / exporters / traders</t>
        </is>
      </c>
      <c r="D512" t="inlineStr">
        <is>
          <t>Trade terms</t>
        </is>
      </c>
      <c r="E512" t="inlineStr">
        <is>
          <t>B2B</t>
        </is>
      </c>
      <c r="F512" t="inlineStr">
        <is>
          <t>Transactional (B2B)</t>
        </is>
      </c>
      <c r="G512" t="inlineStr">
        <is>
          <t>MOFU</t>
        </is>
      </c>
      <c r="H512" t="inlineStr">
        <is>
          <t>Dubai</t>
        </is>
      </c>
      <c r="I512" t="inlineStr">
        <is>
          <t>Trade terms &amp; pricing page</t>
        </is>
      </c>
      <c r="J512" t="inlineStr">
        <is>
          <t>Landing</t>
        </is>
      </c>
      <c r="K512">
        <f>IFERROR(VLOOKUP($A512,'Semrush Import'!$A:$D,2,FALSE),"")</f>
        <v/>
      </c>
      <c r="L512">
        <f>IFERROR(VLOOKUP($A512,'Semrush Import'!$A:$D,3,FALSE),"")</f>
        <v/>
      </c>
      <c r="M512">
        <f>IFERROR(VLOOKUP($A512,'Semrush Import'!$A:$D,4,FALSE),"")</f>
        <v/>
      </c>
      <c r="N512">
        <f>IFERROR(VLOOKUP($A512,'KP Import'!$A:$B,2,FALSE),"")</f>
        <v/>
      </c>
      <c r="O512">
        <f>IF(K512="","",ROUND(K512/(L512+10),1))</f>
        <v/>
      </c>
      <c r="P512">
        <f>IF(O512="","",IF(O512&gt;=20,"A - Go first",IF(O512&gt;=5,"B - Next","C - Later")))</f>
        <v/>
      </c>
      <c r="Q512" t="inlineStr">
        <is>
          <t>To research</t>
        </is>
      </c>
      <c r="R512" t="inlineStr"/>
    </row>
    <row r="513">
      <c r="A513" t="inlineStr">
        <is>
          <t>rice cif jebel ali</t>
        </is>
      </c>
      <c r="B513" t="inlineStr">
        <is>
          <t>Phase 1 - B2B now</t>
        </is>
      </c>
      <c r="C513" t="inlineStr">
        <is>
          <t>Importers / exporters / traders</t>
        </is>
      </c>
      <c r="D513" t="inlineStr">
        <is>
          <t>Trade terms</t>
        </is>
      </c>
      <c r="E513" t="inlineStr">
        <is>
          <t>B2B</t>
        </is>
      </c>
      <c r="F513" t="inlineStr">
        <is>
          <t>Transactional (B2B)</t>
        </is>
      </c>
      <c r="G513" t="inlineStr">
        <is>
          <t>MOFU</t>
        </is>
      </c>
      <c r="H513" t="inlineStr">
        <is>
          <t>Dubai</t>
        </is>
      </c>
      <c r="I513" t="inlineStr">
        <is>
          <t>Trade terms &amp; pricing page</t>
        </is>
      </c>
      <c r="J513" t="inlineStr">
        <is>
          <t>Landing</t>
        </is>
      </c>
      <c r="K513">
        <f>IFERROR(VLOOKUP($A513,'Semrush Import'!$A:$D,2,FALSE),"")</f>
        <v/>
      </c>
      <c r="L513">
        <f>IFERROR(VLOOKUP($A513,'Semrush Import'!$A:$D,3,FALSE),"")</f>
        <v/>
      </c>
      <c r="M513">
        <f>IFERROR(VLOOKUP($A513,'Semrush Import'!$A:$D,4,FALSE),"")</f>
        <v/>
      </c>
      <c r="N513">
        <f>IFERROR(VLOOKUP($A513,'KP Import'!$A:$B,2,FALSE),"")</f>
        <v/>
      </c>
      <c r="O513">
        <f>IF(K513="","",ROUND(K513/(L513+10),1))</f>
        <v/>
      </c>
      <c r="P513">
        <f>IF(O513="","",IF(O513&gt;=20,"A - Go first",IF(O513&gt;=5,"B - Next","C - Later")))</f>
        <v/>
      </c>
      <c r="Q513" t="inlineStr">
        <is>
          <t>To research</t>
        </is>
      </c>
      <c r="R513" t="inlineStr"/>
    </row>
    <row r="514">
      <c r="A514" t="inlineStr">
        <is>
          <t>basmati rice fob price</t>
        </is>
      </c>
      <c r="B514" t="inlineStr">
        <is>
          <t>Phase 1 - B2B now</t>
        </is>
      </c>
      <c r="C514" t="inlineStr">
        <is>
          <t>Importers / exporters / traders</t>
        </is>
      </c>
      <c r="D514" t="inlineStr">
        <is>
          <t>Trade terms</t>
        </is>
      </c>
      <c r="E514" t="inlineStr">
        <is>
          <t>B2B</t>
        </is>
      </c>
      <c r="F514" t="inlineStr">
        <is>
          <t>Transactional (B2B)</t>
        </is>
      </c>
      <c r="G514" t="inlineStr">
        <is>
          <t>MOFU</t>
        </is>
      </c>
      <c r="H514" t="inlineStr">
        <is>
          <t>Global/International</t>
        </is>
      </c>
      <c r="I514" t="inlineStr">
        <is>
          <t>Trade terms &amp; pricing page</t>
        </is>
      </c>
      <c r="J514" t="inlineStr">
        <is>
          <t>Landing</t>
        </is>
      </c>
      <c r="K514">
        <f>IFERROR(VLOOKUP($A514,'Semrush Import'!$A:$D,2,FALSE),"")</f>
        <v/>
      </c>
      <c r="L514">
        <f>IFERROR(VLOOKUP($A514,'Semrush Import'!$A:$D,3,FALSE),"")</f>
        <v/>
      </c>
      <c r="M514">
        <f>IFERROR(VLOOKUP($A514,'Semrush Import'!$A:$D,4,FALSE),"")</f>
        <v/>
      </c>
      <c r="N514">
        <f>IFERROR(VLOOKUP($A514,'KP Import'!$A:$B,2,FALSE),"")</f>
        <v/>
      </c>
      <c r="O514">
        <f>IF(K514="","",ROUND(K514/(L514+10),1))</f>
        <v/>
      </c>
      <c r="P514">
        <f>IF(O514="","",IF(O514&gt;=20,"A - Go first",IF(O514&gt;=5,"B - Next","C - Later")))</f>
        <v/>
      </c>
      <c r="Q514" t="inlineStr">
        <is>
          <t>To research</t>
        </is>
      </c>
      <c r="R514" t="inlineStr"/>
    </row>
    <row r="515">
      <c r="A515" t="inlineStr">
        <is>
          <t>rice price per ton</t>
        </is>
      </c>
      <c r="B515" t="inlineStr">
        <is>
          <t>Phase 1 - B2B now</t>
        </is>
      </c>
      <c r="C515" t="inlineStr">
        <is>
          <t>Importers / exporters / traders</t>
        </is>
      </c>
      <c r="D515" t="inlineStr">
        <is>
          <t>Trade terms</t>
        </is>
      </c>
      <c r="E515" t="inlineStr">
        <is>
          <t>B2B</t>
        </is>
      </c>
      <c r="F515" t="inlineStr">
        <is>
          <t>Transactional (B2B)</t>
        </is>
      </c>
      <c r="G515" t="inlineStr">
        <is>
          <t>MOFU</t>
        </is>
      </c>
      <c r="H515" t="inlineStr">
        <is>
          <t>Global/International</t>
        </is>
      </c>
      <c r="I515" t="inlineStr">
        <is>
          <t>Trade terms &amp; pricing page</t>
        </is>
      </c>
      <c r="J515" t="inlineStr">
        <is>
          <t>Landing</t>
        </is>
      </c>
      <c r="K515">
        <f>IFERROR(VLOOKUP($A515,'Semrush Import'!$A:$D,2,FALSE),"")</f>
        <v/>
      </c>
      <c r="L515">
        <f>IFERROR(VLOOKUP($A515,'Semrush Import'!$A:$D,3,FALSE),"")</f>
        <v/>
      </c>
      <c r="M515">
        <f>IFERROR(VLOOKUP($A515,'Semrush Import'!$A:$D,4,FALSE),"")</f>
        <v/>
      </c>
      <c r="N515">
        <f>IFERROR(VLOOKUP($A515,'KP Import'!$A:$B,2,FALSE),"")</f>
        <v/>
      </c>
      <c r="O515">
        <f>IF(K515="","",ROUND(K515/(L515+10),1))</f>
        <v/>
      </c>
      <c r="P515">
        <f>IF(O515="","",IF(O515&gt;=20,"A - Go first",IF(O515&gt;=5,"B - Next","C - Later")))</f>
        <v/>
      </c>
      <c r="Q515" t="inlineStr">
        <is>
          <t>To research</t>
        </is>
      </c>
      <c r="R515" t="inlineStr"/>
    </row>
    <row r="516">
      <c r="A516" t="inlineStr">
        <is>
          <t>rice price per ton in dubai</t>
        </is>
      </c>
      <c r="B516" t="inlineStr">
        <is>
          <t>Phase 1 - B2B now</t>
        </is>
      </c>
      <c r="C516" t="inlineStr">
        <is>
          <t>Importers / exporters / traders</t>
        </is>
      </c>
      <c r="D516" t="inlineStr">
        <is>
          <t>Trade terms</t>
        </is>
      </c>
      <c r="E516" t="inlineStr">
        <is>
          <t>B2B</t>
        </is>
      </c>
      <c r="F516" t="inlineStr">
        <is>
          <t>Transactional (B2B)</t>
        </is>
      </c>
      <c r="G516" t="inlineStr">
        <is>
          <t>MOFU</t>
        </is>
      </c>
      <c r="H516" t="inlineStr">
        <is>
          <t>Dubai</t>
        </is>
      </c>
      <c r="I516" t="inlineStr">
        <is>
          <t>Trade terms &amp; pricing page</t>
        </is>
      </c>
      <c r="J516" t="inlineStr">
        <is>
          <t>Landing</t>
        </is>
      </c>
      <c r="K516">
        <f>IFERROR(VLOOKUP($A516,'Semrush Import'!$A:$D,2,FALSE),"")</f>
        <v/>
      </c>
      <c r="L516">
        <f>IFERROR(VLOOKUP($A516,'Semrush Import'!$A:$D,3,FALSE),"")</f>
        <v/>
      </c>
      <c r="M516">
        <f>IFERROR(VLOOKUP($A516,'Semrush Import'!$A:$D,4,FALSE),"")</f>
        <v/>
      </c>
      <c r="N516">
        <f>IFERROR(VLOOKUP($A516,'KP Import'!$A:$B,2,FALSE),"")</f>
        <v/>
      </c>
      <c r="O516">
        <f>IF(K516="","",ROUND(K516/(L516+10),1))</f>
        <v/>
      </c>
      <c r="P516">
        <f>IF(O516="","",IF(O516&gt;=20,"A - Go first",IF(O516&gt;=5,"B - Next","C - Later")))</f>
        <v/>
      </c>
      <c r="Q516" t="inlineStr">
        <is>
          <t>To research</t>
        </is>
      </c>
      <c r="R516" t="inlineStr"/>
    </row>
    <row r="517">
      <c r="A517" t="inlineStr">
        <is>
          <t>basmati rice price per ton</t>
        </is>
      </c>
      <c r="B517" t="inlineStr">
        <is>
          <t>Phase 1 - B2B now</t>
        </is>
      </c>
      <c r="C517" t="inlineStr">
        <is>
          <t>Importers / exporters / traders</t>
        </is>
      </c>
      <c r="D517" t="inlineStr">
        <is>
          <t>Trade terms</t>
        </is>
      </c>
      <c r="E517" t="inlineStr">
        <is>
          <t>B2B</t>
        </is>
      </c>
      <c r="F517" t="inlineStr">
        <is>
          <t>Transactional (B2B)</t>
        </is>
      </c>
      <c r="G517" t="inlineStr">
        <is>
          <t>MOFU</t>
        </is>
      </c>
      <c r="H517" t="inlineStr">
        <is>
          <t>Global/International</t>
        </is>
      </c>
      <c r="I517" t="inlineStr">
        <is>
          <t>Trade terms &amp; pricing page</t>
        </is>
      </c>
      <c r="J517" t="inlineStr">
        <is>
          <t>Landing</t>
        </is>
      </c>
      <c r="K517">
        <f>IFERROR(VLOOKUP($A517,'Semrush Import'!$A:$D,2,FALSE),"")</f>
        <v/>
      </c>
      <c r="L517">
        <f>IFERROR(VLOOKUP($A517,'Semrush Import'!$A:$D,3,FALSE),"")</f>
        <v/>
      </c>
      <c r="M517">
        <f>IFERROR(VLOOKUP($A517,'Semrush Import'!$A:$D,4,FALSE),"")</f>
        <v/>
      </c>
      <c r="N517">
        <f>IFERROR(VLOOKUP($A517,'KP Import'!$A:$B,2,FALSE),"")</f>
        <v/>
      </c>
      <c r="O517">
        <f>IF(K517="","",ROUND(K517/(L517+10),1))</f>
        <v/>
      </c>
      <c r="P517">
        <f>IF(O517="","",IF(O517&gt;=20,"A - Go first",IF(O517&gt;=5,"B - Next","C - Later")))</f>
        <v/>
      </c>
      <c r="Q517" t="inlineStr">
        <is>
          <t>To research</t>
        </is>
      </c>
      <c r="R517" t="inlineStr"/>
    </row>
    <row r="518">
      <c r="A518" t="inlineStr">
        <is>
          <t>1121 basmati rice price per ton</t>
        </is>
      </c>
      <c r="B518" t="inlineStr">
        <is>
          <t>Phase 1 - B2B now</t>
        </is>
      </c>
      <c r="C518" t="inlineStr">
        <is>
          <t>Importers / exporters / traders</t>
        </is>
      </c>
      <c r="D518" t="inlineStr">
        <is>
          <t>Trade terms</t>
        </is>
      </c>
      <c r="E518" t="inlineStr">
        <is>
          <t>B2B</t>
        </is>
      </c>
      <c r="F518" t="inlineStr">
        <is>
          <t>Transactional (B2B)</t>
        </is>
      </c>
      <c r="G518" t="inlineStr">
        <is>
          <t>MOFU</t>
        </is>
      </c>
      <c r="H518" t="inlineStr">
        <is>
          <t>Global/International</t>
        </is>
      </c>
      <c r="I518" t="inlineStr">
        <is>
          <t>Trade terms &amp; pricing page</t>
        </is>
      </c>
      <c r="J518" t="inlineStr">
        <is>
          <t>Landing</t>
        </is>
      </c>
      <c r="K518">
        <f>IFERROR(VLOOKUP($A518,'Semrush Import'!$A:$D,2,FALSE),"")</f>
        <v/>
      </c>
      <c r="L518">
        <f>IFERROR(VLOOKUP($A518,'Semrush Import'!$A:$D,3,FALSE),"")</f>
        <v/>
      </c>
      <c r="M518">
        <f>IFERROR(VLOOKUP($A518,'Semrush Import'!$A:$D,4,FALSE),"")</f>
        <v/>
      </c>
      <c r="N518">
        <f>IFERROR(VLOOKUP($A518,'KP Import'!$A:$B,2,FALSE),"")</f>
        <v/>
      </c>
      <c r="O518">
        <f>IF(K518="","",ROUND(K518/(L518+10),1))</f>
        <v/>
      </c>
      <c r="P518">
        <f>IF(O518="","",IF(O518&gt;=20,"A - Go first",IF(O518&gt;=5,"B - Next","C - Later")))</f>
        <v/>
      </c>
      <c r="Q518" t="inlineStr">
        <is>
          <t>To research</t>
        </is>
      </c>
      <c r="R518" t="inlineStr"/>
    </row>
    <row r="519">
      <c r="A519" t="inlineStr">
        <is>
          <t>rice moq</t>
        </is>
      </c>
      <c r="B519" t="inlineStr">
        <is>
          <t>Phase 1 - B2B now</t>
        </is>
      </c>
      <c r="C519" t="inlineStr">
        <is>
          <t>Importers / exporters / traders</t>
        </is>
      </c>
      <c r="D519" t="inlineStr">
        <is>
          <t>Trade terms</t>
        </is>
      </c>
      <c r="E519" t="inlineStr">
        <is>
          <t>B2B</t>
        </is>
      </c>
      <c r="F519" t="inlineStr">
        <is>
          <t>Transactional (B2B)</t>
        </is>
      </c>
      <c r="G519" t="inlineStr">
        <is>
          <t>MOFU</t>
        </is>
      </c>
      <c r="H519" t="inlineStr">
        <is>
          <t>Global/International</t>
        </is>
      </c>
      <c r="I519" t="inlineStr">
        <is>
          <t>Trade terms &amp; pricing page</t>
        </is>
      </c>
      <c r="J519" t="inlineStr">
        <is>
          <t>Landing</t>
        </is>
      </c>
      <c r="K519">
        <f>IFERROR(VLOOKUP($A519,'Semrush Import'!$A:$D,2,FALSE),"")</f>
        <v/>
      </c>
      <c r="L519">
        <f>IFERROR(VLOOKUP($A519,'Semrush Import'!$A:$D,3,FALSE),"")</f>
        <v/>
      </c>
      <c r="M519">
        <f>IFERROR(VLOOKUP($A519,'Semrush Import'!$A:$D,4,FALSE),"")</f>
        <v/>
      </c>
      <c r="N519">
        <f>IFERROR(VLOOKUP($A519,'KP Import'!$A:$B,2,FALSE),"")</f>
        <v/>
      </c>
      <c r="O519">
        <f>IF(K519="","",ROUND(K519/(L519+10),1))</f>
        <v/>
      </c>
      <c r="P519">
        <f>IF(O519="","",IF(O519&gt;=20,"A - Go first",IF(O519&gt;=5,"B - Next","C - Later")))</f>
        <v/>
      </c>
      <c r="Q519" t="inlineStr">
        <is>
          <t>To research</t>
        </is>
      </c>
      <c r="R519" t="inlineStr"/>
    </row>
    <row r="520">
      <c r="A520" t="inlineStr">
        <is>
          <t>rice hs code</t>
        </is>
      </c>
      <c r="B520" t="inlineStr">
        <is>
          <t>Phase 1 - B2B now</t>
        </is>
      </c>
      <c r="C520" t="inlineStr">
        <is>
          <t>Importers / exporters / traders</t>
        </is>
      </c>
      <c r="D520" t="inlineStr">
        <is>
          <t>Trade terms</t>
        </is>
      </c>
      <c r="E520" t="inlineStr">
        <is>
          <t>B2B</t>
        </is>
      </c>
      <c r="F520" t="inlineStr">
        <is>
          <t>Transactional (B2B)</t>
        </is>
      </c>
      <c r="G520" t="inlineStr">
        <is>
          <t>MOFU</t>
        </is>
      </c>
      <c r="H520" t="inlineStr">
        <is>
          <t>Global/International</t>
        </is>
      </c>
      <c r="I520" t="inlineStr">
        <is>
          <t>Trade terms &amp; pricing page</t>
        </is>
      </c>
      <c r="J520" t="inlineStr">
        <is>
          <t>Landing</t>
        </is>
      </c>
      <c r="K520">
        <f>IFERROR(VLOOKUP($A520,'Semrush Import'!$A:$D,2,FALSE),"")</f>
        <v/>
      </c>
      <c r="L520">
        <f>IFERROR(VLOOKUP($A520,'Semrush Import'!$A:$D,3,FALSE),"")</f>
        <v/>
      </c>
      <c r="M520">
        <f>IFERROR(VLOOKUP($A520,'Semrush Import'!$A:$D,4,FALSE),"")</f>
        <v/>
      </c>
      <c r="N520">
        <f>IFERROR(VLOOKUP($A520,'KP Import'!$A:$B,2,FALSE),"")</f>
        <v/>
      </c>
      <c r="O520">
        <f>IF(K520="","",ROUND(K520/(L520+10),1))</f>
        <v/>
      </c>
      <c r="P520">
        <f>IF(O520="","",IF(O520&gt;=20,"A - Go first",IF(O520&gt;=5,"B - Next","C - Later")))</f>
        <v/>
      </c>
      <c r="Q520" t="inlineStr">
        <is>
          <t>To research</t>
        </is>
      </c>
      <c r="R520" t="inlineStr"/>
    </row>
    <row r="521">
      <c r="A521" t="inlineStr">
        <is>
          <t>basmati rice hs code</t>
        </is>
      </c>
      <c r="B521" t="inlineStr">
        <is>
          <t>Phase 1 - B2B now</t>
        </is>
      </c>
      <c r="C521" t="inlineStr">
        <is>
          <t>Importers / exporters / traders</t>
        </is>
      </c>
      <c r="D521" t="inlineStr">
        <is>
          <t>Trade terms</t>
        </is>
      </c>
      <c r="E521" t="inlineStr">
        <is>
          <t>B2B</t>
        </is>
      </c>
      <c r="F521" t="inlineStr">
        <is>
          <t>Transactional (B2B)</t>
        </is>
      </c>
      <c r="G521" t="inlineStr">
        <is>
          <t>MOFU</t>
        </is>
      </c>
      <c r="H521" t="inlineStr">
        <is>
          <t>Global/International</t>
        </is>
      </c>
      <c r="I521" t="inlineStr">
        <is>
          <t>Trade terms &amp; pricing page</t>
        </is>
      </c>
      <c r="J521" t="inlineStr">
        <is>
          <t>Landing</t>
        </is>
      </c>
      <c r="K521">
        <f>IFERROR(VLOOKUP($A521,'Semrush Import'!$A:$D,2,FALSE),"")</f>
        <v/>
      </c>
      <c r="L521">
        <f>IFERROR(VLOOKUP($A521,'Semrush Import'!$A:$D,3,FALSE),"")</f>
        <v/>
      </c>
      <c r="M521">
        <f>IFERROR(VLOOKUP($A521,'Semrush Import'!$A:$D,4,FALSE),"")</f>
        <v/>
      </c>
      <c r="N521">
        <f>IFERROR(VLOOKUP($A521,'KP Import'!$A:$B,2,FALSE),"")</f>
        <v/>
      </c>
      <c r="O521">
        <f>IF(K521="","",ROUND(K521/(L521+10),1))</f>
        <v/>
      </c>
      <c r="P521">
        <f>IF(O521="","",IF(O521&gt;=20,"A - Go first",IF(O521&gt;=5,"B - Next","C - Later")))</f>
        <v/>
      </c>
      <c r="Q521" t="inlineStr">
        <is>
          <t>To research</t>
        </is>
      </c>
      <c r="R521" t="inlineStr"/>
    </row>
    <row r="522">
      <c r="A522" t="inlineStr">
        <is>
          <t>rice 20ft container price</t>
        </is>
      </c>
      <c r="B522" t="inlineStr">
        <is>
          <t>Phase 1 - B2B now</t>
        </is>
      </c>
      <c r="C522" t="inlineStr">
        <is>
          <t>Importers / exporters / traders</t>
        </is>
      </c>
      <c r="D522" t="inlineStr">
        <is>
          <t>Trade terms</t>
        </is>
      </c>
      <c r="E522" t="inlineStr">
        <is>
          <t>B2B</t>
        </is>
      </c>
      <c r="F522" t="inlineStr">
        <is>
          <t>Transactional (B2B)</t>
        </is>
      </c>
      <c r="G522" t="inlineStr">
        <is>
          <t>MOFU</t>
        </is>
      </c>
      <c r="H522" t="inlineStr">
        <is>
          <t>Global/International</t>
        </is>
      </c>
      <c r="I522" t="inlineStr">
        <is>
          <t>Trade terms &amp; pricing page</t>
        </is>
      </c>
      <c r="J522" t="inlineStr">
        <is>
          <t>Landing</t>
        </is>
      </c>
      <c r="K522">
        <f>IFERROR(VLOOKUP($A522,'Semrush Import'!$A:$D,2,FALSE),"")</f>
        <v/>
      </c>
      <c r="L522">
        <f>IFERROR(VLOOKUP($A522,'Semrush Import'!$A:$D,3,FALSE),"")</f>
        <v/>
      </c>
      <c r="M522">
        <f>IFERROR(VLOOKUP($A522,'Semrush Import'!$A:$D,4,FALSE),"")</f>
        <v/>
      </c>
      <c r="N522">
        <f>IFERROR(VLOOKUP($A522,'KP Import'!$A:$B,2,FALSE),"")</f>
        <v/>
      </c>
      <c r="O522">
        <f>IF(K522="","",ROUND(K522/(L522+10),1))</f>
        <v/>
      </c>
      <c r="P522">
        <f>IF(O522="","",IF(O522&gt;=20,"A - Go first",IF(O522&gt;=5,"B - Next","C - Later")))</f>
        <v/>
      </c>
      <c r="Q522" t="inlineStr">
        <is>
          <t>To research</t>
        </is>
      </c>
      <c r="R522" t="inlineStr"/>
    </row>
    <row r="523">
      <c r="A523" t="inlineStr">
        <is>
          <t>rice 40ft container load</t>
        </is>
      </c>
      <c r="B523" t="inlineStr">
        <is>
          <t>Phase 1 - B2B now</t>
        </is>
      </c>
      <c r="C523" t="inlineStr">
        <is>
          <t>Importers / exporters / traders</t>
        </is>
      </c>
      <c r="D523" t="inlineStr">
        <is>
          <t>Trade terms</t>
        </is>
      </c>
      <c r="E523" t="inlineStr">
        <is>
          <t>B2B</t>
        </is>
      </c>
      <c r="F523" t="inlineStr">
        <is>
          <t>Transactional (B2B)</t>
        </is>
      </c>
      <c r="G523" t="inlineStr">
        <is>
          <t>MOFU</t>
        </is>
      </c>
      <c r="H523" t="inlineStr">
        <is>
          <t>Global/International</t>
        </is>
      </c>
      <c r="I523" t="inlineStr">
        <is>
          <t>Trade terms &amp; pricing page</t>
        </is>
      </c>
      <c r="J523" t="inlineStr">
        <is>
          <t>Landing</t>
        </is>
      </c>
      <c r="K523">
        <f>IFERROR(VLOOKUP($A523,'Semrush Import'!$A:$D,2,FALSE),"")</f>
        <v/>
      </c>
      <c r="L523">
        <f>IFERROR(VLOOKUP($A523,'Semrush Import'!$A:$D,3,FALSE),"")</f>
        <v/>
      </c>
      <c r="M523">
        <f>IFERROR(VLOOKUP($A523,'Semrush Import'!$A:$D,4,FALSE),"")</f>
        <v/>
      </c>
      <c r="N523">
        <f>IFERROR(VLOOKUP($A523,'KP Import'!$A:$B,2,FALSE),"")</f>
        <v/>
      </c>
      <c r="O523">
        <f>IF(K523="","",ROUND(K523/(L523+10),1))</f>
        <v/>
      </c>
      <c r="P523">
        <f>IF(O523="","",IF(O523&gt;=20,"A - Go first",IF(O523&gt;=5,"B - Next","C - Later")))</f>
        <v/>
      </c>
      <c r="Q523" t="inlineStr">
        <is>
          <t>To research</t>
        </is>
      </c>
      <c r="R523" t="inlineStr"/>
    </row>
    <row r="524">
      <c r="A524" t="inlineStr">
        <is>
          <t>rice container shipping to dubai</t>
        </is>
      </c>
      <c r="B524" t="inlineStr">
        <is>
          <t>Phase 1 - B2B now</t>
        </is>
      </c>
      <c r="C524" t="inlineStr">
        <is>
          <t>Importers / exporters / traders</t>
        </is>
      </c>
      <c r="D524" t="inlineStr">
        <is>
          <t>Trade terms</t>
        </is>
      </c>
      <c r="E524" t="inlineStr">
        <is>
          <t>B2B</t>
        </is>
      </c>
      <c r="F524" t="inlineStr">
        <is>
          <t>Transactional (B2B)</t>
        </is>
      </c>
      <c r="G524" t="inlineStr">
        <is>
          <t>MOFU</t>
        </is>
      </c>
      <c r="H524" t="inlineStr">
        <is>
          <t>Dubai</t>
        </is>
      </c>
      <c r="I524" t="inlineStr">
        <is>
          <t>Trade terms &amp; pricing page</t>
        </is>
      </c>
      <c r="J524" t="inlineStr">
        <is>
          <t>Landing</t>
        </is>
      </c>
      <c r="K524">
        <f>IFERROR(VLOOKUP($A524,'Semrush Import'!$A:$D,2,FALSE),"")</f>
        <v/>
      </c>
      <c r="L524">
        <f>IFERROR(VLOOKUP($A524,'Semrush Import'!$A:$D,3,FALSE),"")</f>
        <v/>
      </c>
      <c r="M524">
        <f>IFERROR(VLOOKUP($A524,'Semrush Import'!$A:$D,4,FALSE),"")</f>
        <v/>
      </c>
      <c r="N524">
        <f>IFERROR(VLOOKUP($A524,'KP Import'!$A:$B,2,FALSE),"")</f>
        <v/>
      </c>
      <c r="O524">
        <f>IF(K524="","",ROUND(K524/(L524+10),1))</f>
        <v/>
      </c>
      <c r="P524">
        <f>IF(O524="","",IF(O524&gt;=20,"A - Go first",IF(O524&gt;=5,"B - Next","C - Later")))</f>
        <v/>
      </c>
      <c r="Q524" t="inlineStr">
        <is>
          <t>To research</t>
        </is>
      </c>
      <c r="R524" t="inlineStr"/>
    </row>
    <row r="525">
      <c r="A525" t="inlineStr">
        <is>
          <t>rice import documents uae</t>
        </is>
      </c>
      <c r="B525" t="inlineStr">
        <is>
          <t>Phase 1 - B2B now</t>
        </is>
      </c>
      <c r="C525" t="inlineStr">
        <is>
          <t>Importers / exporters / traders</t>
        </is>
      </c>
      <c r="D525" t="inlineStr">
        <is>
          <t>Trade terms</t>
        </is>
      </c>
      <c r="E525" t="inlineStr">
        <is>
          <t>B2B</t>
        </is>
      </c>
      <c r="F525" t="inlineStr">
        <is>
          <t>Transactional (B2B)</t>
        </is>
      </c>
      <c r="G525" t="inlineStr">
        <is>
          <t>MOFU</t>
        </is>
      </c>
      <c r="H525" t="inlineStr">
        <is>
          <t>UAE</t>
        </is>
      </c>
      <c r="I525" t="inlineStr">
        <is>
          <t>Trade terms &amp; pricing page</t>
        </is>
      </c>
      <c r="J525" t="inlineStr">
        <is>
          <t>Landing</t>
        </is>
      </c>
      <c r="K525">
        <f>IFERROR(VLOOKUP($A525,'Semrush Import'!$A:$D,2,FALSE),"")</f>
        <v/>
      </c>
      <c r="L525">
        <f>IFERROR(VLOOKUP($A525,'Semrush Import'!$A:$D,3,FALSE),"")</f>
        <v/>
      </c>
      <c r="M525">
        <f>IFERROR(VLOOKUP($A525,'Semrush Import'!$A:$D,4,FALSE),"")</f>
        <v/>
      </c>
      <c r="N525">
        <f>IFERROR(VLOOKUP($A525,'KP Import'!$A:$B,2,FALSE),"")</f>
        <v/>
      </c>
      <c r="O525">
        <f>IF(K525="","",ROUND(K525/(L525+10),1))</f>
        <v/>
      </c>
      <c r="P525">
        <f>IF(O525="","",IF(O525&gt;=20,"A - Go first",IF(O525&gt;=5,"B - Next","C - Later")))</f>
        <v/>
      </c>
      <c r="Q525" t="inlineStr">
        <is>
          <t>To research</t>
        </is>
      </c>
      <c r="R525" t="inlineStr"/>
    </row>
    <row r="526">
      <c r="A526" t="inlineStr">
        <is>
          <t>rice letter of credit</t>
        </is>
      </c>
      <c r="B526" t="inlineStr">
        <is>
          <t>Phase 1 - B2B now</t>
        </is>
      </c>
      <c r="C526" t="inlineStr">
        <is>
          <t>Importers / exporters / traders</t>
        </is>
      </c>
      <c r="D526" t="inlineStr">
        <is>
          <t>Trade terms</t>
        </is>
      </c>
      <c r="E526" t="inlineStr">
        <is>
          <t>B2B</t>
        </is>
      </c>
      <c r="F526" t="inlineStr">
        <is>
          <t>Transactional (B2B)</t>
        </is>
      </c>
      <c r="G526" t="inlineStr">
        <is>
          <t>MOFU</t>
        </is>
      </c>
      <c r="H526" t="inlineStr">
        <is>
          <t>Global/International</t>
        </is>
      </c>
      <c r="I526" t="inlineStr">
        <is>
          <t>Trade terms &amp; pricing page</t>
        </is>
      </c>
      <c r="J526" t="inlineStr">
        <is>
          <t>Landing</t>
        </is>
      </c>
      <c r="K526">
        <f>IFERROR(VLOOKUP($A526,'Semrush Import'!$A:$D,2,FALSE),"")</f>
        <v/>
      </c>
      <c r="L526">
        <f>IFERROR(VLOOKUP($A526,'Semrush Import'!$A:$D,3,FALSE),"")</f>
        <v/>
      </c>
      <c r="M526">
        <f>IFERROR(VLOOKUP($A526,'Semrush Import'!$A:$D,4,FALSE),"")</f>
        <v/>
      </c>
      <c r="N526">
        <f>IFERROR(VLOOKUP($A526,'KP Import'!$A:$B,2,FALSE),"")</f>
        <v/>
      </c>
      <c r="O526">
        <f>IF(K526="","",ROUND(K526/(L526+10),1))</f>
        <v/>
      </c>
      <c r="P526">
        <f>IF(O526="","",IF(O526&gt;=20,"A - Go first",IF(O526&gt;=5,"B - Next","C - Later")))</f>
        <v/>
      </c>
      <c r="Q526" t="inlineStr">
        <is>
          <t>To research</t>
        </is>
      </c>
      <c r="R526" t="inlineStr"/>
    </row>
    <row r="527">
      <c r="A527" t="inlineStr">
        <is>
          <t>rice incoterms</t>
        </is>
      </c>
      <c r="B527" t="inlineStr">
        <is>
          <t>Phase 1 - B2B now</t>
        </is>
      </c>
      <c r="C527" t="inlineStr">
        <is>
          <t>Importers / exporters / traders</t>
        </is>
      </c>
      <c r="D527" t="inlineStr">
        <is>
          <t>Trade terms</t>
        </is>
      </c>
      <c r="E527" t="inlineStr">
        <is>
          <t>B2B</t>
        </is>
      </c>
      <c r="F527" t="inlineStr">
        <is>
          <t>Transactional (B2B)</t>
        </is>
      </c>
      <c r="G527" t="inlineStr">
        <is>
          <t>MOFU</t>
        </is>
      </c>
      <c r="H527" t="inlineStr">
        <is>
          <t>Global/International</t>
        </is>
      </c>
      <c r="I527" t="inlineStr">
        <is>
          <t>Trade terms &amp; pricing page</t>
        </is>
      </c>
      <c r="J527" t="inlineStr">
        <is>
          <t>Landing</t>
        </is>
      </c>
      <c r="K527">
        <f>IFERROR(VLOOKUP($A527,'Semrush Import'!$A:$D,2,FALSE),"")</f>
        <v/>
      </c>
      <c r="L527">
        <f>IFERROR(VLOOKUP($A527,'Semrush Import'!$A:$D,3,FALSE),"")</f>
        <v/>
      </c>
      <c r="M527">
        <f>IFERROR(VLOOKUP($A527,'Semrush Import'!$A:$D,4,FALSE),"")</f>
        <v/>
      </c>
      <c r="N527">
        <f>IFERROR(VLOOKUP($A527,'KP Import'!$A:$B,2,FALSE),"")</f>
        <v/>
      </c>
      <c r="O527">
        <f>IF(K527="","",ROUND(K527/(L527+10),1))</f>
        <v/>
      </c>
      <c r="P527">
        <f>IF(O527="","",IF(O527&gt;=20,"A - Go first",IF(O527&gt;=5,"B - Next","C - Later")))</f>
        <v/>
      </c>
      <c r="Q527" t="inlineStr">
        <is>
          <t>To research</t>
        </is>
      </c>
      <c r="R527" t="inlineStr"/>
    </row>
    <row r="528">
      <c r="A528" t="inlineStr">
        <is>
          <t>indian rice supplier dubai</t>
        </is>
      </c>
      <c r="B528" t="inlineStr">
        <is>
          <t>Phase 1 - B2B now</t>
        </is>
      </c>
      <c r="C528" t="inlineStr">
        <is>
          <t>Importers / exporters / traders</t>
        </is>
      </c>
      <c r="D528" t="inlineStr">
        <is>
          <t>Origin sourcing</t>
        </is>
      </c>
      <c r="E528" t="inlineStr">
        <is>
          <t>B2B</t>
        </is>
      </c>
      <c r="F528" t="inlineStr">
        <is>
          <t>Transactional (B2B)</t>
        </is>
      </c>
      <c r="G528" t="inlineStr">
        <is>
          <t>BOFU</t>
        </is>
      </c>
      <c r="H528" t="inlineStr">
        <is>
          <t>Dubai</t>
        </is>
      </c>
      <c r="I528" t="inlineStr">
        <is>
          <t>Origin sourcing page</t>
        </is>
      </c>
      <c r="J528" t="inlineStr">
        <is>
          <t>Landing</t>
        </is>
      </c>
      <c r="K528">
        <f>IFERROR(VLOOKUP($A528,'Semrush Import'!$A:$D,2,FALSE),"")</f>
        <v/>
      </c>
      <c r="L528">
        <f>IFERROR(VLOOKUP($A528,'Semrush Import'!$A:$D,3,FALSE),"")</f>
        <v/>
      </c>
      <c r="M528">
        <f>IFERROR(VLOOKUP($A528,'Semrush Import'!$A:$D,4,FALSE),"")</f>
        <v/>
      </c>
      <c r="N528">
        <f>IFERROR(VLOOKUP($A528,'KP Import'!$A:$B,2,FALSE),"")</f>
        <v/>
      </c>
      <c r="O528">
        <f>IF(K528="","",ROUND(K528/(L528+10),1))</f>
        <v/>
      </c>
      <c r="P528">
        <f>IF(O528="","",IF(O528&gt;=20,"A - Go first",IF(O528&gt;=5,"B - Next","C - Later")))</f>
        <v/>
      </c>
      <c r="Q528" t="inlineStr">
        <is>
          <t>To research</t>
        </is>
      </c>
      <c r="R528" t="inlineStr"/>
    </row>
    <row r="529">
      <c r="A529" t="inlineStr">
        <is>
          <t>pakistani rice supplier uae</t>
        </is>
      </c>
      <c r="B529" t="inlineStr">
        <is>
          <t>Phase 1 - B2B now</t>
        </is>
      </c>
      <c r="C529" t="inlineStr">
        <is>
          <t>Importers / exporters / traders</t>
        </is>
      </c>
      <c r="D529" t="inlineStr">
        <is>
          <t>Origin sourcing</t>
        </is>
      </c>
      <c r="E529" t="inlineStr">
        <is>
          <t>B2B</t>
        </is>
      </c>
      <c r="F529" t="inlineStr">
        <is>
          <t>Transactional (B2B)</t>
        </is>
      </c>
      <c r="G529" t="inlineStr">
        <is>
          <t>BOFU</t>
        </is>
      </c>
      <c r="H529" t="inlineStr">
        <is>
          <t>UAE</t>
        </is>
      </c>
      <c r="I529" t="inlineStr">
        <is>
          <t>Origin sourcing page</t>
        </is>
      </c>
      <c r="J529" t="inlineStr">
        <is>
          <t>Landing</t>
        </is>
      </c>
      <c r="K529">
        <f>IFERROR(VLOOKUP($A529,'Semrush Import'!$A:$D,2,FALSE),"")</f>
        <v/>
      </c>
      <c r="L529">
        <f>IFERROR(VLOOKUP($A529,'Semrush Import'!$A:$D,3,FALSE),"")</f>
        <v/>
      </c>
      <c r="M529">
        <f>IFERROR(VLOOKUP($A529,'Semrush Import'!$A:$D,4,FALSE),"")</f>
        <v/>
      </c>
      <c r="N529">
        <f>IFERROR(VLOOKUP($A529,'KP Import'!$A:$B,2,FALSE),"")</f>
        <v/>
      </c>
      <c r="O529">
        <f>IF(K529="","",ROUND(K529/(L529+10),1))</f>
        <v/>
      </c>
      <c r="P529">
        <f>IF(O529="","",IF(O529&gt;=20,"A - Go first",IF(O529&gt;=5,"B - Next","C - Later")))</f>
        <v/>
      </c>
      <c r="Q529" t="inlineStr">
        <is>
          <t>To research</t>
        </is>
      </c>
      <c r="R529" t="inlineStr"/>
    </row>
    <row r="530">
      <c r="A530" t="inlineStr">
        <is>
          <t>thai rice supplier uae</t>
        </is>
      </c>
      <c r="B530" t="inlineStr">
        <is>
          <t>Phase 1 - B2B now</t>
        </is>
      </c>
      <c r="C530" t="inlineStr">
        <is>
          <t>Importers / exporters / traders</t>
        </is>
      </c>
      <c r="D530" t="inlineStr">
        <is>
          <t>Origin sourcing</t>
        </is>
      </c>
      <c r="E530" t="inlineStr">
        <is>
          <t>B2B</t>
        </is>
      </c>
      <c r="F530" t="inlineStr">
        <is>
          <t>Transactional (B2B)</t>
        </is>
      </c>
      <c r="G530" t="inlineStr">
        <is>
          <t>BOFU</t>
        </is>
      </c>
      <c r="H530" t="inlineStr">
        <is>
          <t>UAE</t>
        </is>
      </c>
      <c r="I530" t="inlineStr">
        <is>
          <t>Origin sourcing page</t>
        </is>
      </c>
      <c r="J530" t="inlineStr">
        <is>
          <t>Landing</t>
        </is>
      </c>
      <c r="K530">
        <f>IFERROR(VLOOKUP($A530,'Semrush Import'!$A:$D,2,FALSE),"")</f>
        <v/>
      </c>
      <c r="L530">
        <f>IFERROR(VLOOKUP($A530,'Semrush Import'!$A:$D,3,FALSE),"")</f>
        <v/>
      </c>
      <c r="M530">
        <f>IFERROR(VLOOKUP($A530,'Semrush Import'!$A:$D,4,FALSE),"")</f>
        <v/>
      </c>
      <c r="N530">
        <f>IFERROR(VLOOKUP($A530,'KP Import'!$A:$B,2,FALSE),"")</f>
        <v/>
      </c>
      <c r="O530">
        <f>IF(K530="","",ROUND(K530/(L530+10),1))</f>
        <v/>
      </c>
      <c r="P530">
        <f>IF(O530="","",IF(O530&gt;=20,"A - Go first",IF(O530&gt;=5,"B - Next","C - Later")))</f>
        <v/>
      </c>
      <c r="Q530" t="inlineStr">
        <is>
          <t>To research</t>
        </is>
      </c>
      <c r="R530" t="inlineStr"/>
    </row>
    <row r="531">
      <c r="A531" t="inlineStr">
        <is>
          <t>vietnam rice supplier uae</t>
        </is>
      </c>
      <c r="B531" t="inlineStr">
        <is>
          <t>Phase 1 - B2B now</t>
        </is>
      </c>
      <c r="C531" t="inlineStr">
        <is>
          <t>Importers / exporters / traders</t>
        </is>
      </c>
      <c r="D531" t="inlineStr">
        <is>
          <t>Origin sourcing</t>
        </is>
      </c>
      <c r="E531" t="inlineStr">
        <is>
          <t>B2B</t>
        </is>
      </c>
      <c r="F531" t="inlineStr">
        <is>
          <t>Transactional (B2B)</t>
        </is>
      </c>
      <c r="G531" t="inlineStr">
        <is>
          <t>BOFU</t>
        </is>
      </c>
      <c r="H531" t="inlineStr">
        <is>
          <t>UAE</t>
        </is>
      </c>
      <c r="I531" t="inlineStr">
        <is>
          <t>Origin sourcing page</t>
        </is>
      </c>
      <c r="J531" t="inlineStr">
        <is>
          <t>Landing</t>
        </is>
      </c>
      <c r="K531">
        <f>IFERROR(VLOOKUP($A531,'Semrush Import'!$A:$D,2,FALSE),"")</f>
        <v/>
      </c>
      <c r="L531">
        <f>IFERROR(VLOOKUP($A531,'Semrush Import'!$A:$D,3,FALSE),"")</f>
        <v/>
      </c>
      <c r="M531">
        <f>IFERROR(VLOOKUP($A531,'Semrush Import'!$A:$D,4,FALSE),"")</f>
        <v/>
      </c>
      <c r="N531">
        <f>IFERROR(VLOOKUP($A531,'KP Import'!$A:$B,2,FALSE),"")</f>
        <v/>
      </c>
      <c r="O531">
        <f>IF(K531="","",ROUND(K531/(L531+10),1))</f>
        <v/>
      </c>
      <c r="P531">
        <f>IF(O531="","",IF(O531&gt;=20,"A - Go first",IF(O531&gt;=5,"B - Next","C - Later")))</f>
        <v/>
      </c>
      <c r="Q531" t="inlineStr">
        <is>
          <t>To research</t>
        </is>
      </c>
      <c r="R531" t="inlineStr"/>
    </row>
    <row r="532">
      <c r="A532" t="inlineStr">
        <is>
          <t>indian rice exporters</t>
        </is>
      </c>
      <c r="B532" t="inlineStr">
        <is>
          <t>Phase 1 - B2B now</t>
        </is>
      </c>
      <c r="C532" t="inlineStr">
        <is>
          <t>Importers / exporters / traders</t>
        </is>
      </c>
      <c r="D532" t="inlineStr">
        <is>
          <t>Origin sourcing</t>
        </is>
      </c>
      <c r="E532" t="inlineStr">
        <is>
          <t>B2B</t>
        </is>
      </c>
      <c r="F532" t="inlineStr">
        <is>
          <t>Transactional (B2B)</t>
        </is>
      </c>
      <c r="G532" t="inlineStr">
        <is>
          <t>BOFU</t>
        </is>
      </c>
      <c r="H532" t="inlineStr">
        <is>
          <t>Global/International</t>
        </is>
      </c>
      <c r="I532" t="inlineStr">
        <is>
          <t>Origin sourcing page</t>
        </is>
      </c>
      <c r="J532" t="inlineStr">
        <is>
          <t>Landing</t>
        </is>
      </c>
      <c r="K532">
        <f>IFERROR(VLOOKUP($A532,'Semrush Import'!$A:$D,2,FALSE),"")</f>
        <v/>
      </c>
      <c r="L532">
        <f>IFERROR(VLOOKUP($A532,'Semrush Import'!$A:$D,3,FALSE),"")</f>
        <v/>
      </c>
      <c r="M532">
        <f>IFERROR(VLOOKUP($A532,'Semrush Import'!$A:$D,4,FALSE),"")</f>
        <v/>
      </c>
      <c r="N532">
        <f>IFERROR(VLOOKUP($A532,'KP Import'!$A:$B,2,FALSE),"")</f>
        <v/>
      </c>
      <c r="O532">
        <f>IF(K532="","",ROUND(K532/(L532+10),1))</f>
        <v/>
      </c>
      <c r="P532">
        <f>IF(O532="","",IF(O532&gt;=20,"A - Go first",IF(O532&gt;=5,"B - Next","C - Later")))</f>
        <v/>
      </c>
      <c r="Q532" t="inlineStr">
        <is>
          <t>To research</t>
        </is>
      </c>
      <c r="R532" t="inlineStr"/>
    </row>
    <row r="533">
      <c r="A533" t="inlineStr">
        <is>
          <t>basmati rice exporters india</t>
        </is>
      </c>
      <c r="B533" t="inlineStr">
        <is>
          <t>Phase 1 - B2B now</t>
        </is>
      </c>
      <c r="C533" t="inlineStr">
        <is>
          <t>Importers / exporters / traders</t>
        </is>
      </c>
      <c r="D533" t="inlineStr">
        <is>
          <t>Origin sourcing</t>
        </is>
      </c>
      <c r="E533" t="inlineStr">
        <is>
          <t>B2B</t>
        </is>
      </c>
      <c r="F533" t="inlineStr">
        <is>
          <t>Transactional (B2B)</t>
        </is>
      </c>
      <c r="G533" t="inlineStr">
        <is>
          <t>BOFU</t>
        </is>
      </c>
      <c r="H533" t="inlineStr">
        <is>
          <t>Global/International</t>
        </is>
      </c>
      <c r="I533" t="inlineStr">
        <is>
          <t>Origin sourcing page</t>
        </is>
      </c>
      <c r="J533" t="inlineStr">
        <is>
          <t>Landing</t>
        </is>
      </c>
      <c r="K533">
        <f>IFERROR(VLOOKUP($A533,'Semrush Import'!$A:$D,2,FALSE),"")</f>
        <v/>
      </c>
      <c r="L533">
        <f>IFERROR(VLOOKUP($A533,'Semrush Import'!$A:$D,3,FALSE),"")</f>
        <v/>
      </c>
      <c r="M533">
        <f>IFERROR(VLOOKUP($A533,'Semrush Import'!$A:$D,4,FALSE),"")</f>
        <v/>
      </c>
      <c r="N533">
        <f>IFERROR(VLOOKUP($A533,'KP Import'!$A:$B,2,FALSE),"")</f>
        <v/>
      </c>
      <c r="O533">
        <f>IF(K533="","",ROUND(K533/(L533+10),1))</f>
        <v/>
      </c>
      <c r="P533">
        <f>IF(O533="","",IF(O533&gt;=20,"A - Go first",IF(O533&gt;=5,"B - Next","C - Later")))</f>
        <v/>
      </c>
      <c r="Q533" t="inlineStr">
        <is>
          <t>To research</t>
        </is>
      </c>
      <c r="R533" t="inlineStr"/>
    </row>
    <row r="534">
      <c r="A534" t="inlineStr">
        <is>
          <t>basmati rice exporters pakistan</t>
        </is>
      </c>
      <c r="B534" t="inlineStr">
        <is>
          <t>Phase 1 - B2B now</t>
        </is>
      </c>
      <c r="C534" t="inlineStr">
        <is>
          <t>Importers / exporters / traders</t>
        </is>
      </c>
      <c r="D534" t="inlineStr">
        <is>
          <t>Origin sourcing</t>
        </is>
      </c>
      <c r="E534" t="inlineStr">
        <is>
          <t>B2B</t>
        </is>
      </c>
      <c r="F534" t="inlineStr">
        <is>
          <t>Transactional (B2B)</t>
        </is>
      </c>
      <c r="G534" t="inlineStr">
        <is>
          <t>BOFU</t>
        </is>
      </c>
      <c r="H534" t="inlineStr">
        <is>
          <t>Global/International</t>
        </is>
      </c>
      <c r="I534" t="inlineStr">
        <is>
          <t>Origin sourcing page</t>
        </is>
      </c>
      <c r="J534" t="inlineStr">
        <is>
          <t>Landing</t>
        </is>
      </c>
      <c r="K534">
        <f>IFERROR(VLOOKUP($A534,'Semrush Import'!$A:$D,2,FALSE),"")</f>
        <v/>
      </c>
      <c r="L534">
        <f>IFERROR(VLOOKUP($A534,'Semrush Import'!$A:$D,3,FALSE),"")</f>
        <v/>
      </c>
      <c r="M534">
        <f>IFERROR(VLOOKUP($A534,'Semrush Import'!$A:$D,4,FALSE),"")</f>
        <v/>
      </c>
      <c r="N534">
        <f>IFERROR(VLOOKUP($A534,'KP Import'!$A:$B,2,FALSE),"")</f>
        <v/>
      </c>
      <c r="O534">
        <f>IF(K534="","",ROUND(K534/(L534+10),1))</f>
        <v/>
      </c>
      <c r="P534">
        <f>IF(O534="","",IF(O534&gt;=20,"A - Go first",IF(O534&gt;=5,"B - Next","C - Later")))</f>
        <v/>
      </c>
      <c r="Q534" t="inlineStr">
        <is>
          <t>To research</t>
        </is>
      </c>
      <c r="R534" t="inlineStr"/>
    </row>
    <row r="535">
      <c r="A535" t="inlineStr">
        <is>
          <t>rice exporters thailand</t>
        </is>
      </c>
      <c r="B535" t="inlineStr">
        <is>
          <t>Phase 1 - B2B now</t>
        </is>
      </c>
      <c r="C535" t="inlineStr">
        <is>
          <t>Importers / exporters / traders</t>
        </is>
      </c>
      <c r="D535" t="inlineStr">
        <is>
          <t>Origin sourcing</t>
        </is>
      </c>
      <c r="E535" t="inlineStr">
        <is>
          <t>B2B</t>
        </is>
      </c>
      <c r="F535" t="inlineStr">
        <is>
          <t>Transactional (B2B)</t>
        </is>
      </c>
      <c r="G535" t="inlineStr">
        <is>
          <t>BOFU</t>
        </is>
      </c>
      <c r="H535" t="inlineStr">
        <is>
          <t>Global/International</t>
        </is>
      </c>
      <c r="I535" t="inlineStr">
        <is>
          <t>Origin sourcing page</t>
        </is>
      </c>
      <c r="J535" t="inlineStr">
        <is>
          <t>Landing</t>
        </is>
      </c>
      <c r="K535">
        <f>IFERROR(VLOOKUP($A535,'Semrush Import'!$A:$D,2,FALSE),"")</f>
        <v/>
      </c>
      <c r="L535">
        <f>IFERROR(VLOOKUP($A535,'Semrush Import'!$A:$D,3,FALSE),"")</f>
        <v/>
      </c>
      <c r="M535">
        <f>IFERROR(VLOOKUP($A535,'Semrush Import'!$A:$D,4,FALSE),"")</f>
        <v/>
      </c>
      <c r="N535">
        <f>IFERROR(VLOOKUP($A535,'KP Import'!$A:$B,2,FALSE),"")</f>
        <v/>
      </c>
      <c r="O535">
        <f>IF(K535="","",ROUND(K535/(L535+10),1))</f>
        <v/>
      </c>
      <c r="P535">
        <f>IF(O535="","",IF(O535&gt;=20,"A - Go first",IF(O535&gt;=5,"B - Next","C - Later")))</f>
        <v/>
      </c>
      <c r="Q535" t="inlineStr">
        <is>
          <t>To research</t>
        </is>
      </c>
      <c r="R535" t="inlineStr"/>
    </row>
    <row r="536">
      <c r="A536" t="inlineStr">
        <is>
          <t>myanmar rice supplier</t>
        </is>
      </c>
      <c r="B536" t="inlineStr">
        <is>
          <t>Phase 1 - B2B now</t>
        </is>
      </c>
      <c r="C536" t="inlineStr">
        <is>
          <t>Importers / exporters / traders</t>
        </is>
      </c>
      <c r="D536" t="inlineStr">
        <is>
          <t>Origin sourcing</t>
        </is>
      </c>
      <c r="E536" t="inlineStr">
        <is>
          <t>B2B</t>
        </is>
      </c>
      <c r="F536" t="inlineStr">
        <is>
          <t>Transactional (B2B)</t>
        </is>
      </c>
      <c r="G536" t="inlineStr">
        <is>
          <t>BOFU</t>
        </is>
      </c>
      <c r="H536" t="inlineStr">
        <is>
          <t>Global/International</t>
        </is>
      </c>
      <c r="I536" t="inlineStr">
        <is>
          <t>Origin sourcing page</t>
        </is>
      </c>
      <c r="J536" t="inlineStr">
        <is>
          <t>Landing</t>
        </is>
      </c>
      <c r="K536">
        <f>IFERROR(VLOOKUP($A536,'Semrush Import'!$A:$D,2,FALSE),"")</f>
        <v/>
      </c>
      <c r="L536">
        <f>IFERROR(VLOOKUP($A536,'Semrush Import'!$A:$D,3,FALSE),"")</f>
        <v/>
      </c>
      <c r="M536">
        <f>IFERROR(VLOOKUP($A536,'Semrush Import'!$A:$D,4,FALSE),"")</f>
        <v/>
      </c>
      <c r="N536">
        <f>IFERROR(VLOOKUP($A536,'KP Import'!$A:$B,2,FALSE),"")</f>
        <v/>
      </c>
      <c r="O536">
        <f>IF(K536="","",ROUND(K536/(L536+10),1))</f>
        <v/>
      </c>
      <c r="P536">
        <f>IF(O536="","",IF(O536&gt;=20,"A - Go first",IF(O536&gt;=5,"B - Next","C - Later")))</f>
        <v/>
      </c>
      <c r="Q536" t="inlineStr">
        <is>
          <t>To research</t>
        </is>
      </c>
      <c r="R536" t="inlineStr"/>
    </row>
    <row r="537">
      <c r="A537" t="inlineStr">
        <is>
          <t>indian non basmati rice export</t>
        </is>
      </c>
      <c r="B537" t="inlineStr">
        <is>
          <t>Phase 1 - B2B now</t>
        </is>
      </c>
      <c r="C537" t="inlineStr">
        <is>
          <t>Importers / exporters / traders</t>
        </is>
      </c>
      <c r="D537" t="inlineStr">
        <is>
          <t>Origin sourcing</t>
        </is>
      </c>
      <c r="E537" t="inlineStr">
        <is>
          <t>B2B</t>
        </is>
      </c>
      <c r="F537" t="inlineStr">
        <is>
          <t>Transactional (B2B)</t>
        </is>
      </c>
      <c r="G537" t="inlineStr">
        <is>
          <t>BOFU</t>
        </is>
      </c>
      <c r="H537" t="inlineStr">
        <is>
          <t>Global/International</t>
        </is>
      </c>
      <c r="I537" t="inlineStr">
        <is>
          <t>Origin sourcing page</t>
        </is>
      </c>
      <c r="J537" t="inlineStr">
        <is>
          <t>Landing</t>
        </is>
      </c>
      <c r="K537">
        <f>IFERROR(VLOOKUP($A537,'Semrush Import'!$A:$D,2,FALSE),"")</f>
        <v/>
      </c>
      <c r="L537">
        <f>IFERROR(VLOOKUP($A537,'Semrush Import'!$A:$D,3,FALSE),"")</f>
        <v/>
      </c>
      <c r="M537">
        <f>IFERROR(VLOOKUP($A537,'Semrush Import'!$A:$D,4,FALSE),"")</f>
        <v/>
      </c>
      <c r="N537">
        <f>IFERROR(VLOOKUP($A537,'KP Import'!$A:$B,2,FALSE),"")</f>
        <v/>
      </c>
      <c r="O537">
        <f>IF(K537="","",ROUND(K537/(L537+10),1))</f>
        <v/>
      </c>
      <c r="P537">
        <f>IF(O537="","",IF(O537&gt;=20,"A - Go first",IF(O537&gt;=5,"B - Next","C - Later")))</f>
        <v/>
      </c>
      <c r="Q537" t="inlineStr">
        <is>
          <t>To research</t>
        </is>
      </c>
      <c r="R537" t="inlineStr"/>
    </row>
    <row r="538">
      <c r="A538" t="inlineStr">
        <is>
          <t>rice supplier for africa from dubai</t>
        </is>
      </c>
      <c r="B538" t="inlineStr">
        <is>
          <t>Phase 1 - B2B now</t>
        </is>
      </c>
      <c r="C538" t="inlineStr">
        <is>
          <t>Importers / exporters / traders</t>
        </is>
      </c>
      <c r="D538" t="inlineStr">
        <is>
          <t>Re-export</t>
        </is>
      </c>
      <c r="E538" t="inlineStr">
        <is>
          <t>B2B</t>
        </is>
      </c>
      <c r="F538" t="inlineStr">
        <is>
          <t>Transactional (B2B)</t>
        </is>
      </c>
      <c r="G538" t="inlineStr">
        <is>
          <t>BOFU</t>
        </is>
      </c>
      <c r="H538" t="inlineStr">
        <is>
          <t>Dubai</t>
        </is>
      </c>
      <c r="I538" t="inlineStr">
        <is>
          <t>Export / Re-export page</t>
        </is>
      </c>
      <c r="J538" t="inlineStr">
        <is>
          <t>Landing</t>
        </is>
      </c>
      <c r="K538">
        <f>IFERROR(VLOOKUP($A538,'Semrush Import'!$A:$D,2,FALSE),"")</f>
        <v/>
      </c>
      <c r="L538">
        <f>IFERROR(VLOOKUP($A538,'Semrush Import'!$A:$D,3,FALSE),"")</f>
        <v/>
      </c>
      <c r="M538">
        <f>IFERROR(VLOOKUP($A538,'Semrush Import'!$A:$D,4,FALSE),"")</f>
        <v/>
      </c>
      <c r="N538">
        <f>IFERROR(VLOOKUP($A538,'KP Import'!$A:$B,2,FALSE),"")</f>
        <v/>
      </c>
      <c r="O538">
        <f>IF(K538="","",ROUND(K538/(L538+10),1))</f>
        <v/>
      </c>
      <c r="P538">
        <f>IF(O538="","",IF(O538&gt;=20,"A - Go first",IF(O538&gt;=5,"B - Next","C - Later")))</f>
        <v/>
      </c>
      <c r="Q538" t="inlineStr">
        <is>
          <t>To research</t>
        </is>
      </c>
      <c r="R538" t="inlineStr"/>
    </row>
    <row r="539">
      <c r="A539" t="inlineStr">
        <is>
          <t>rice export to africa from uae</t>
        </is>
      </c>
      <c r="B539" t="inlineStr">
        <is>
          <t>Phase 1 - B2B now</t>
        </is>
      </c>
      <c r="C539" t="inlineStr">
        <is>
          <t>Importers / exporters / traders</t>
        </is>
      </c>
      <c r="D539" t="inlineStr">
        <is>
          <t>Re-export</t>
        </is>
      </c>
      <c r="E539" t="inlineStr">
        <is>
          <t>B2B</t>
        </is>
      </c>
      <c r="F539" t="inlineStr">
        <is>
          <t>Transactional (B2B)</t>
        </is>
      </c>
      <c r="G539" t="inlineStr">
        <is>
          <t>BOFU</t>
        </is>
      </c>
      <c r="H539" t="inlineStr">
        <is>
          <t>UAE</t>
        </is>
      </c>
      <c r="I539" t="inlineStr">
        <is>
          <t>Export / Re-export page</t>
        </is>
      </c>
      <c r="J539" t="inlineStr">
        <is>
          <t>Landing</t>
        </is>
      </c>
      <c r="K539">
        <f>IFERROR(VLOOKUP($A539,'Semrush Import'!$A:$D,2,FALSE),"")</f>
        <v/>
      </c>
      <c r="L539">
        <f>IFERROR(VLOOKUP($A539,'Semrush Import'!$A:$D,3,FALSE),"")</f>
        <v/>
      </c>
      <c r="M539">
        <f>IFERROR(VLOOKUP($A539,'Semrush Import'!$A:$D,4,FALSE),"")</f>
        <v/>
      </c>
      <c r="N539">
        <f>IFERROR(VLOOKUP($A539,'KP Import'!$A:$B,2,FALSE),"")</f>
        <v/>
      </c>
      <c r="O539">
        <f>IF(K539="","",ROUND(K539/(L539+10),1))</f>
        <v/>
      </c>
      <c r="P539">
        <f>IF(O539="","",IF(O539&gt;=20,"A - Go first",IF(O539&gt;=5,"B - Next","C - Later")))</f>
        <v/>
      </c>
      <c r="Q539" t="inlineStr">
        <is>
          <t>To research</t>
        </is>
      </c>
      <c r="R539" t="inlineStr"/>
    </row>
    <row r="540">
      <c r="A540" t="inlineStr">
        <is>
          <t>rice exporter to saudi arabia</t>
        </is>
      </c>
      <c r="B540" t="inlineStr">
        <is>
          <t>Phase 1 - B2B now</t>
        </is>
      </c>
      <c r="C540" t="inlineStr">
        <is>
          <t>Importers / exporters / traders</t>
        </is>
      </c>
      <c r="D540" t="inlineStr">
        <is>
          <t>Re-export</t>
        </is>
      </c>
      <c r="E540" t="inlineStr">
        <is>
          <t>B2B</t>
        </is>
      </c>
      <c r="F540" t="inlineStr">
        <is>
          <t>Transactional (B2B)</t>
        </is>
      </c>
      <c r="G540" t="inlineStr">
        <is>
          <t>BOFU</t>
        </is>
      </c>
      <c r="H540" t="inlineStr">
        <is>
          <t>UAE</t>
        </is>
      </c>
      <c r="I540" t="inlineStr">
        <is>
          <t>Export / Re-export page</t>
        </is>
      </c>
      <c r="J540" t="inlineStr">
        <is>
          <t>Landing</t>
        </is>
      </c>
      <c r="K540">
        <f>IFERROR(VLOOKUP($A540,'Semrush Import'!$A:$D,2,FALSE),"")</f>
        <v/>
      </c>
      <c r="L540">
        <f>IFERROR(VLOOKUP($A540,'Semrush Import'!$A:$D,3,FALSE),"")</f>
        <v/>
      </c>
      <c r="M540">
        <f>IFERROR(VLOOKUP($A540,'Semrush Import'!$A:$D,4,FALSE),"")</f>
        <v/>
      </c>
      <c r="N540">
        <f>IFERROR(VLOOKUP($A540,'KP Import'!$A:$B,2,FALSE),"")</f>
        <v/>
      </c>
      <c r="O540">
        <f>IF(K540="","",ROUND(K540/(L540+10),1))</f>
        <v/>
      </c>
      <c r="P540">
        <f>IF(O540="","",IF(O540&gt;=20,"A - Go first",IF(O540&gt;=5,"B - Next","C - Later")))</f>
        <v/>
      </c>
      <c r="Q540" t="inlineStr">
        <is>
          <t>To research</t>
        </is>
      </c>
      <c r="R540" t="inlineStr"/>
    </row>
    <row r="541">
      <c r="A541" t="inlineStr">
        <is>
          <t>rice supplier iraq from dubai</t>
        </is>
      </c>
      <c r="B541" t="inlineStr">
        <is>
          <t>Phase 1 - B2B now</t>
        </is>
      </c>
      <c r="C541" t="inlineStr">
        <is>
          <t>Importers / exporters / traders</t>
        </is>
      </c>
      <c r="D541" t="inlineStr">
        <is>
          <t>Re-export</t>
        </is>
      </c>
      <c r="E541" t="inlineStr">
        <is>
          <t>B2B</t>
        </is>
      </c>
      <c r="F541" t="inlineStr">
        <is>
          <t>Transactional (B2B)</t>
        </is>
      </c>
      <c r="G541" t="inlineStr">
        <is>
          <t>BOFU</t>
        </is>
      </c>
      <c r="H541" t="inlineStr">
        <is>
          <t>Dubai</t>
        </is>
      </c>
      <c r="I541" t="inlineStr">
        <is>
          <t>Export / Re-export page</t>
        </is>
      </c>
      <c r="J541" t="inlineStr">
        <is>
          <t>Landing</t>
        </is>
      </c>
      <c r="K541">
        <f>IFERROR(VLOOKUP($A541,'Semrush Import'!$A:$D,2,FALSE),"")</f>
        <v/>
      </c>
      <c r="L541">
        <f>IFERROR(VLOOKUP($A541,'Semrush Import'!$A:$D,3,FALSE),"")</f>
        <v/>
      </c>
      <c r="M541">
        <f>IFERROR(VLOOKUP($A541,'Semrush Import'!$A:$D,4,FALSE),"")</f>
        <v/>
      </c>
      <c r="N541">
        <f>IFERROR(VLOOKUP($A541,'KP Import'!$A:$B,2,FALSE),"")</f>
        <v/>
      </c>
      <c r="O541">
        <f>IF(K541="","",ROUND(K541/(L541+10),1))</f>
        <v/>
      </c>
      <c r="P541">
        <f>IF(O541="","",IF(O541&gt;=20,"A - Go first",IF(O541&gt;=5,"B - Next","C - Later")))</f>
        <v/>
      </c>
      <c r="Q541" t="inlineStr">
        <is>
          <t>To research</t>
        </is>
      </c>
      <c r="R541" t="inlineStr"/>
    </row>
    <row r="542">
      <c r="A542" t="inlineStr">
        <is>
          <t>rice export to yemen</t>
        </is>
      </c>
      <c r="B542" t="inlineStr">
        <is>
          <t>Phase 1 - B2B now</t>
        </is>
      </c>
      <c r="C542" t="inlineStr">
        <is>
          <t>Importers / exporters / traders</t>
        </is>
      </c>
      <c r="D542" t="inlineStr">
        <is>
          <t>Re-export</t>
        </is>
      </c>
      <c r="E542" t="inlineStr">
        <is>
          <t>B2B</t>
        </is>
      </c>
      <c r="F542" t="inlineStr">
        <is>
          <t>Transactional (B2B)</t>
        </is>
      </c>
      <c r="G542" t="inlineStr">
        <is>
          <t>BOFU</t>
        </is>
      </c>
      <c r="H542" t="inlineStr">
        <is>
          <t>UAE</t>
        </is>
      </c>
      <c r="I542" t="inlineStr">
        <is>
          <t>Export / Re-export page</t>
        </is>
      </c>
      <c r="J542" t="inlineStr">
        <is>
          <t>Landing</t>
        </is>
      </c>
      <c r="K542">
        <f>IFERROR(VLOOKUP($A542,'Semrush Import'!$A:$D,2,FALSE),"")</f>
        <v/>
      </c>
      <c r="L542">
        <f>IFERROR(VLOOKUP($A542,'Semrush Import'!$A:$D,3,FALSE),"")</f>
        <v/>
      </c>
      <c r="M542">
        <f>IFERROR(VLOOKUP($A542,'Semrush Import'!$A:$D,4,FALSE),"")</f>
        <v/>
      </c>
      <c r="N542">
        <f>IFERROR(VLOOKUP($A542,'KP Import'!$A:$B,2,FALSE),"")</f>
        <v/>
      </c>
      <c r="O542">
        <f>IF(K542="","",ROUND(K542/(L542+10),1))</f>
        <v/>
      </c>
      <c r="P542">
        <f>IF(O542="","",IF(O542&gt;=20,"A - Go first",IF(O542&gt;=5,"B - Next","C - Later")))</f>
        <v/>
      </c>
      <c r="Q542" t="inlineStr">
        <is>
          <t>To research</t>
        </is>
      </c>
      <c r="R542" t="inlineStr"/>
    </row>
    <row r="543">
      <c r="A543" t="inlineStr">
        <is>
          <t>rice supplier somalia</t>
        </is>
      </c>
      <c r="B543" t="inlineStr">
        <is>
          <t>Phase 1 - B2B now</t>
        </is>
      </c>
      <c r="C543" t="inlineStr">
        <is>
          <t>Importers / exporters / traders</t>
        </is>
      </c>
      <c r="D543" t="inlineStr">
        <is>
          <t>Re-export</t>
        </is>
      </c>
      <c r="E543" t="inlineStr">
        <is>
          <t>B2B</t>
        </is>
      </c>
      <c r="F543" t="inlineStr">
        <is>
          <t>Transactional (B2B)</t>
        </is>
      </c>
      <c r="G543" t="inlineStr">
        <is>
          <t>BOFU</t>
        </is>
      </c>
      <c r="H543" t="inlineStr">
        <is>
          <t>UAE</t>
        </is>
      </c>
      <c r="I543" t="inlineStr">
        <is>
          <t>Export / Re-export page</t>
        </is>
      </c>
      <c r="J543" t="inlineStr">
        <is>
          <t>Landing</t>
        </is>
      </c>
      <c r="K543">
        <f>IFERROR(VLOOKUP($A543,'Semrush Import'!$A:$D,2,FALSE),"")</f>
        <v/>
      </c>
      <c r="L543">
        <f>IFERROR(VLOOKUP($A543,'Semrush Import'!$A:$D,3,FALSE),"")</f>
        <v/>
      </c>
      <c r="M543">
        <f>IFERROR(VLOOKUP($A543,'Semrush Import'!$A:$D,4,FALSE),"")</f>
        <v/>
      </c>
      <c r="N543">
        <f>IFERROR(VLOOKUP($A543,'KP Import'!$A:$B,2,FALSE),"")</f>
        <v/>
      </c>
      <c r="O543">
        <f>IF(K543="","",ROUND(K543/(L543+10),1))</f>
        <v/>
      </c>
      <c r="P543">
        <f>IF(O543="","",IF(O543&gt;=20,"A - Go first",IF(O543&gt;=5,"B - Next","C - Later")))</f>
        <v/>
      </c>
      <c r="Q543" t="inlineStr">
        <is>
          <t>To research</t>
        </is>
      </c>
      <c r="R543" t="inlineStr"/>
    </row>
    <row r="544">
      <c r="A544" t="inlineStr">
        <is>
          <t>rice supplier kenya from dubai</t>
        </is>
      </c>
      <c r="B544" t="inlineStr">
        <is>
          <t>Phase 1 - B2B now</t>
        </is>
      </c>
      <c r="C544" t="inlineStr">
        <is>
          <t>Importers / exporters / traders</t>
        </is>
      </c>
      <c r="D544" t="inlineStr">
        <is>
          <t>Re-export</t>
        </is>
      </c>
      <c r="E544" t="inlineStr">
        <is>
          <t>B2B</t>
        </is>
      </c>
      <c r="F544" t="inlineStr">
        <is>
          <t>Transactional (B2B)</t>
        </is>
      </c>
      <c r="G544" t="inlineStr">
        <is>
          <t>BOFU</t>
        </is>
      </c>
      <c r="H544" t="inlineStr">
        <is>
          <t>UAE</t>
        </is>
      </c>
      <c r="I544" t="inlineStr">
        <is>
          <t>Export / Re-export page</t>
        </is>
      </c>
      <c r="J544" t="inlineStr">
        <is>
          <t>Landing</t>
        </is>
      </c>
      <c r="K544">
        <f>IFERROR(VLOOKUP($A544,'Semrush Import'!$A:$D,2,FALSE),"")</f>
        <v/>
      </c>
      <c r="L544">
        <f>IFERROR(VLOOKUP($A544,'Semrush Import'!$A:$D,3,FALSE),"")</f>
        <v/>
      </c>
      <c r="M544">
        <f>IFERROR(VLOOKUP($A544,'Semrush Import'!$A:$D,4,FALSE),"")</f>
        <v/>
      </c>
      <c r="N544">
        <f>IFERROR(VLOOKUP($A544,'KP Import'!$A:$B,2,FALSE),"")</f>
        <v/>
      </c>
      <c r="O544">
        <f>IF(K544="","",ROUND(K544/(L544+10),1))</f>
        <v/>
      </c>
      <c r="P544">
        <f>IF(O544="","",IF(O544&gt;=20,"A - Go first",IF(O544&gt;=5,"B - Next","C - Later")))</f>
        <v/>
      </c>
      <c r="Q544" t="inlineStr">
        <is>
          <t>To research</t>
        </is>
      </c>
      <c r="R544" t="inlineStr"/>
    </row>
    <row r="545">
      <c r="A545" t="inlineStr">
        <is>
          <t>rice export to nigeria</t>
        </is>
      </c>
      <c r="B545" t="inlineStr">
        <is>
          <t>Phase 1 - B2B now</t>
        </is>
      </c>
      <c r="C545" t="inlineStr">
        <is>
          <t>Importers / exporters / traders</t>
        </is>
      </c>
      <c r="D545" t="inlineStr">
        <is>
          <t>Re-export</t>
        </is>
      </c>
      <c r="E545" t="inlineStr">
        <is>
          <t>B2B</t>
        </is>
      </c>
      <c r="F545" t="inlineStr">
        <is>
          <t>Transactional (B2B)</t>
        </is>
      </c>
      <c r="G545" t="inlineStr">
        <is>
          <t>BOFU</t>
        </is>
      </c>
      <c r="H545" t="inlineStr">
        <is>
          <t>UAE</t>
        </is>
      </c>
      <c r="I545" t="inlineStr">
        <is>
          <t>Export / Re-export page</t>
        </is>
      </c>
      <c r="J545" t="inlineStr">
        <is>
          <t>Landing</t>
        </is>
      </c>
      <c r="K545">
        <f>IFERROR(VLOOKUP($A545,'Semrush Import'!$A:$D,2,FALSE),"")</f>
        <v/>
      </c>
      <c r="L545">
        <f>IFERROR(VLOOKUP($A545,'Semrush Import'!$A:$D,3,FALSE),"")</f>
        <v/>
      </c>
      <c r="M545">
        <f>IFERROR(VLOOKUP($A545,'Semrush Import'!$A:$D,4,FALSE),"")</f>
        <v/>
      </c>
      <c r="N545">
        <f>IFERROR(VLOOKUP($A545,'KP Import'!$A:$B,2,FALSE),"")</f>
        <v/>
      </c>
      <c r="O545">
        <f>IF(K545="","",ROUND(K545/(L545+10),1))</f>
        <v/>
      </c>
      <c r="P545">
        <f>IF(O545="","",IF(O545&gt;=20,"A - Go first",IF(O545&gt;=5,"B - Next","C - Later")))</f>
        <v/>
      </c>
      <c r="Q545" t="inlineStr">
        <is>
          <t>To research</t>
        </is>
      </c>
      <c r="R545" t="inlineStr"/>
    </row>
    <row r="546">
      <c r="A546" t="inlineStr">
        <is>
          <t>rice supplier gcc</t>
        </is>
      </c>
      <c r="B546" t="inlineStr">
        <is>
          <t>Phase 1 - B2B now</t>
        </is>
      </c>
      <c r="C546" t="inlineStr">
        <is>
          <t>Importers / exporters / traders</t>
        </is>
      </c>
      <c r="D546" t="inlineStr">
        <is>
          <t>Re-export</t>
        </is>
      </c>
      <c r="E546" t="inlineStr">
        <is>
          <t>B2B</t>
        </is>
      </c>
      <c r="F546" t="inlineStr">
        <is>
          <t>Transactional (B2B)</t>
        </is>
      </c>
      <c r="G546" t="inlineStr">
        <is>
          <t>BOFU</t>
        </is>
      </c>
      <c r="H546" t="inlineStr">
        <is>
          <t>UAE</t>
        </is>
      </c>
      <c r="I546" t="inlineStr">
        <is>
          <t>Export / Re-export page</t>
        </is>
      </c>
      <c r="J546" t="inlineStr">
        <is>
          <t>Landing</t>
        </is>
      </c>
      <c r="K546">
        <f>IFERROR(VLOOKUP($A546,'Semrush Import'!$A:$D,2,FALSE),"")</f>
        <v/>
      </c>
      <c r="L546">
        <f>IFERROR(VLOOKUP($A546,'Semrush Import'!$A:$D,3,FALSE),"")</f>
        <v/>
      </c>
      <c r="M546">
        <f>IFERROR(VLOOKUP($A546,'Semrush Import'!$A:$D,4,FALSE),"")</f>
        <v/>
      </c>
      <c r="N546">
        <f>IFERROR(VLOOKUP($A546,'KP Import'!$A:$B,2,FALSE),"")</f>
        <v/>
      </c>
      <c r="O546">
        <f>IF(K546="","",ROUND(K546/(L546+10),1))</f>
        <v/>
      </c>
      <c r="P546">
        <f>IF(O546="","",IF(O546&gt;=20,"A - Go first",IF(O546&gt;=5,"B - Next","C - Later")))</f>
        <v/>
      </c>
      <c r="Q546" t="inlineStr">
        <is>
          <t>To research</t>
        </is>
      </c>
      <c r="R546" t="inlineStr"/>
    </row>
    <row r="547">
      <c r="A547" t="inlineStr">
        <is>
          <t>rice supplier qatar</t>
        </is>
      </c>
      <c r="B547" t="inlineStr">
        <is>
          <t>Phase 1 - B2B now</t>
        </is>
      </c>
      <c r="C547" t="inlineStr">
        <is>
          <t>Importers / exporters / traders</t>
        </is>
      </c>
      <c r="D547" t="inlineStr">
        <is>
          <t>Re-export</t>
        </is>
      </c>
      <c r="E547" t="inlineStr">
        <is>
          <t>B2B</t>
        </is>
      </c>
      <c r="F547" t="inlineStr">
        <is>
          <t>Transactional (B2B)</t>
        </is>
      </c>
      <c r="G547" t="inlineStr">
        <is>
          <t>BOFU</t>
        </is>
      </c>
      <c r="H547" t="inlineStr">
        <is>
          <t>UAE</t>
        </is>
      </c>
      <c r="I547" t="inlineStr">
        <is>
          <t>Export / Re-export page</t>
        </is>
      </c>
      <c r="J547" t="inlineStr">
        <is>
          <t>Landing</t>
        </is>
      </c>
      <c r="K547">
        <f>IFERROR(VLOOKUP($A547,'Semrush Import'!$A:$D,2,FALSE),"")</f>
        <v/>
      </c>
      <c r="L547">
        <f>IFERROR(VLOOKUP($A547,'Semrush Import'!$A:$D,3,FALSE),"")</f>
        <v/>
      </c>
      <c r="M547">
        <f>IFERROR(VLOOKUP($A547,'Semrush Import'!$A:$D,4,FALSE),"")</f>
        <v/>
      </c>
      <c r="N547">
        <f>IFERROR(VLOOKUP($A547,'KP Import'!$A:$B,2,FALSE),"")</f>
        <v/>
      </c>
      <c r="O547">
        <f>IF(K547="","",ROUND(K547/(L547+10),1))</f>
        <v/>
      </c>
      <c r="P547">
        <f>IF(O547="","",IF(O547&gt;=20,"A - Go first",IF(O547&gt;=5,"B - Next","C - Later")))</f>
        <v/>
      </c>
      <c r="Q547" t="inlineStr">
        <is>
          <t>To research</t>
        </is>
      </c>
      <c r="R547" t="inlineStr"/>
    </row>
    <row r="548">
      <c r="A548" t="inlineStr">
        <is>
          <t>rice supplier kuwait</t>
        </is>
      </c>
      <c r="B548" t="inlineStr">
        <is>
          <t>Phase 1 - B2B now</t>
        </is>
      </c>
      <c r="C548" t="inlineStr">
        <is>
          <t>Importers / exporters / traders</t>
        </is>
      </c>
      <c r="D548" t="inlineStr">
        <is>
          <t>Re-export</t>
        </is>
      </c>
      <c r="E548" t="inlineStr">
        <is>
          <t>B2B</t>
        </is>
      </c>
      <c r="F548" t="inlineStr">
        <is>
          <t>Transactional (B2B)</t>
        </is>
      </c>
      <c r="G548" t="inlineStr">
        <is>
          <t>BOFU</t>
        </is>
      </c>
      <c r="H548" t="inlineStr">
        <is>
          <t>UAE</t>
        </is>
      </c>
      <c r="I548" t="inlineStr">
        <is>
          <t>Export / Re-export page</t>
        </is>
      </c>
      <c r="J548" t="inlineStr">
        <is>
          <t>Landing</t>
        </is>
      </c>
      <c r="K548">
        <f>IFERROR(VLOOKUP($A548,'Semrush Import'!$A:$D,2,FALSE),"")</f>
        <v/>
      </c>
      <c r="L548">
        <f>IFERROR(VLOOKUP($A548,'Semrush Import'!$A:$D,3,FALSE),"")</f>
        <v/>
      </c>
      <c r="M548">
        <f>IFERROR(VLOOKUP($A548,'Semrush Import'!$A:$D,4,FALSE),"")</f>
        <v/>
      </c>
      <c r="N548">
        <f>IFERROR(VLOOKUP($A548,'KP Import'!$A:$B,2,FALSE),"")</f>
        <v/>
      </c>
      <c r="O548">
        <f>IF(K548="","",ROUND(K548/(L548+10),1))</f>
        <v/>
      </c>
      <c r="P548">
        <f>IF(O548="","",IF(O548&gt;=20,"A - Go first",IF(O548&gt;=5,"B - Next","C - Later")))</f>
        <v/>
      </c>
      <c r="Q548" t="inlineStr">
        <is>
          <t>To research</t>
        </is>
      </c>
      <c r="R548" t="inlineStr"/>
    </row>
    <row r="549">
      <c r="A549" t="inlineStr">
        <is>
          <t>rice trading jafza</t>
        </is>
      </c>
      <c r="B549" t="inlineStr">
        <is>
          <t>Phase 1 - B2B now</t>
        </is>
      </c>
      <c r="C549" t="inlineStr">
        <is>
          <t>Importers / exporters / traders</t>
        </is>
      </c>
      <c r="D549" t="inlineStr">
        <is>
          <t>Free zone / ports</t>
        </is>
      </c>
      <c r="E549" t="inlineStr">
        <is>
          <t>B2B</t>
        </is>
      </c>
      <c r="F549" t="inlineStr">
        <is>
          <t>Transactional (B2B)</t>
        </is>
      </c>
      <c r="G549" t="inlineStr">
        <is>
          <t>BOFU</t>
        </is>
      </c>
      <c r="H549" t="inlineStr">
        <is>
          <t>Dubai</t>
        </is>
      </c>
      <c r="I549" t="inlineStr">
        <is>
          <t>Wholesale landing page</t>
        </is>
      </c>
      <c r="J549" t="inlineStr">
        <is>
          <t>Landing</t>
        </is>
      </c>
      <c r="K549">
        <f>IFERROR(VLOOKUP($A549,'Semrush Import'!$A:$D,2,FALSE),"")</f>
        <v/>
      </c>
      <c r="L549">
        <f>IFERROR(VLOOKUP($A549,'Semrush Import'!$A:$D,3,FALSE),"")</f>
        <v/>
      </c>
      <c r="M549">
        <f>IFERROR(VLOOKUP($A549,'Semrush Import'!$A:$D,4,FALSE),"")</f>
        <v/>
      </c>
      <c r="N549">
        <f>IFERROR(VLOOKUP($A549,'KP Import'!$A:$B,2,FALSE),"")</f>
        <v/>
      </c>
      <c r="O549">
        <f>IF(K549="","",ROUND(K549/(L549+10),1))</f>
        <v/>
      </c>
      <c r="P549">
        <f>IF(O549="","",IF(O549&gt;=20,"A - Go first",IF(O549&gt;=5,"B - Next","C - Later")))</f>
        <v/>
      </c>
      <c r="Q549" t="inlineStr">
        <is>
          <t>To research</t>
        </is>
      </c>
      <c r="R549" t="inlineStr"/>
    </row>
    <row r="550">
      <c r="A550" t="inlineStr">
        <is>
          <t>rice warehouse jebel ali</t>
        </is>
      </c>
      <c r="B550" t="inlineStr">
        <is>
          <t>Phase 1 - B2B now</t>
        </is>
      </c>
      <c r="C550" t="inlineStr">
        <is>
          <t>Importers / exporters / traders</t>
        </is>
      </c>
      <c r="D550" t="inlineStr">
        <is>
          <t>Free zone / ports</t>
        </is>
      </c>
      <c r="E550" t="inlineStr">
        <is>
          <t>B2B</t>
        </is>
      </c>
      <c r="F550" t="inlineStr">
        <is>
          <t>Transactional (B2B)</t>
        </is>
      </c>
      <c r="G550" t="inlineStr">
        <is>
          <t>BOFU</t>
        </is>
      </c>
      <c r="H550" t="inlineStr">
        <is>
          <t>Dubai</t>
        </is>
      </c>
      <c r="I550" t="inlineStr">
        <is>
          <t>Wholesale landing page</t>
        </is>
      </c>
      <c r="J550" t="inlineStr">
        <is>
          <t>Landing</t>
        </is>
      </c>
      <c r="K550">
        <f>IFERROR(VLOOKUP($A550,'Semrush Import'!$A:$D,2,FALSE),"")</f>
        <v/>
      </c>
      <c r="L550">
        <f>IFERROR(VLOOKUP($A550,'Semrush Import'!$A:$D,3,FALSE),"")</f>
        <v/>
      </c>
      <c r="M550">
        <f>IFERROR(VLOOKUP($A550,'Semrush Import'!$A:$D,4,FALSE),"")</f>
        <v/>
      </c>
      <c r="N550">
        <f>IFERROR(VLOOKUP($A550,'KP Import'!$A:$B,2,FALSE),"")</f>
        <v/>
      </c>
      <c r="O550">
        <f>IF(K550="","",ROUND(K550/(L550+10),1))</f>
        <v/>
      </c>
      <c r="P550">
        <f>IF(O550="","",IF(O550&gt;=20,"A - Go first",IF(O550&gt;=5,"B - Next","C - Later")))</f>
        <v/>
      </c>
      <c r="Q550" t="inlineStr">
        <is>
          <t>To research</t>
        </is>
      </c>
      <c r="R550" t="inlineStr"/>
    </row>
    <row r="551">
      <c r="A551" t="inlineStr">
        <is>
          <t>food trading license dubai</t>
        </is>
      </c>
      <c r="B551" t="inlineStr">
        <is>
          <t>Phase 1 - B2B now</t>
        </is>
      </c>
      <c r="C551" t="inlineStr">
        <is>
          <t>Importers / exporters / traders</t>
        </is>
      </c>
      <c r="D551" t="inlineStr">
        <is>
          <t>Free zone / ports</t>
        </is>
      </c>
      <c r="E551" t="inlineStr">
        <is>
          <t>B2B</t>
        </is>
      </c>
      <c r="F551" t="inlineStr">
        <is>
          <t>Transactional (B2B)</t>
        </is>
      </c>
      <c r="G551" t="inlineStr">
        <is>
          <t>BOFU</t>
        </is>
      </c>
      <c r="H551" t="inlineStr">
        <is>
          <t>Dubai</t>
        </is>
      </c>
      <c r="I551" t="inlineStr">
        <is>
          <t>Wholesale landing page</t>
        </is>
      </c>
      <c r="J551" t="inlineStr">
        <is>
          <t>Landing</t>
        </is>
      </c>
      <c r="K551">
        <f>IFERROR(VLOOKUP($A551,'Semrush Import'!$A:$D,2,FALSE),"")</f>
        <v/>
      </c>
      <c r="L551">
        <f>IFERROR(VLOOKUP($A551,'Semrush Import'!$A:$D,3,FALSE),"")</f>
        <v/>
      </c>
      <c r="M551">
        <f>IFERROR(VLOOKUP($A551,'Semrush Import'!$A:$D,4,FALSE),"")</f>
        <v/>
      </c>
      <c r="N551">
        <f>IFERROR(VLOOKUP($A551,'KP Import'!$A:$B,2,FALSE),"")</f>
        <v/>
      </c>
      <c r="O551">
        <f>IF(K551="","",ROUND(K551/(L551+10),1))</f>
        <v/>
      </c>
      <c r="P551">
        <f>IF(O551="","",IF(O551&gt;=20,"A - Go first",IF(O551&gt;=5,"B - Next","C - Later")))</f>
        <v/>
      </c>
      <c r="Q551" t="inlineStr">
        <is>
          <t>To research</t>
        </is>
      </c>
      <c r="R551" t="inlineStr"/>
    </row>
    <row r="552">
      <c r="A552" t="inlineStr">
        <is>
          <t>food trading company jafza</t>
        </is>
      </c>
      <c r="B552" t="inlineStr">
        <is>
          <t>Phase 1 - B2B now</t>
        </is>
      </c>
      <c r="C552" t="inlineStr">
        <is>
          <t>Importers / exporters / traders</t>
        </is>
      </c>
      <c r="D552" t="inlineStr">
        <is>
          <t>Free zone / ports</t>
        </is>
      </c>
      <c r="E552" t="inlineStr">
        <is>
          <t>B2B</t>
        </is>
      </c>
      <c r="F552" t="inlineStr">
        <is>
          <t>Transactional (B2B)</t>
        </is>
      </c>
      <c r="G552" t="inlineStr">
        <is>
          <t>BOFU</t>
        </is>
      </c>
      <c r="H552" t="inlineStr">
        <is>
          <t>Dubai</t>
        </is>
      </c>
      <c r="I552" t="inlineStr">
        <is>
          <t>Wholesale landing page</t>
        </is>
      </c>
      <c r="J552" t="inlineStr">
        <is>
          <t>Landing</t>
        </is>
      </c>
      <c r="K552">
        <f>IFERROR(VLOOKUP($A552,'Semrush Import'!$A:$D,2,FALSE),"")</f>
        <v/>
      </c>
      <c r="L552">
        <f>IFERROR(VLOOKUP($A552,'Semrush Import'!$A:$D,3,FALSE),"")</f>
        <v/>
      </c>
      <c r="M552">
        <f>IFERROR(VLOOKUP($A552,'Semrush Import'!$A:$D,4,FALSE),"")</f>
        <v/>
      </c>
      <c r="N552">
        <f>IFERROR(VLOOKUP($A552,'KP Import'!$A:$B,2,FALSE),"")</f>
        <v/>
      </c>
      <c r="O552">
        <f>IF(K552="","",ROUND(K552/(L552+10),1))</f>
        <v/>
      </c>
      <c r="P552">
        <f>IF(O552="","",IF(O552&gt;=20,"A - Go first",IF(O552&gt;=5,"B - Next","C - Later")))</f>
        <v/>
      </c>
      <c r="Q552" t="inlineStr">
        <is>
          <t>To research</t>
        </is>
      </c>
      <c r="R552" t="inlineStr"/>
    </row>
    <row r="553">
      <c r="A553" t="inlineStr">
        <is>
          <t>rice warehouse dubai</t>
        </is>
      </c>
      <c r="B553" t="inlineStr">
        <is>
          <t>Phase 1 - B2B now</t>
        </is>
      </c>
      <c r="C553" t="inlineStr">
        <is>
          <t>Importers / exporters / traders</t>
        </is>
      </c>
      <c r="D553" t="inlineStr">
        <is>
          <t>Free zone / ports</t>
        </is>
      </c>
      <c r="E553" t="inlineStr">
        <is>
          <t>B2B</t>
        </is>
      </c>
      <c r="F553" t="inlineStr">
        <is>
          <t>Transactional (B2B)</t>
        </is>
      </c>
      <c r="G553" t="inlineStr">
        <is>
          <t>BOFU</t>
        </is>
      </c>
      <c r="H553" t="inlineStr">
        <is>
          <t>Dubai</t>
        </is>
      </c>
      <c r="I553" t="inlineStr">
        <is>
          <t>Wholesale landing page</t>
        </is>
      </c>
      <c r="J553" t="inlineStr">
        <is>
          <t>Landing</t>
        </is>
      </c>
      <c r="K553">
        <f>IFERROR(VLOOKUP($A553,'Semrush Import'!$A:$D,2,FALSE),"")</f>
        <v/>
      </c>
      <c r="L553">
        <f>IFERROR(VLOOKUP($A553,'Semrush Import'!$A:$D,3,FALSE),"")</f>
        <v/>
      </c>
      <c r="M553">
        <f>IFERROR(VLOOKUP($A553,'Semrush Import'!$A:$D,4,FALSE),"")</f>
        <v/>
      </c>
      <c r="N553">
        <f>IFERROR(VLOOKUP($A553,'KP Import'!$A:$B,2,FALSE),"")</f>
        <v/>
      </c>
      <c r="O553">
        <f>IF(K553="","",ROUND(K553/(L553+10),1))</f>
        <v/>
      </c>
      <c r="P553">
        <f>IF(O553="","",IF(O553&gt;=20,"A - Go first",IF(O553&gt;=5,"B - Next","C - Later")))</f>
        <v/>
      </c>
      <c r="Q553" t="inlineStr">
        <is>
          <t>To research</t>
        </is>
      </c>
      <c r="R553" t="inlineStr"/>
    </row>
    <row r="554">
      <c r="A554" t="inlineStr">
        <is>
          <t>rice storage dubai</t>
        </is>
      </c>
      <c r="B554" t="inlineStr">
        <is>
          <t>Phase 1 - B2B now</t>
        </is>
      </c>
      <c r="C554" t="inlineStr">
        <is>
          <t>Importers / exporters / traders</t>
        </is>
      </c>
      <c r="D554" t="inlineStr">
        <is>
          <t>Free zone / ports</t>
        </is>
      </c>
      <c r="E554" t="inlineStr">
        <is>
          <t>B2B</t>
        </is>
      </c>
      <c r="F554" t="inlineStr">
        <is>
          <t>Transactional (B2B)</t>
        </is>
      </c>
      <c r="G554" t="inlineStr">
        <is>
          <t>BOFU</t>
        </is>
      </c>
      <c r="H554" t="inlineStr">
        <is>
          <t>Dubai</t>
        </is>
      </c>
      <c r="I554" t="inlineStr">
        <is>
          <t>Wholesale landing page</t>
        </is>
      </c>
      <c r="J554" t="inlineStr">
        <is>
          <t>Landing</t>
        </is>
      </c>
      <c r="K554">
        <f>IFERROR(VLOOKUP($A554,'Semrush Import'!$A:$D,2,FALSE),"")</f>
        <v/>
      </c>
      <c r="L554">
        <f>IFERROR(VLOOKUP($A554,'Semrush Import'!$A:$D,3,FALSE),"")</f>
        <v/>
      </c>
      <c r="M554">
        <f>IFERROR(VLOOKUP($A554,'Semrush Import'!$A:$D,4,FALSE),"")</f>
        <v/>
      </c>
      <c r="N554">
        <f>IFERROR(VLOOKUP($A554,'KP Import'!$A:$B,2,FALSE),"")</f>
        <v/>
      </c>
      <c r="O554">
        <f>IF(K554="","",ROUND(K554/(L554+10),1))</f>
        <v/>
      </c>
      <c r="P554">
        <f>IF(O554="","",IF(O554&gt;=20,"A - Go first",IF(O554&gt;=5,"B - Next","C - Later")))</f>
        <v/>
      </c>
      <c r="Q554" t="inlineStr">
        <is>
          <t>To research</t>
        </is>
      </c>
      <c r="R554" t="inlineStr"/>
    </row>
    <row r="555">
      <c r="A555" t="inlineStr">
        <is>
          <t>private label rice supplier</t>
        </is>
      </c>
      <c r="B555" t="inlineStr">
        <is>
          <t>Phase 1 - B2B now</t>
        </is>
      </c>
      <c r="C555" t="inlineStr">
        <is>
          <t>Importers / exporters / traders</t>
        </is>
      </c>
      <c r="D555" t="inlineStr">
        <is>
          <t>Private label</t>
        </is>
      </c>
      <c r="E555" t="inlineStr">
        <is>
          <t>B2B</t>
        </is>
      </c>
      <c r="F555" t="inlineStr">
        <is>
          <t>Transactional (B2B)</t>
        </is>
      </c>
      <c r="G555" t="inlineStr">
        <is>
          <t>BOFU</t>
        </is>
      </c>
      <c r="H555" t="inlineStr">
        <is>
          <t>Global/International</t>
        </is>
      </c>
      <c r="I555" t="inlineStr">
        <is>
          <t>Private label page</t>
        </is>
      </c>
      <c r="J555" t="inlineStr">
        <is>
          <t>Landing</t>
        </is>
      </c>
      <c r="K555">
        <f>IFERROR(VLOOKUP($A555,'Semrush Import'!$A:$D,2,FALSE),"")</f>
        <v/>
      </c>
      <c r="L555">
        <f>IFERROR(VLOOKUP($A555,'Semrush Import'!$A:$D,3,FALSE),"")</f>
        <v/>
      </c>
      <c r="M555">
        <f>IFERROR(VLOOKUP($A555,'Semrush Import'!$A:$D,4,FALSE),"")</f>
        <v/>
      </c>
      <c r="N555">
        <f>IFERROR(VLOOKUP($A555,'KP Import'!$A:$B,2,FALSE),"")</f>
        <v/>
      </c>
      <c r="O555">
        <f>IF(K555="","",ROUND(K555/(L555+10),1))</f>
        <v/>
      </c>
      <c r="P555">
        <f>IF(O555="","",IF(O555&gt;=20,"A - Go first",IF(O555&gt;=5,"B - Next","C - Later")))</f>
        <v/>
      </c>
      <c r="Q555" t="inlineStr">
        <is>
          <t>To research</t>
        </is>
      </c>
      <c r="R555" t="inlineStr"/>
    </row>
    <row r="556">
      <c r="A556" t="inlineStr">
        <is>
          <t>private label basmati rice uae</t>
        </is>
      </c>
      <c r="B556" t="inlineStr">
        <is>
          <t>Phase 1 - B2B now</t>
        </is>
      </c>
      <c r="C556" t="inlineStr">
        <is>
          <t>Importers / exporters / traders</t>
        </is>
      </c>
      <c r="D556" t="inlineStr">
        <is>
          <t>Private label</t>
        </is>
      </c>
      <c r="E556" t="inlineStr">
        <is>
          <t>B2B</t>
        </is>
      </c>
      <c r="F556" t="inlineStr">
        <is>
          <t>Transactional (B2B)</t>
        </is>
      </c>
      <c r="G556" t="inlineStr">
        <is>
          <t>BOFU</t>
        </is>
      </c>
      <c r="H556" t="inlineStr">
        <is>
          <t>UAE</t>
        </is>
      </c>
      <c r="I556" t="inlineStr">
        <is>
          <t>Private label page</t>
        </is>
      </c>
      <c r="J556" t="inlineStr">
        <is>
          <t>Landing</t>
        </is>
      </c>
      <c r="K556">
        <f>IFERROR(VLOOKUP($A556,'Semrush Import'!$A:$D,2,FALSE),"")</f>
        <v/>
      </c>
      <c r="L556">
        <f>IFERROR(VLOOKUP($A556,'Semrush Import'!$A:$D,3,FALSE),"")</f>
        <v/>
      </c>
      <c r="M556">
        <f>IFERROR(VLOOKUP($A556,'Semrush Import'!$A:$D,4,FALSE),"")</f>
        <v/>
      </c>
      <c r="N556">
        <f>IFERROR(VLOOKUP($A556,'KP Import'!$A:$B,2,FALSE),"")</f>
        <v/>
      </c>
      <c r="O556">
        <f>IF(K556="","",ROUND(K556/(L556+10),1))</f>
        <v/>
      </c>
      <c r="P556">
        <f>IF(O556="","",IF(O556&gt;=20,"A - Go first",IF(O556&gt;=5,"B - Next","C - Later")))</f>
        <v/>
      </c>
      <c r="Q556" t="inlineStr">
        <is>
          <t>To research</t>
        </is>
      </c>
      <c r="R556" t="inlineStr"/>
    </row>
    <row r="557">
      <c r="A557" t="inlineStr">
        <is>
          <t>rice packing manufacturer uae</t>
        </is>
      </c>
      <c r="B557" t="inlineStr">
        <is>
          <t>Phase 1 - B2B now</t>
        </is>
      </c>
      <c r="C557" t="inlineStr">
        <is>
          <t>Importers / exporters / traders</t>
        </is>
      </c>
      <c r="D557" t="inlineStr">
        <is>
          <t>Private label</t>
        </is>
      </c>
      <c r="E557" t="inlineStr">
        <is>
          <t>B2B</t>
        </is>
      </c>
      <c r="F557" t="inlineStr">
        <is>
          <t>Transactional (B2B)</t>
        </is>
      </c>
      <c r="G557" t="inlineStr">
        <is>
          <t>BOFU</t>
        </is>
      </c>
      <c r="H557" t="inlineStr">
        <is>
          <t>UAE</t>
        </is>
      </c>
      <c r="I557" t="inlineStr">
        <is>
          <t>Private label page</t>
        </is>
      </c>
      <c r="J557" t="inlineStr">
        <is>
          <t>Landing</t>
        </is>
      </c>
      <c r="K557">
        <f>IFERROR(VLOOKUP($A557,'Semrush Import'!$A:$D,2,FALSE),"")</f>
        <v/>
      </c>
      <c r="L557">
        <f>IFERROR(VLOOKUP($A557,'Semrush Import'!$A:$D,3,FALSE),"")</f>
        <v/>
      </c>
      <c r="M557">
        <f>IFERROR(VLOOKUP($A557,'Semrush Import'!$A:$D,4,FALSE),"")</f>
        <v/>
      </c>
      <c r="N557">
        <f>IFERROR(VLOOKUP($A557,'KP Import'!$A:$B,2,FALSE),"")</f>
        <v/>
      </c>
      <c r="O557">
        <f>IF(K557="","",ROUND(K557/(L557+10),1))</f>
        <v/>
      </c>
      <c r="P557">
        <f>IF(O557="","",IF(O557&gt;=20,"A - Go first",IF(O557&gt;=5,"B - Next","C - Later")))</f>
        <v/>
      </c>
      <c r="Q557" t="inlineStr">
        <is>
          <t>To research</t>
        </is>
      </c>
      <c r="R557" t="inlineStr"/>
    </row>
    <row r="558">
      <c r="A558" t="inlineStr">
        <is>
          <t>rice oem packaging</t>
        </is>
      </c>
      <c r="B558" t="inlineStr">
        <is>
          <t>Phase 1 - B2B now</t>
        </is>
      </c>
      <c r="C558" t="inlineStr">
        <is>
          <t>Importers / exporters / traders</t>
        </is>
      </c>
      <c r="D558" t="inlineStr">
        <is>
          <t>Private label</t>
        </is>
      </c>
      <c r="E558" t="inlineStr">
        <is>
          <t>B2B</t>
        </is>
      </c>
      <c r="F558" t="inlineStr">
        <is>
          <t>Transactional (B2B)</t>
        </is>
      </c>
      <c r="G558" t="inlineStr">
        <is>
          <t>BOFU</t>
        </is>
      </c>
      <c r="H558" t="inlineStr">
        <is>
          <t>Global/International</t>
        </is>
      </c>
      <c r="I558" t="inlineStr">
        <is>
          <t>Private label page</t>
        </is>
      </c>
      <c r="J558" t="inlineStr">
        <is>
          <t>Landing</t>
        </is>
      </c>
      <c r="K558">
        <f>IFERROR(VLOOKUP($A558,'Semrush Import'!$A:$D,2,FALSE),"")</f>
        <v/>
      </c>
      <c r="L558">
        <f>IFERROR(VLOOKUP($A558,'Semrush Import'!$A:$D,3,FALSE),"")</f>
        <v/>
      </c>
      <c r="M558">
        <f>IFERROR(VLOOKUP($A558,'Semrush Import'!$A:$D,4,FALSE),"")</f>
        <v/>
      </c>
      <c r="N558">
        <f>IFERROR(VLOOKUP($A558,'KP Import'!$A:$B,2,FALSE),"")</f>
        <v/>
      </c>
      <c r="O558">
        <f>IF(K558="","",ROUND(K558/(L558+10),1))</f>
        <v/>
      </c>
      <c r="P558">
        <f>IF(O558="","",IF(O558&gt;=20,"A - Go first",IF(O558&gt;=5,"B - Next","C - Later")))</f>
        <v/>
      </c>
      <c r="Q558" t="inlineStr">
        <is>
          <t>To research</t>
        </is>
      </c>
      <c r="R558" t="inlineStr"/>
    </row>
    <row r="559">
      <c r="A559" t="inlineStr">
        <is>
          <t>custom branded rice bags</t>
        </is>
      </c>
      <c r="B559" t="inlineStr">
        <is>
          <t>Phase 1 - B2B now</t>
        </is>
      </c>
      <c r="C559" t="inlineStr">
        <is>
          <t>Importers / exporters / traders</t>
        </is>
      </c>
      <c r="D559" t="inlineStr">
        <is>
          <t>Private label</t>
        </is>
      </c>
      <c r="E559" t="inlineStr">
        <is>
          <t>B2B</t>
        </is>
      </c>
      <c r="F559" t="inlineStr">
        <is>
          <t>Transactional (B2B)</t>
        </is>
      </c>
      <c r="G559" t="inlineStr">
        <is>
          <t>BOFU</t>
        </is>
      </c>
      <c r="H559" t="inlineStr">
        <is>
          <t>Global/International</t>
        </is>
      </c>
      <c r="I559" t="inlineStr">
        <is>
          <t>Private label page</t>
        </is>
      </c>
      <c r="J559" t="inlineStr">
        <is>
          <t>Landing</t>
        </is>
      </c>
      <c r="K559">
        <f>IFERROR(VLOOKUP($A559,'Semrush Import'!$A:$D,2,FALSE),"")</f>
        <v/>
      </c>
      <c r="L559">
        <f>IFERROR(VLOOKUP($A559,'Semrush Import'!$A:$D,3,FALSE),"")</f>
        <v/>
      </c>
      <c r="M559">
        <f>IFERROR(VLOOKUP($A559,'Semrush Import'!$A:$D,4,FALSE),"")</f>
        <v/>
      </c>
      <c r="N559">
        <f>IFERROR(VLOOKUP($A559,'KP Import'!$A:$B,2,FALSE),"")</f>
        <v/>
      </c>
      <c r="O559">
        <f>IF(K559="","",ROUND(K559/(L559+10),1))</f>
        <v/>
      </c>
      <c r="P559">
        <f>IF(O559="","",IF(O559&gt;=20,"A - Go first",IF(O559&gt;=5,"B - Next","C - Later")))</f>
        <v/>
      </c>
      <c r="Q559" t="inlineStr">
        <is>
          <t>To research</t>
        </is>
      </c>
      <c r="R559" t="inlineStr"/>
    </row>
    <row r="560">
      <c r="A560" t="inlineStr">
        <is>
          <t>pp bag rice packing</t>
        </is>
      </c>
      <c r="B560" t="inlineStr">
        <is>
          <t>Phase 1 - B2B now</t>
        </is>
      </c>
      <c r="C560" t="inlineStr">
        <is>
          <t>Importers / exporters / traders</t>
        </is>
      </c>
      <c r="D560" t="inlineStr">
        <is>
          <t>Private label</t>
        </is>
      </c>
      <c r="E560" t="inlineStr">
        <is>
          <t>B2B</t>
        </is>
      </c>
      <c r="F560" t="inlineStr">
        <is>
          <t>Transactional (B2B)</t>
        </is>
      </c>
      <c r="G560" t="inlineStr">
        <is>
          <t>BOFU</t>
        </is>
      </c>
      <c r="H560" t="inlineStr">
        <is>
          <t>Global/International</t>
        </is>
      </c>
      <c r="I560" t="inlineStr">
        <is>
          <t>Private label page</t>
        </is>
      </c>
      <c r="J560" t="inlineStr">
        <is>
          <t>Landing</t>
        </is>
      </c>
      <c r="K560">
        <f>IFERROR(VLOOKUP($A560,'Semrush Import'!$A:$D,2,FALSE),"")</f>
        <v/>
      </c>
      <c r="L560">
        <f>IFERROR(VLOOKUP($A560,'Semrush Import'!$A:$D,3,FALSE),"")</f>
        <v/>
      </c>
      <c r="M560">
        <f>IFERROR(VLOOKUP($A560,'Semrush Import'!$A:$D,4,FALSE),"")</f>
        <v/>
      </c>
      <c r="N560">
        <f>IFERROR(VLOOKUP($A560,'KP Import'!$A:$B,2,FALSE),"")</f>
        <v/>
      </c>
      <c r="O560">
        <f>IF(K560="","",ROUND(K560/(L560+10),1))</f>
        <v/>
      </c>
      <c r="P560">
        <f>IF(O560="","",IF(O560&gt;=20,"A - Go first",IF(O560&gt;=5,"B - Next","C - Later")))</f>
        <v/>
      </c>
      <c r="Q560" t="inlineStr">
        <is>
          <t>To research</t>
        </is>
      </c>
      <c r="R560" t="inlineStr"/>
    </row>
    <row r="561">
      <c r="A561" t="inlineStr">
        <is>
          <t>halal certified rice supplier</t>
        </is>
      </c>
      <c r="B561" t="inlineStr">
        <is>
          <t>Phase 1 - B2B now</t>
        </is>
      </c>
      <c r="C561" t="inlineStr">
        <is>
          <t>Importers / exporters / traders</t>
        </is>
      </c>
      <c r="D561" t="inlineStr">
        <is>
          <t>Certifications</t>
        </is>
      </c>
      <c r="E561" t="inlineStr">
        <is>
          <t>B2B</t>
        </is>
      </c>
      <c r="F561" t="inlineStr">
        <is>
          <t>Transactional (B2B)</t>
        </is>
      </c>
      <c r="G561" t="inlineStr">
        <is>
          <t>BOFU</t>
        </is>
      </c>
      <c r="H561" t="inlineStr">
        <is>
          <t>UAE</t>
        </is>
      </c>
      <c r="I561" t="inlineStr">
        <is>
          <t>Quality &amp; certifications page</t>
        </is>
      </c>
      <c r="J561" t="inlineStr">
        <is>
          <t>Landing</t>
        </is>
      </c>
      <c r="K561">
        <f>IFERROR(VLOOKUP($A561,'Semrush Import'!$A:$D,2,FALSE),"")</f>
        <v/>
      </c>
      <c r="L561">
        <f>IFERROR(VLOOKUP($A561,'Semrush Import'!$A:$D,3,FALSE),"")</f>
        <v/>
      </c>
      <c r="M561">
        <f>IFERROR(VLOOKUP($A561,'Semrush Import'!$A:$D,4,FALSE),"")</f>
        <v/>
      </c>
      <c r="N561">
        <f>IFERROR(VLOOKUP($A561,'KP Import'!$A:$B,2,FALSE),"")</f>
        <v/>
      </c>
      <c r="O561">
        <f>IF(K561="","",ROUND(K561/(L561+10),1))</f>
        <v/>
      </c>
      <c r="P561">
        <f>IF(O561="","",IF(O561&gt;=20,"A - Go first",IF(O561&gt;=5,"B - Next","C - Later")))</f>
        <v/>
      </c>
      <c r="Q561" t="inlineStr">
        <is>
          <t>To research</t>
        </is>
      </c>
      <c r="R561" t="inlineStr"/>
    </row>
    <row r="562">
      <c r="A562" t="inlineStr">
        <is>
          <t>haccp rice supplier</t>
        </is>
      </c>
      <c r="B562" t="inlineStr">
        <is>
          <t>Phase 1 - B2B now</t>
        </is>
      </c>
      <c r="C562" t="inlineStr">
        <is>
          <t>Importers / exporters / traders</t>
        </is>
      </c>
      <c r="D562" t="inlineStr">
        <is>
          <t>Certifications</t>
        </is>
      </c>
      <c r="E562" t="inlineStr">
        <is>
          <t>B2B</t>
        </is>
      </c>
      <c r="F562" t="inlineStr">
        <is>
          <t>Transactional (B2B)</t>
        </is>
      </c>
      <c r="G562" t="inlineStr">
        <is>
          <t>BOFU</t>
        </is>
      </c>
      <c r="H562" t="inlineStr">
        <is>
          <t>Global/International</t>
        </is>
      </c>
      <c r="I562" t="inlineStr">
        <is>
          <t>Quality &amp; certifications page</t>
        </is>
      </c>
      <c r="J562" t="inlineStr">
        <is>
          <t>Landing</t>
        </is>
      </c>
      <c r="K562">
        <f>IFERROR(VLOOKUP($A562,'Semrush Import'!$A:$D,2,FALSE),"")</f>
        <v/>
      </c>
      <c r="L562">
        <f>IFERROR(VLOOKUP($A562,'Semrush Import'!$A:$D,3,FALSE),"")</f>
        <v/>
      </c>
      <c r="M562">
        <f>IFERROR(VLOOKUP($A562,'Semrush Import'!$A:$D,4,FALSE),"")</f>
        <v/>
      </c>
      <c r="N562">
        <f>IFERROR(VLOOKUP($A562,'KP Import'!$A:$B,2,FALSE),"")</f>
        <v/>
      </c>
      <c r="O562">
        <f>IF(K562="","",ROUND(K562/(L562+10),1))</f>
        <v/>
      </c>
      <c r="P562">
        <f>IF(O562="","",IF(O562&gt;=20,"A - Go first",IF(O562&gt;=5,"B - Next","C - Later")))</f>
        <v/>
      </c>
      <c r="Q562" t="inlineStr">
        <is>
          <t>To research</t>
        </is>
      </c>
      <c r="R562" t="inlineStr"/>
    </row>
    <row r="563">
      <c r="A563" t="inlineStr">
        <is>
          <t>iso certified rice exporter</t>
        </is>
      </c>
      <c r="B563" t="inlineStr">
        <is>
          <t>Phase 1 - B2B now</t>
        </is>
      </c>
      <c r="C563" t="inlineStr">
        <is>
          <t>Importers / exporters / traders</t>
        </is>
      </c>
      <c r="D563" t="inlineStr">
        <is>
          <t>Certifications</t>
        </is>
      </c>
      <c r="E563" t="inlineStr">
        <is>
          <t>B2B</t>
        </is>
      </c>
      <c r="F563" t="inlineStr">
        <is>
          <t>Transactional (B2B)</t>
        </is>
      </c>
      <c r="G563" t="inlineStr">
        <is>
          <t>BOFU</t>
        </is>
      </c>
      <c r="H563" t="inlineStr">
        <is>
          <t>Global/International</t>
        </is>
      </c>
      <c r="I563" t="inlineStr">
        <is>
          <t>Quality &amp; certifications page</t>
        </is>
      </c>
      <c r="J563" t="inlineStr">
        <is>
          <t>Landing</t>
        </is>
      </c>
      <c r="K563">
        <f>IFERROR(VLOOKUP($A563,'Semrush Import'!$A:$D,2,FALSE),"")</f>
        <v/>
      </c>
      <c r="L563">
        <f>IFERROR(VLOOKUP($A563,'Semrush Import'!$A:$D,3,FALSE),"")</f>
        <v/>
      </c>
      <c r="M563">
        <f>IFERROR(VLOOKUP($A563,'Semrush Import'!$A:$D,4,FALSE),"")</f>
        <v/>
      </c>
      <c r="N563">
        <f>IFERROR(VLOOKUP($A563,'KP Import'!$A:$B,2,FALSE),"")</f>
        <v/>
      </c>
      <c r="O563">
        <f>IF(K563="","",ROUND(K563/(L563+10),1))</f>
        <v/>
      </c>
      <c r="P563">
        <f>IF(O563="","",IF(O563&gt;=20,"A - Go first",IF(O563&gt;=5,"B - Next","C - Later")))</f>
        <v/>
      </c>
      <c r="Q563" t="inlineStr">
        <is>
          <t>To research</t>
        </is>
      </c>
      <c r="R563" t="inlineStr"/>
    </row>
    <row r="564">
      <c r="A564" t="inlineStr">
        <is>
          <t>rice quality inspection</t>
        </is>
      </c>
      <c r="B564" t="inlineStr">
        <is>
          <t>Phase 1 - B2B now</t>
        </is>
      </c>
      <c r="C564" t="inlineStr">
        <is>
          <t>Importers / exporters / traders</t>
        </is>
      </c>
      <c r="D564" t="inlineStr">
        <is>
          <t>Certifications</t>
        </is>
      </c>
      <c r="E564" t="inlineStr">
        <is>
          <t>B2B</t>
        </is>
      </c>
      <c r="F564" t="inlineStr">
        <is>
          <t>Transactional (B2B)</t>
        </is>
      </c>
      <c r="G564" t="inlineStr">
        <is>
          <t>BOFU</t>
        </is>
      </c>
      <c r="H564" t="inlineStr">
        <is>
          <t>Global/International</t>
        </is>
      </c>
      <c r="I564" t="inlineStr">
        <is>
          <t>Quality &amp; certifications page</t>
        </is>
      </c>
      <c r="J564" t="inlineStr">
        <is>
          <t>Landing</t>
        </is>
      </c>
      <c r="K564">
        <f>IFERROR(VLOOKUP($A564,'Semrush Import'!$A:$D,2,FALSE),"")</f>
        <v/>
      </c>
      <c r="L564">
        <f>IFERROR(VLOOKUP($A564,'Semrush Import'!$A:$D,3,FALSE),"")</f>
        <v/>
      </c>
      <c r="M564">
        <f>IFERROR(VLOOKUP($A564,'Semrush Import'!$A:$D,4,FALSE),"")</f>
        <v/>
      </c>
      <c r="N564">
        <f>IFERROR(VLOOKUP($A564,'KP Import'!$A:$B,2,FALSE),"")</f>
        <v/>
      </c>
      <c r="O564">
        <f>IF(K564="","",ROUND(K564/(L564+10),1))</f>
        <v/>
      </c>
      <c r="P564">
        <f>IF(O564="","",IF(O564&gt;=20,"A - Go first",IF(O564&gt;=5,"B - Next","C - Later")))</f>
        <v/>
      </c>
      <c r="Q564" t="inlineStr">
        <is>
          <t>To research</t>
        </is>
      </c>
      <c r="R564" t="inlineStr"/>
    </row>
    <row r="565">
      <c r="A565" t="inlineStr">
        <is>
          <t>rice sgs inspection</t>
        </is>
      </c>
      <c r="B565" t="inlineStr">
        <is>
          <t>Phase 1 - B2B now</t>
        </is>
      </c>
      <c r="C565" t="inlineStr">
        <is>
          <t>Importers / exporters / traders</t>
        </is>
      </c>
      <c r="D565" t="inlineStr">
        <is>
          <t>Certifications</t>
        </is>
      </c>
      <c r="E565" t="inlineStr">
        <is>
          <t>B2B</t>
        </is>
      </c>
      <c r="F565" t="inlineStr">
        <is>
          <t>Transactional (B2B)</t>
        </is>
      </c>
      <c r="G565" t="inlineStr">
        <is>
          <t>BOFU</t>
        </is>
      </c>
      <c r="H565" t="inlineStr">
        <is>
          <t>Global/International</t>
        </is>
      </c>
      <c r="I565" t="inlineStr">
        <is>
          <t>Quality &amp; certifications page</t>
        </is>
      </c>
      <c r="J565" t="inlineStr">
        <is>
          <t>Landing</t>
        </is>
      </c>
      <c r="K565">
        <f>IFERROR(VLOOKUP($A565,'Semrush Import'!$A:$D,2,FALSE),"")</f>
        <v/>
      </c>
      <c r="L565">
        <f>IFERROR(VLOOKUP($A565,'Semrush Import'!$A:$D,3,FALSE),"")</f>
        <v/>
      </c>
      <c r="M565">
        <f>IFERROR(VLOOKUP($A565,'Semrush Import'!$A:$D,4,FALSE),"")</f>
        <v/>
      </c>
      <c r="N565">
        <f>IFERROR(VLOOKUP($A565,'KP Import'!$A:$B,2,FALSE),"")</f>
        <v/>
      </c>
      <c r="O565">
        <f>IF(K565="","",ROUND(K565/(L565+10),1))</f>
        <v/>
      </c>
      <c r="P565">
        <f>IF(O565="","",IF(O565&gt;=20,"A - Go first",IF(O565&gt;=5,"B - Next","C - Later")))</f>
        <v/>
      </c>
      <c r="Q565" t="inlineStr">
        <is>
          <t>To research</t>
        </is>
      </c>
      <c r="R565" t="inlineStr"/>
    </row>
    <row r="566">
      <c r="A566" t="inlineStr">
        <is>
          <t>rice sample request</t>
        </is>
      </c>
      <c r="B566" t="inlineStr">
        <is>
          <t>Phase 1 - B2B now</t>
        </is>
      </c>
      <c r="C566" t="inlineStr">
        <is>
          <t>Importers / exporters / traders</t>
        </is>
      </c>
      <c r="D566" t="inlineStr">
        <is>
          <t>Certifications</t>
        </is>
      </c>
      <c r="E566" t="inlineStr">
        <is>
          <t>B2B</t>
        </is>
      </c>
      <c r="F566" t="inlineStr">
        <is>
          <t>Transactional (B2B)</t>
        </is>
      </c>
      <c r="G566" t="inlineStr">
        <is>
          <t>BOFU</t>
        </is>
      </c>
      <c r="H566" t="inlineStr">
        <is>
          <t>Global/International</t>
        </is>
      </c>
      <c r="I566" t="inlineStr">
        <is>
          <t>Quality &amp; certifications page</t>
        </is>
      </c>
      <c r="J566" t="inlineStr">
        <is>
          <t>Landing</t>
        </is>
      </c>
      <c r="K566">
        <f>IFERROR(VLOOKUP($A566,'Semrush Import'!$A:$D,2,FALSE),"")</f>
        <v/>
      </c>
      <c r="L566">
        <f>IFERROR(VLOOKUP($A566,'Semrush Import'!$A:$D,3,FALSE),"")</f>
        <v/>
      </c>
      <c r="M566">
        <f>IFERROR(VLOOKUP($A566,'Semrush Import'!$A:$D,4,FALSE),"")</f>
        <v/>
      </c>
      <c r="N566">
        <f>IFERROR(VLOOKUP($A566,'KP Import'!$A:$B,2,FALSE),"")</f>
        <v/>
      </c>
      <c r="O566">
        <f>IF(K566="","",ROUND(K566/(L566+10),1))</f>
        <v/>
      </c>
      <c r="P566">
        <f>IF(O566="","",IF(O566&gt;=20,"A - Go first",IF(O566&gt;=5,"B - Next","C - Later")))</f>
        <v/>
      </c>
      <c r="Q566" t="inlineStr">
        <is>
          <t>To research</t>
        </is>
      </c>
      <c r="R566" t="inlineStr"/>
    </row>
    <row r="567">
      <c r="A567" t="inlineStr">
        <is>
          <t>rice for supermarkets uae</t>
        </is>
      </c>
      <c r="B567" t="inlineStr">
        <is>
          <t>Phase 1 - B2B now</t>
        </is>
      </c>
      <c r="C567" t="inlineStr">
        <is>
          <t>HORECA / retail chains / institutions</t>
        </is>
      </c>
      <c r="D567" t="inlineStr">
        <is>
          <t>B2B segment</t>
        </is>
      </c>
      <c r="E567" t="inlineStr">
        <is>
          <t>B2B</t>
        </is>
      </c>
      <c r="F567" t="inlineStr">
        <is>
          <t>Transactional (B2B)</t>
        </is>
      </c>
      <c r="G567" t="inlineStr">
        <is>
          <t>BOFU</t>
        </is>
      </c>
      <c r="H567" t="inlineStr">
        <is>
          <t>UAE</t>
        </is>
      </c>
      <c r="I567" t="inlineStr">
        <is>
          <t>Wholesale landing page</t>
        </is>
      </c>
      <c r="J567" t="inlineStr">
        <is>
          <t>Landing</t>
        </is>
      </c>
      <c r="K567">
        <f>IFERROR(VLOOKUP($A567,'Semrush Import'!$A:$D,2,FALSE),"")</f>
        <v/>
      </c>
      <c r="L567">
        <f>IFERROR(VLOOKUP($A567,'Semrush Import'!$A:$D,3,FALSE),"")</f>
        <v/>
      </c>
      <c r="M567">
        <f>IFERROR(VLOOKUP($A567,'Semrush Import'!$A:$D,4,FALSE),"")</f>
        <v/>
      </c>
      <c r="N567">
        <f>IFERROR(VLOOKUP($A567,'KP Import'!$A:$B,2,FALSE),"")</f>
        <v/>
      </c>
      <c r="O567">
        <f>IF(K567="","",ROUND(K567/(L567+10),1))</f>
        <v/>
      </c>
      <c r="P567">
        <f>IF(O567="","",IF(O567&gt;=20,"A - Go first",IF(O567&gt;=5,"B - Next","C - Later")))</f>
        <v/>
      </c>
      <c r="Q567" t="inlineStr">
        <is>
          <t>To research</t>
        </is>
      </c>
      <c r="R567" t="inlineStr"/>
    </row>
    <row r="568">
      <c r="A568" t="inlineStr">
        <is>
          <t>rice supplier for hypermarkets uae</t>
        </is>
      </c>
      <c r="B568" t="inlineStr">
        <is>
          <t>Phase 1 - B2B now</t>
        </is>
      </c>
      <c r="C568" t="inlineStr">
        <is>
          <t>HORECA / retail chains / institutions</t>
        </is>
      </c>
      <c r="D568" t="inlineStr">
        <is>
          <t>B2B segment</t>
        </is>
      </c>
      <c r="E568" t="inlineStr">
        <is>
          <t>B2B</t>
        </is>
      </c>
      <c r="F568" t="inlineStr">
        <is>
          <t>Transactional (B2B)</t>
        </is>
      </c>
      <c r="G568" t="inlineStr">
        <is>
          <t>BOFU</t>
        </is>
      </c>
      <c r="H568" t="inlineStr">
        <is>
          <t>UAE</t>
        </is>
      </c>
      <c r="I568" t="inlineStr">
        <is>
          <t>Wholesale landing page</t>
        </is>
      </c>
      <c r="J568" t="inlineStr">
        <is>
          <t>Landing</t>
        </is>
      </c>
      <c r="K568">
        <f>IFERROR(VLOOKUP($A568,'Semrush Import'!$A:$D,2,FALSE),"")</f>
        <v/>
      </c>
      <c r="L568">
        <f>IFERROR(VLOOKUP($A568,'Semrush Import'!$A:$D,3,FALSE),"")</f>
        <v/>
      </c>
      <c r="M568">
        <f>IFERROR(VLOOKUP($A568,'Semrush Import'!$A:$D,4,FALSE),"")</f>
        <v/>
      </c>
      <c r="N568">
        <f>IFERROR(VLOOKUP($A568,'KP Import'!$A:$B,2,FALSE),"")</f>
        <v/>
      </c>
      <c r="O568">
        <f>IF(K568="","",ROUND(K568/(L568+10),1))</f>
        <v/>
      </c>
      <c r="P568">
        <f>IF(O568="","",IF(O568&gt;=20,"A - Go first",IF(O568&gt;=5,"B - Next","C - Later")))</f>
        <v/>
      </c>
      <c r="Q568" t="inlineStr">
        <is>
          <t>To research</t>
        </is>
      </c>
      <c r="R568" t="inlineStr"/>
    </row>
    <row r="569">
      <c r="A569" t="inlineStr">
        <is>
          <t>rice supplier for hotels dubai</t>
        </is>
      </c>
      <c r="B569" t="inlineStr">
        <is>
          <t>Phase 1 - B2B now</t>
        </is>
      </c>
      <c r="C569" t="inlineStr">
        <is>
          <t>HORECA / retail chains / institutions</t>
        </is>
      </c>
      <c r="D569" t="inlineStr">
        <is>
          <t>B2B segment</t>
        </is>
      </c>
      <c r="E569" t="inlineStr">
        <is>
          <t>B2B</t>
        </is>
      </c>
      <c r="F569" t="inlineStr">
        <is>
          <t>Transactional (B2B)</t>
        </is>
      </c>
      <c r="G569" t="inlineStr">
        <is>
          <t>BOFU</t>
        </is>
      </c>
      <c r="H569" t="inlineStr">
        <is>
          <t>Dubai</t>
        </is>
      </c>
      <c r="I569" t="inlineStr">
        <is>
          <t>Wholesale landing page</t>
        </is>
      </c>
      <c r="J569" t="inlineStr">
        <is>
          <t>Landing</t>
        </is>
      </c>
      <c r="K569">
        <f>IFERROR(VLOOKUP($A569,'Semrush Import'!$A:$D,2,FALSE),"")</f>
        <v/>
      </c>
      <c r="L569">
        <f>IFERROR(VLOOKUP($A569,'Semrush Import'!$A:$D,3,FALSE),"")</f>
        <v/>
      </c>
      <c r="M569">
        <f>IFERROR(VLOOKUP($A569,'Semrush Import'!$A:$D,4,FALSE),"")</f>
        <v/>
      </c>
      <c r="N569">
        <f>IFERROR(VLOOKUP($A569,'KP Import'!$A:$B,2,FALSE),"")</f>
        <v/>
      </c>
      <c r="O569">
        <f>IF(K569="","",ROUND(K569/(L569+10),1))</f>
        <v/>
      </c>
      <c r="P569">
        <f>IF(O569="","",IF(O569&gt;=20,"A - Go first",IF(O569&gt;=5,"B - Next","C - Later")))</f>
        <v/>
      </c>
      <c r="Q569" t="inlineStr">
        <is>
          <t>To research</t>
        </is>
      </c>
      <c r="R569" t="inlineStr"/>
    </row>
    <row r="570">
      <c r="A570" t="inlineStr">
        <is>
          <t>horeca rice supplier dubai</t>
        </is>
      </c>
      <c r="B570" t="inlineStr">
        <is>
          <t>Phase 1 - B2B now</t>
        </is>
      </c>
      <c r="C570" t="inlineStr">
        <is>
          <t>HORECA / retail chains / institutions</t>
        </is>
      </c>
      <c r="D570" t="inlineStr">
        <is>
          <t>B2B segment</t>
        </is>
      </c>
      <c r="E570" t="inlineStr">
        <is>
          <t>B2B</t>
        </is>
      </c>
      <c r="F570" t="inlineStr">
        <is>
          <t>Transactional (B2B)</t>
        </is>
      </c>
      <c r="G570" t="inlineStr">
        <is>
          <t>BOFU</t>
        </is>
      </c>
      <c r="H570" t="inlineStr">
        <is>
          <t>Dubai</t>
        </is>
      </c>
      <c r="I570" t="inlineStr">
        <is>
          <t>Wholesale landing page</t>
        </is>
      </c>
      <c r="J570" t="inlineStr">
        <is>
          <t>Landing</t>
        </is>
      </c>
      <c r="K570">
        <f>IFERROR(VLOOKUP($A570,'Semrush Import'!$A:$D,2,FALSE),"")</f>
        <v/>
      </c>
      <c r="L570">
        <f>IFERROR(VLOOKUP($A570,'Semrush Import'!$A:$D,3,FALSE),"")</f>
        <v/>
      </c>
      <c r="M570">
        <f>IFERROR(VLOOKUP($A570,'Semrush Import'!$A:$D,4,FALSE),"")</f>
        <v/>
      </c>
      <c r="N570">
        <f>IFERROR(VLOOKUP($A570,'KP Import'!$A:$B,2,FALSE),"")</f>
        <v/>
      </c>
      <c r="O570">
        <f>IF(K570="","",ROUND(K570/(L570+10),1))</f>
        <v/>
      </c>
      <c r="P570">
        <f>IF(O570="","",IF(O570&gt;=20,"A - Go first",IF(O570&gt;=5,"B - Next","C - Later")))</f>
        <v/>
      </c>
      <c r="Q570" t="inlineStr">
        <is>
          <t>To research</t>
        </is>
      </c>
      <c r="R570" t="inlineStr"/>
    </row>
    <row r="571">
      <c r="A571" t="inlineStr">
        <is>
          <t>rice supplier for catering companies dubai</t>
        </is>
      </c>
      <c r="B571" t="inlineStr">
        <is>
          <t>Phase 1 - B2B now</t>
        </is>
      </c>
      <c r="C571" t="inlineStr">
        <is>
          <t>HORECA / retail chains / institutions</t>
        </is>
      </c>
      <c r="D571" t="inlineStr">
        <is>
          <t>B2B segment</t>
        </is>
      </c>
      <c r="E571" t="inlineStr">
        <is>
          <t>B2B</t>
        </is>
      </c>
      <c r="F571" t="inlineStr">
        <is>
          <t>Transactional (B2B)</t>
        </is>
      </c>
      <c r="G571" t="inlineStr">
        <is>
          <t>BOFU</t>
        </is>
      </c>
      <c r="H571" t="inlineStr">
        <is>
          <t>Dubai</t>
        </is>
      </c>
      <c r="I571" t="inlineStr">
        <is>
          <t>Wholesale landing page</t>
        </is>
      </c>
      <c r="J571" t="inlineStr">
        <is>
          <t>Landing</t>
        </is>
      </c>
      <c r="K571">
        <f>IFERROR(VLOOKUP($A571,'Semrush Import'!$A:$D,2,FALSE),"")</f>
        <v/>
      </c>
      <c r="L571">
        <f>IFERROR(VLOOKUP($A571,'Semrush Import'!$A:$D,3,FALSE),"")</f>
        <v/>
      </c>
      <c r="M571">
        <f>IFERROR(VLOOKUP($A571,'Semrush Import'!$A:$D,4,FALSE),"")</f>
        <v/>
      </c>
      <c r="N571">
        <f>IFERROR(VLOOKUP($A571,'KP Import'!$A:$B,2,FALSE),"")</f>
        <v/>
      </c>
      <c r="O571">
        <f>IF(K571="","",ROUND(K571/(L571+10),1))</f>
        <v/>
      </c>
      <c r="P571">
        <f>IF(O571="","",IF(O571&gt;=20,"A - Go first",IF(O571&gt;=5,"B - Next","C - Later")))</f>
        <v/>
      </c>
      <c r="Q571" t="inlineStr">
        <is>
          <t>To research</t>
        </is>
      </c>
      <c r="R571" t="inlineStr"/>
    </row>
    <row r="572">
      <c r="A572" t="inlineStr">
        <is>
          <t>rice supplier for restaurants abu dhabi</t>
        </is>
      </c>
      <c r="B572" t="inlineStr">
        <is>
          <t>Phase 1 - B2B now</t>
        </is>
      </c>
      <c r="C572" t="inlineStr">
        <is>
          <t>HORECA / retail chains / institutions</t>
        </is>
      </c>
      <c r="D572" t="inlineStr">
        <is>
          <t>B2B segment</t>
        </is>
      </c>
      <c r="E572" t="inlineStr">
        <is>
          <t>B2B</t>
        </is>
      </c>
      <c r="F572" t="inlineStr">
        <is>
          <t>Transactional (B2B)</t>
        </is>
      </c>
      <c r="G572" t="inlineStr">
        <is>
          <t>BOFU</t>
        </is>
      </c>
      <c r="H572" t="inlineStr">
        <is>
          <t>Abu Dhabi</t>
        </is>
      </c>
      <c r="I572" t="inlineStr">
        <is>
          <t>Wholesale landing page</t>
        </is>
      </c>
      <c r="J572" t="inlineStr">
        <is>
          <t>Landing</t>
        </is>
      </c>
      <c r="K572">
        <f>IFERROR(VLOOKUP($A572,'Semrush Import'!$A:$D,2,FALSE),"")</f>
        <v/>
      </c>
      <c r="L572">
        <f>IFERROR(VLOOKUP($A572,'Semrush Import'!$A:$D,3,FALSE),"")</f>
        <v/>
      </c>
      <c r="M572">
        <f>IFERROR(VLOOKUP($A572,'Semrush Import'!$A:$D,4,FALSE),"")</f>
        <v/>
      </c>
      <c r="N572">
        <f>IFERROR(VLOOKUP($A572,'KP Import'!$A:$B,2,FALSE),"")</f>
        <v/>
      </c>
      <c r="O572">
        <f>IF(K572="","",ROUND(K572/(L572+10),1))</f>
        <v/>
      </c>
      <c r="P572">
        <f>IF(O572="","",IF(O572&gt;=20,"A - Go first",IF(O572&gt;=5,"B - Next","C - Later")))</f>
        <v/>
      </c>
      <c r="Q572" t="inlineStr">
        <is>
          <t>To research</t>
        </is>
      </c>
      <c r="R572" t="inlineStr"/>
    </row>
    <row r="573">
      <c r="A573" t="inlineStr">
        <is>
          <t>rice supplier for labour camps uae</t>
        </is>
      </c>
      <c r="B573" t="inlineStr">
        <is>
          <t>Phase 1 - B2B now</t>
        </is>
      </c>
      <c r="C573" t="inlineStr">
        <is>
          <t>HORECA / retail chains / institutions</t>
        </is>
      </c>
      <c r="D573" t="inlineStr">
        <is>
          <t>B2B segment</t>
        </is>
      </c>
      <c r="E573" t="inlineStr">
        <is>
          <t>B2B</t>
        </is>
      </c>
      <c r="F573" t="inlineStr">
        <is>
          <t>Transactional (B2B)</t>
        </is>
      </c>
      <c r="G573" t="inlineStr">
        <is>
          <t>BOFU</t>
        </is>
      </c>
      <c r="H573" t="inlineStr">
        <is>
          <t>UAE</t>
        </is>
      </c>
      <c r="I573" t="inlineStr">
        <is>
          <t>Wholesale landing page</t>
        </is>
      </c>
      <c r="J573" t="inlineStr">
        <is>
          <t>Landing</t>
        </is>
      </c>
      <c r="K573">
        <f>IFERROR(VLOOKUP($A573,'Semrush Import'!$A:$D,2,FALSE),"")</f>
        <v/>
      </c>
      <c r="L573">
        <f>IFERROR(VLOOKUP($A573,'Semrush Import'!$A:$D,3,FALSE),"")</f>
        <v/>
      </c>
      <c r="M573">
        <f>IFERROR(VLOOKUP($A573,'Semrush Import'!$A:$D,4,FALSE),"")</f>
        <v/>
      </c>
      <c r="N573">
        <f>IFERROR(VLOOKUP($A573,'KP Import'!$A:$B,2,FALSE),"")</f>
        <v/>
      </c>
      <c r="O573">
        <f>IF(K573="","",ROUND(K573/(L573+10),1))</f>
        <v/>
      </c>
      <c r="P573">
        <f>IF(O573="","",IF(O573&gt;=20,"A - Go first",IF(O573&gt;=5,"B - Next","C - Later")))</f>
        <v/>
      </c>
      <c r="Q573" t="inlineStr">
        <is>
          <t>To research</t>
        </is>
      </c>
      <c r="R573" t="inlineStr"/>
    </row>
    <row r="574">
      <c r="A574" t="inlineStr">
        <is>
          <t>rice supplier for government tender uae</t>
        </is>
      </c>
      <c r="B574" t="inlineStr">
        <is>
          <t>Phase 1 - B2B now</t>
        </is>
      </c>
      <c r="C574" t="inlineStr">
        <is>
          <t>HORECA / retail chains / institutions</t>
        </is>
      </c>
      <c r="D574" t="inlineStr">
        <is>
          <t>B2B segment</t>
        </is>
      </c>
      <c r="E574" t="inlineStr">
        <is>
          <t>B2B</t>
        </is>
      </c>
      <c r="F574" t="inlineStr">
        <is>
          <t>Transactional (B2B)</t>
        </is>
      </c>
      <c r="G574" t="inlineStr">
        <is>
          <t>BOFU</t>
        </is>
      </c>
      <c r="H574" t="inlineStr">
        <is>
          <t>UAE</t>
        </is>
      </c>
      <c r="I574" t="inlineStr">
        <is>
          <t>Wholesale landing page</t>
        </is>
      </c>
      <c r="J574" t="inlineStr">
        <is>
          <t>Landing</t>
        </is>
      </c>
      <c r="K574">
        <f>IFERROR(VLOOKUP($A574,'Semrush Import'!$A:$D,2,FALSE),"")</f>
        <v/>
      </c>
      <c r="L574">
        <f>IFERROR(VLOOKUP($A574,'Semrush Import'!$A:$D,3,FALSE),"")</f>
        <v/>
      </c>
      <c r="M574">
        <f>IFERROR(VLOOKUP($A574,'Semrush Import'!$A:$D,4,FALSE),"")</f>
        <v/>
      </c>
      <c r="N574">
        <f>IFERROR(VLOOKUP($A574,'KP Import'!$A:$B,2,FALSE),"")</f>
        <v/>
      </c>
      <c r="O574">
        <f>IF(K574="","",ROUND(K574/(L574+10),1))</f>
        <v/>
      </c>
      <c r="P574">
        <f>IF(O574="","",IF(O574&gt;=20,"A - Go first",IF(O574&gt;=5,"B - Next","C - Later")))</f>
        <v/>
      </c>
      <c r="Q574" t="inlineStr">
        <is>
          <t>To research</t>
        </is>
      </c>
      <c r="R574" t="inlineStr"/>
    </row>
    <row r="575">
      <c r="A575" t="inlineStr">
        <is>
          <t>rice for ration supply uae</t>
        </is>
      </c>
      <c r="B575" t="inlineStr">
        <is>
          <t>Phase 1 - B2B now</t>
        </is>
      </c>
      <c r="C575" t="inlineStr">
        <is>
          <t>HORECA / retail chains / institutions</t>
        </is>
      </c>
      <c r="D575" t="inlineStr">
        <is>
          <t>B2B segment</t>
        </is>
      </c>
      <c r="E575" t="inlineStr">
        <is>
          <t>B2B</t>
        </is>
      </c>
      <c r="F575" t="inlineStr">
        <is>
          <t>Transactional (B2B)</t>
        </is>
      </c>
      <c r="G575" t="inlineStr">
        <is>
          <t>BOFU</t>
        </is>
      </c>
      <c r="H575" t="inlineStr">
        <is>
          <t>UAE</t>
        </is>
      </c>
      <c r="I575" t="inlineStr">
        <is>
          <t>Wholesale landing page</t>
        </is>
      </c>
      <c r="J575" t="inlineStr">
        <is>
          <t>Landing</t>
        </is>
      </c>
      <c r="K575">
        <f>IFERROR(VLOOKUP($A575,'Semrush Import'!$A:$D,2,FALSE),"")</f>
        <v/>
      </c>
      <c r="L575">
        <f>IFERROR(VLOOKUP($A575,'Semrush Import'!$A:$D,3,FALSE),"")</f>
        <v/>
      </c>
      <c r="M575">
        <f>IFERROR(VLOOKUP($A575,'Semrush Import'!$A:$D,4,FALSE),"")</f>
        <v/>
      </c>
      <c r="N575">
        <f>IFERROR(VLOOKUP($A575,'KP Import'!$A:$B,2,FALSE),"")</f>
        <v/>
      </c>
      <c r="O575">
        <f>IF(K575="","",ROUND(K575/(L575+10),1))</f>
        <v/>
      </c>
      <c r="P575">
        <f>IF(O575="","",IF(O575&gt;=20,"A - Go first",IF(O575&gt;=5,"B - Next","C - Later")))</f>
        <v/>
      </c>
      <c r="Q575" t="inlineStr">
        <is>
          <t>To research</t>
        </is>
      </c>
      <c r="R575" t="inlineStr"/>
    </row>
    <row r="576">
      <c r="A576" t="inlineStr">
        <is>
          <t>bulk rice supplier for ngos</t>
        </is>
      </c>
      <c r="B576" t="inlineStr">
        <is>
          <t>Phase 1 - B2B now</t>
        </is>
      </c>
      <c r="C576" t="inlineStr">
        <is>
          <t>HORECA / retail chains / institutions</t>
        </is>
      </c>
      <c r="D576" t="inlineStr">
        <is>
          <t>B2B segment</t>
        </is>
      </c>
      <c r="E576" t="inlineStr">
        <is>
          <t>B2B</t>
        </is>
      </c>
      <c r="F576" t="inlineStr">
        <is>
          <t>Transactional (B2B)</t>
        </is>
      </c>
      <c r="G576" t="inlineStr">
        <is>
          <t>BOFU</t>
        </is>
      </c>
      <c r="H576" t="inlineStr">
        <is>
          <t>Global/International</t>
        </is>
      </c>
      <c r="I576" t="inlineStr">
        <is>
          <t>Wholesale landing page</t>
        </is>
      </c>
      <c r="J576" t="inlineStr">
        <is>
          <t>Landing</t>
        </is>
      </c>
      <c r="K576">
        <f>IFERROR(VLOOKUP($A576,'Semrush Import'!$A:$D,2,FALSE),"")</f>
        <v/>
      </c>
      <c r="L576">
        <f>IFERROR(VLOOKUP($A576,'Semrush Import'!$A:$D,3,FALSE),"")</f>
        <v/>
      </c>
      <c r="M576">
        <f>IFERROR(VLOOKUP($A576,'Semrush Import'!$A:$D,4,FALSE),"")</f>
        <v/>
      </c>
      <c r="N576">
        <f>IFERROR(VLOOKUP($A576,'KP Import'!$A:$B,2,FALSE),"")</f>
        <v/>
      </c>
      <c r="O576">
        <f>IF(K576="","",ROUND(K576/(L576+10),1))</f>
        <v/>
      </c>
      <c r="P576">
        <f>IF(O576="","",IF(O576&gt;=20,"A - Go first",IF(O576&gt;=5,"B - Next","C - Later")))</f>
        <v/>
      </c>
      <c r="Q576" t="inlineStr">
        <is>
          <t>To research</t>
        </is>
      </c>
      <c r="R576" t="inlineStr"/>
    </row>
  </sheetData>
  <autoFilter ref="A1:R5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</cols>
  <sheetData>
    <row r="1">
      <c r="A1" s="4" t="inlineStr">
        <is>
          <t>Keyword</t>
        </is>
      </c>
      <c r="B1" s="4" t="inlineStr">
        <is>
          <t>Search Volume</t>
        </is>
      </c>
      <c r="C1" s="4" t="inlineStr">
        <is>
          <t>Keyword Difficulty (KD %)</t>
        </is>
      </c>
      <c r="D1" s="4" t="inlineStr">
        <is>
          <t>CPC (USD)</t>
        </is>
      </c>
      <c r="E1" s="4" t="inlineStr">
        <is>
          <t>Competition</t>
        </is>
      </c>
      <c r="F1" s="4" t="inlineStr">
        <is>
          <t>Intent (Semrush)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</cols>
  <sheetData>
    <row r="1">
      <c r="A1" s="4" t="inlineStr">
        <is>
          <t>Keyword</t>
        </is>
      </c>
      <c r="B1" s="4" t="inlineStr">
        <is>
          <t>Avg Monthly Searches</t>
        </is>
      </c>
      <c r="C1" s="4" t="inlineStr">
        <is>
          <t>Competition</t>
        </is>
      </c>
      <c r="D1" s="4" t="inlineStr">
        <is>
          <t>Top of page bid (low)</t>
        </is>
      </c>
      <c r="E1" s="4" t="inlineStr">
        <is>
          <t>Top of page bid (high)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48" customWidth="1" min="3" max="3"/>
    <col width="70" customWidth="1" min="4" max="4"/>
    <col width="22" customWidth="1" min="5" max="5"/>
    <col width="60" customWidth="1" min="6" max="6"/>
  </cols>
  <sheetData>
    <row r="1">
      <c r="A1" s="3" t="inlineStr">
        <is>
          <t>Location</t>
        </is>
      </c>
      <c r="B1" s="3" t="inlineStr">
        <is>
          <t>Level</t>
        </is>
      </c>
      <c r="C1" s="3" t="inlineStr">
        <is>
          <t>Suggested page</t>
        </is>
      </c>
      <c r="D1" s="3" t="inlineStr">
        <is>
          <t>Keywords to target</t>
        </is>
      </c>
      <c r="E1" s="3" t="inlineStr">
        <is>
          <t>Likely priority (judgement, verify with volume)</t>
        </is>
      </c>
      <c r="F1" s="3" t="inlineStr">
        <is>
          <t>Notes</t>
        </is>
      </c>
    </row>
    <row r="2">
      <c r="A2" t="inlineStr">
        <is>
          <t>Dubai</t>
        </is>
      </c>
      <c r="B2" t="inlineStr">
        <is>
          <t>Emirate</t>
        </is>
      </c>
      <c r="C2" t="inlineStr">
        <is>
          <t>/dubai-rice-delivery/ (suggested)</t>
        </is>
      </c>
      <c r="D2" t="inlineStr">
        <is>
          <t>rice delivery dubai; basmati rice dubai; rice wholesale dubai; rice supplier dubai</t>
        </is>
      </c>
      <c r="E2" t="inlineStr">
        <is>
          <t>High</t>
        </is>
      </c>
      <c r="F2" t="inlineStr">
        <is>
          <t>Own landing page with delivery info, local FAQ, LocalBusiness/Service schema</t>
        </is>
      </c>
    </row>
    <row r="3">
      <c r="A3" t="inlineStr">
        <is>
          <t>Abu Dhabi</t>
        </is>
      </c>
      <c r="B3" t="inlineStr">
        <is>
          <t>Emirate</t>
        </is>
      </c>
      <c r="C3" t="inlineStr">
        <is>
          <t>/abu-dhabi-rice-delivery/ (suggested)</t>
        </is>
      </c>
      <c r="D3" t="inlineStr">
        <is>
          <t>rice delivery abu dhabi; basmati rice abu dhabi; rice wholesale abu dhabi; rice supplier abu dhabi</t>
        </is>
      </c>
      <c r="E3" t="inlineStr">
        <is>
          <t>High</t>
        </is>
      </c>
      <c r="F3" t="inlineStr">
        <is>
          <t>Own landing page with delivery info, local FAQ, LocalBusiness/Service schema</t>
        </is>
      </c>
    </row>
    <row r="4">
      <c r="A4" t="inlineStr">
        <is>
          <t>Sharjah</t>
        </is>
      </c>
      <c r="B4" t="inlineStr">
        <is>
          <t>Emirate</t>
        </is>
      </c>
      <c r="C4" t="inlineStr">
        <is>
          <t>/sharjah-rice-delivery/ (suggested)</t>
        </is>
      </c>
      <c r="D4" t="inlineStr">
        <is>
          <t>rice delivery sharjah; basmati rice sharjah; rice wholesale sharjah; rice supplier sharjah</t>
        </is>
      </c>
      <c r="E4" t="inlineStr">
        <is>
          <t>High</t>
        </is>
      </c>
      <c r="F4" t="inlineStr">
        <is>
          <t>Own landing page with delivery info, local FAQ, LocalBusiness/Service schema</t>
        </is>
      </c>
    </row>
    <row r="5">
      <c r="A5" t="inlineStr">
        <is>
          <t>Ajman</t>
        </is>
      </c>
      <c r="B5" t="inlineStr">
        <is>
          <t>Emirate</t>
        </is>
      </c>
      <c r="C5" t="inlineStr">
        <is>
          <t>/ajman-rice-delivery/ (suggested)</t>
        </is>
      </c>
      <c r="D5" t="inlineStr">
        <is>
          <t>rice delivery ajman; basmati rice ajman; rice wholesale ajman; rice supplier ajman</t>
        </is>
      </c>
      <c r="E5" t="inlineStr">
        <is>
          <t>Medium</t>
        </is>
      </c>
      <c r="F5" t="inlineStr">
        <is>
          <t>Own landing page with delivery info, local FAQ, LocalBusiness/Service schema</t>
        </is>
      </c>
    </row>
    <row r="6">
      <c r="A6" t="inlineStr">
        <is>
          <t>Ras Al Khaimah</t>
        </is>
      </c>
      <c r="B6" t="inlineStr">
        <is>
          <t>Emirate</t>
        </is>
      </c>
      <c r="C6" t="inlineStr">
        <is>
          <t>/ras-al-khaimah-rice-delivery/ (suggested)</t>
        </is>
      </c>
      <c r="D6" t="inlineStr">
        <is>
          <t>rice delivery ras al khaimah; basmati rice ras al khaimah; rice wholesale ras al khaimah; rice supplier ras al khaimah</t>
        </is>
      </c>
      <c r="E6" t="inlineStr">
        <is>
          <t>Medium</t>
        </is>
      </c>
      <c r="F6" t="inlineStr">
        <is>
          <t>Own landing page with delivery info, local FAQ, LocalBusiness/Service schema</t>
        </is>
      </c>
    </row>
    <row r="7">
      <c r="A7" t="inlineStr">
        <is>
          <t>Fujairah</t>
        </is>
      </c>
      <c r="B7" t="inlineStr">
        <is>
          <t>Emirate</t>
        </is>
      </c>
      <c r="C7" t="inlineStr">
        <is>
          <t>/fujairah-rice-delivery/ (suggested)</t>
        </is>
      </c>
      <c r="D7" t="inlineStr">
        <is>
          <t>rice delivery fujairah; basmati rice fujairah; rice wholesale fujairah; rice supplier fujairah</t>
        </is>
      </c>
      <c r="E7" t="inlineStr">
        <is>
          <t>Medium</t>
        </is>
      </c>
      <c r="F7" t="inlineStr">
        <is>
          <t>Own landing page with delivery info, local FAQ, LocalBusiness/Service schema</t>
        </is>
      </c>
    </row>
    <row r="8">
      <c r="A8" t="inlineStr">
        <is>
          <t>Umm Al Quwain</t>
        </is>
      </c>
      <c r="B8" t="inlineStr">
        <is>
          <t>Emirate</t>
        </is>
      </c>
      <c r="C8" t="inlineStr">
        <is>
          <t>/umm-al-quwain-rice-delivery/ (suggested)</t>
        </is>
      </c>
      <c r="D8" t="inlineStr">
        <is>
          <t>rice delivery umm al quwain; basmati rice umm al quwain; rice wholesale umm al quwain; rice supplier umm al quwain</t>
        </is>
      </c>
      <c r="E8" t="inlineStr">
        <is>
          <t>Medium</t>
        </is>
      </c>
      <c r="F8" t="inlineStr">
        <is>
          <t>Own landing page with delivery info, local FAQ, LocalBusiness/Service schema</t>
        </is>
      </c>
    </row>
    <row r="9">
      <c r="A9" t="inlineStr">
        <is>
          <t>Al Ain</t>
        </is>
      </c>
      <c r="B9" t="inlineStr">
        <is>
          <t>Emirate</t>
        </is>
      </c>
      <c r="C9" t="inlineStr">
        <is>
          <t>/al-ain-rice-delivery/ (suggested)</t>
        </is>
      </c>
      <c r="D9" t="inlineStr">
        <is>
          <t>rice delivery al ain; basmati rice al ain; rice wholesale al ain; rice supplier al ain</t>
        </is>
      </c>
      <c r="E9" t="inlineStr">
        <is>
          <t>Medium</t>
        </is>
      </c>
      <c r="F9" t="inlineStr">
        <is>
          <t>Own landing page with delivery info, local FAQ, LocalBusiness/Service schema</t>
        </is>
      </c>
    </row>
    <row r="10">
      <c r="A10" t="inlineStr">
        <is>
          <t>Dubai - Deira</t>
        </is>
      </c>
      <c r="B10" t="inlineStr">
        <is>
          <t>Area</t>
        </is>
      </c>
      <c r="C10" t="inlineStr">
        <is>
          <t>Section on Dubai page (or own page if volume proves)</t>
        </is>
      </c>
      <c r="D10" t="inlineStr">
        <is>
          <t>rice delivery deira; rice wholesale deira</t>
        </is>
      </c>
      <c r="E10" t="inlineStr">
        <is>
          <t>Medium</t>
        </is>
      </c>
      <c r="F10" t="inlineStr">
        <is>
          <t>Add to 'areas we deliver' block; create page only if Semrush shows volume</t>
        </is>
      </c>
    </row>
    <row r="11">
      <c r="A11" t="inlineStr">
        <is>
          <t>Dubai - Bur Dubai</t>
        </is>
      </c>
      <c r="B11" t="inlineStr">
        <is>
          <t>Area</t>
        </is>
      </c>
      <c r="C11" t="inlineStr">
        <is>
          <t>Section on Dubai page (or own page if volume proves)</t>
        </is>
      </c>
      <c r="D11" t="inlineStr">
        <is>
          <t>rice delivery bur dubai; rice wholesale bur dubai</t>
        </is>
      </c>
      <c r="E11" t="inlineStr">
        <is>
          <t>Low</t>
        </is>
      </c>
      <c r="F11" t="inlineStr">
        <is>
          <t>Add to 'areas we deliver' block; create page only if Semrush shows volume</t>
        </is>
      </c>
    </row>
    <row r="12">
      <c r="A12" t="inlineStr">
        <is>
          <t>Dubai - Al Quoz</t>
        </is>
      </c>
      <c r="B12" t="inlineStr">
        <is>
          <t>Area</t>
        </is>
      </c>
      <c r="C12" t="inlineStr">
        <is>
          <t>Section on Dubai page (or own page if volume proves)</t>
        </is>
      </c>
      <c r="D12" t="inlineStr">
        <is>
          <t>rice delivery al quoz; rice wholesale al quoz</t>
        </is>
      </c>
      <c r="E12" t="inlineStr">
        <is>
          <t>Medium</t>
        </is>
      </c>
      <c r="F12" t="inlineStr">
        <is>
          <t>Add to 'areas we deliver' block; create page only if Semrush shows volume</t>
        </is>
      </c>
    </row>
    <row r="13">
      <c r="A13" t="inlineStr">
        <is>
          <t>Dubai - Karama</t>
        </is>
      </c>
      <c r="B13" t="inlineStr">
        <is>
          <t>Area</t>
        </is>
      </c>
      <c r="C13" t="inlineStr">
        <is>
          <t>Section on Dubai page (or own page if volume proves)</t>
        </is>
      </c>
      <c r="D13" t="inlineStr">
        <is>
          <t>rice delivery karama; rice wholesale karama</t>
        </is>
      </c>
      <c r="E13" t="inlineStr">
        <is>
          <t>Medium</t>
        </is>
      </c>
      <c r="F13" t="inlineStr">
        <is>
          <t>Add to 'areas we deliver' block; create page only if Semrush shows volume</t>
        </is>
      </c>
    </row>
    <row r="14">
      <c r="A14" t="inlineStr">
        <is>
          <t>Dubai - Satwa</t>
        </is>
      </c>
      <c r="B14" t="inlineStr">
        <is>
          <t>Area</t>
        </is>
      </c>
      <c r="C14" t="inlineStr">
        <is>
          <t>Section on Dubai page (or own page if volume proves)</t>
        </is>
      </c>
      <c r="D14" t="inlineStr">
        <is>
          <t>rice delivery satwa; rice wholesale satwa</t>
        </is>
      </c>
      <c r="E14" t="inlineStr">
        <is>
          <t>Low</t>
        </is>
      </c>
      <c r="F14" t="inlineStr">
        <is>
          <t>Add to 'areas we deliver' block; create page only if Semrush shows volume</t>
        </is>
      </c>
    </row>
    <row r="15">
      <c r="A15" t="inlineStr">
        <is>
          <t>Dubai - Jebel Ali</t>
        </is>
      </c>
      <c r="B15" t="inlineStr">
        <is>
          <t>Area</t>
        </is>
      </c>
      <c r="C15" t="inlineStr">
        <is>
          <t>Section on Dubai page (or own page if volume proves)</t>
        </is>
      </c>
      <c r="D15" t="inlineStr">
        <is>
          <t>rice delivery jebel ali; rice wholesale jebel ali</t>
        </is>
      </c>
      <c r="E15" t="inlineStr">
        <is>
          <t>Medium</t>
        </is>
      </c>
      <c r="F15" t="inlineStr">
        <is>
          <t>Add to 'areas we deliver' block; create page only if Semrush shows volume</t>
        </is>
      </c>
    </row>
    <row r="16">
      <c r="A16" t="inlineStr">
        <is>
          <t>Dubai - JLT</t>
        </is>
      </c>
      <c r="B16" t="inlineStr">
        <is>
          <t>Area</t>
        </is>
      </c>
      <c r="C16" t="inlineStr">
        <is>
          <t>Section on Dubai page (or own page if volume proves)</t>
        </is>
      </c>
      <c r="D16" t="inlineStr">
        <is>
          <t>rice delivery jlt; rice wholesale jlt</t>
        </is>
      </c>
      <c r="E16" t="inlineStr">
        <is>
          <t>Medium</t>
        </is>
      </c>
      <c r="F16" t="inlineStr">
        <is>
          <t>Add to 'areas we deliver' block; create page only if Semrush shows volume</t>
        </is>
      </c>
    </row>
    <row r="17">
      <c r="A17" t="inlineStr">
        <is>
          <t>Dubai - Dubai Marina</t>
        </is>
      </c>
      <c r="B17" t="inlineStr">
        <is>
          <t>Area</t>
        </is>
      </c>
      <c r="C17" t="inlineStr">
        <is>
          <t>Section on Dubai page (or own page if volume proves)</t>
        </is>
      </c>
      <c r="D17" t="inlineStr">
        <is>
          <t>rice delivery dubai marina; rice wholesale dubai marina</t>
        </is>
      </c>
      <c r="E17" t="inlineStr">
        <is>
          <t>Medium</t>
        </is>
      </c>
      <c r="F17" t="inlineStr">
        <is>
          <t>Add to 'areas we deliver' block; create page only if Semrush shows volume</t>
        </is>
      </c>
    </row>
    <row r="18">
      <c r="A18" t="inlineStr">
        <is>
          <t>Dubai - Business Bay</t>
        </is>
      </c>
      <c r="B18" t="inlineStr">
        <is>
          <t>Area</t>
        </is>
      </c>
      <c r="C18" t="inlineStr">
        <is>
          <t>Section on Dubai page (or own page if volume proves)</t>
        </is>
      </c>
      <c r="D18" t="inlineStr">
        <is>
          <t>rice delivery business bay; rice wholesale business bay</t>
        </is>
      </c>
      <c r="E18" t="inlineStr">
        <is>
          <t>Low</t>
        </is>
      </c>
      <c r="F18" t="inlineStr">
        <is>
          <t>Add to 'areas we deliver' block; create page only if Semrush shows volume</t>
        </is>
      </c>
    </row>
    <row r="19">
      <c r="A19" t="inlineStr">
        <is>
          <t>Dubai - Downtown Dubai</t>
        </is>
      </c>
      <c r="B19" t="inlineStr">
        <is>
          <t>Area</t>
        </is>
      </c>
      <c r="C19" t="inlineStr">
        <is>
          <t>Section on Dubai page (or own page if volume proves)</t>
        </is>
      </c>
      <c r="D19" t="inlineStr">
        <is>
          <t>rice delivery downtown dubai; rice wholesale downtown dubai</t>
        </is>
      </c>
      <c r="E19" t="inlineStr">
        <is>
          <t>Low</t>
        </is>
      </c>
      <c r="F19" t="inlineStr">
        <is>
          <t>Add to 'areas we deliver' block; create page only if Semrush shows volume</t>
        </is>
      </c>
    </row>
    <row r="20">
      <c r="A20" t="inlineStr">
        <is>
          <t>Dubai - International City</t>
        </is>
      </c>
      <c r="B20" t="inlineStr">
        <is>
          <t>Area</t>
        </is>
      </c>
      <c r="C20" t="inlineStr">
        <is>
          <t>Section on Dubai page (or own page if volume proves)</t>
        </is>
      </c>
      <c r="D20" t="inlineStr">
        <is>
          <t>rice delivery international city; rice wholesale international city</t>
        </is>
      </c>
      <c r="E20" t="inlineStr">
        <is>
          <t>Low</t>
        </is>
      </c>
      <c r="F20" t="inlineStr">
        <is>
          <t>Add to 'areas we deliver' block; create page only if Semrush shows volume</t>
        </is>
      </c>
    </row>
    <row r="21">
      <c r="A21" t="inlineStr">
        <is>
          <t>Dubai - Al Qusais</t>
        </is>
      </c>
      <c r="B21" t="inlineStr">
        <is>
          <t>Area</t>
        </is>
      </c>
      <c r="C21" t="inlineStr">
        <is>
          <t>Section on Dubai page (or own page if volume proves)</t>
        </is>
      </c>
      <c r="D21" t="inlineStr">
        <is>
          <t>rice delivery al qusais; rice wholesale al qusais</t>
        </is>
      </c>
      <c r="E21" t="inlineStr">
        <is>
          <t>Medium</t>
        </is>
      </c>
      <c r="F21" t="inlineStr">
        <is>
          <t>Add to 'areas we deliver' block; create page only if Semrush shows volume</t>
        </is>
      </c>
    </row>
    <row r="22">
      <c r="A22" t="inlineStr">
        <is>
          <t>Dubai - Dubai Silicon Oasis</t>
        </is>
      </c>
      <c r="B22" t="inlineStr">
        <is>
          <t>Area</t>
        </is>
      </c>
      <c r="C22" t="inlineStr">
        <is>
          <t>Section on Dubai page (or own page if volume proves)</t>
        </is>
      </c>
      <c r="D22" t="inlineStr">
        <is>
          <t>rice delivery dubai silicon oasis; rice wholesale dubai silicon oasis</t>
        </is>
      </c>
      <c r="E22" t="inlineStr">
        <is>
          <t>Low</t>
        </is>
      </c>
      <c r="F22" t="inlineStr">
        <is>
          <t>Add to 'areas we deliver' block; create page only if Semrush shows volume</t>
        </is>
      </c>
    </row>
    <row r="23">
      <c r="A23" t="inlineStr">
        <is>
          <t>Dubai - Mirdif</t>
        </is>
      </c>
      <c r="B23" t="inlineStr">
        <is>
          <t>Area</t>
        </is>
      </c>
      <c r="C23" t="inlineStr">
        <is>
          <t>Section on Dubai page (or own page if volume proves)</t>
        </is>
      </c>
      <c r="D23" t="inlineStr">
        <is>
          <t>rice delivery mirdif; rice wholesale mirdif</t>
        </is>
      </c>
      <c r="E23" t="inlineStr">
        <is>
          <t>Low</t>
        </is>
      </c>
      <c r="F23" t="inlineStr">
        <is>
          <t>Add to 'areas we deliver' block; create page only if Semrush shows volume</t>
        </is>
      </c>
    </row>
    <row r="24">
      <c r="A24" t="inlineStr">
        <is>
          <t>Dubai - Jumeirah</t>
        </is>
      </c>
      <c r="B24" t="inlineStr">
        <is>
          <t>Area</t>
        </is>
      </c>
      <c r="C24" t="inlineStr">
        <is>
          <t>Section on Dubai page (or own page if volume proves)</t>
        </is>
      </c>
      <c r="D24" t="inlineStr">
        <is>
          <t>rice delivery jumeirah; rice wholesale jumeirah</t>
        </is>
      </c>
      <c r="E24" t="inlineStr">
        <is>
          <t>Low</t>
        </is>
      </c>
      <c r="F24" t="inlineStr">
        <is>
          <t>Add to 'areas we deliver' block; create page only if Semrush shows volume</t>
        </is>
      </c>
    </row>
    <row r="25">
      <c r="A25" t="inlineStr">
        <is>
          <t>Dubai - Ras Al Khor</t>
        </is>
      </c>
      <c r="B25" t="inlineStr">
        <is>
          <t>Area</t>
        </is>
      </c>
      <c r="C25" t="inlineStr">
        <is>
          <t>Section on Dubai page (or own page if volume proves)</t>
        </is>
      </c>
      <c r="D25" t="inlineStr">
        <is>
          <t>rice delivery ras al khor; rice wholesale ras al khor</t>
        </is>
      </c>
      <c r="E25" t="inlineStr">
        <is>
          <t>Low</t>
        </is>
      </c>
      <c r="F25" t="inlineStr">
        <is>
          <t>Add to 'areas we deliver' block; create page only if Semrush shows volume</t>
        </is>
      </c>
    </row>
    <row r="26">
      <c r="A26" t="inlineStr">
        <is>
          <t>Dubai - Al Barsha</t>
        </is>
      </c>
      <c r="B26" t="inlineStr">
        <is>
          <t>Area</t>
        </is>
      </c>
      <c r="C26" t="inlineStr">
        <is>
          <t>Section on Dubai page (or own page if volume proves)</t>
        </is>
      </c>
      <c r="D26" t="inlineStr">
        <is>
          <t>rice delivery al barsha; rice wholesale al barsha</t>
        </is>
      </c>
      <c r="E26" t="inlineStr">
        <is>
          <t>Low</t>
        </is>
      </c>
      <c r="F26" t="inlineStr">
        <is>
          <t>Add to 'areas we deliver' block; create page only if Semrush shows volume</t>
        </is>
      </c>
    </row>
    <row r="27">
      <c r="A27" t="inlineStr">
        <is>
          <t>Dubai - Dubai Investment Park</t>
        </is>
      </c>
      <c r="B27" t="inlineStr">
        <is>
          <t>Area</t>
        </is>
      </c>
      <c r="C27" t="inlineStr">
        <is>
          <t>Section on Dubai page (or own page if volume proves)</t>
        </is>
      </c>
      <c r="D27" t="inlineStr">
        <is>
          <t>rice delivery dubai investment park; rice wholesale dubai investment park</t>
        </is>
      </c>
      <c r="E27" t="inlineStr">
        <is>
          <t>Low</t>
        </is>
      </c>
      <c r="F27" t="inlineStr">
        <is>
          <t>Add to 'areas we deliver' block; create page only if Semrush shows volume</t>
        </is>
      </c>
    </row>
    <row r="28">
      <c r="A28" t="inlineStr">
        <is>
          <t>Sharjah - Al Nahda</t>
        </is>
      </c>
      <c r="B28" t="inlineStr">
        <is>
          <t>Area</t>
        </is>
      </c>
      <c r="C28" t="inlineStr">
        <is>
          <t>Section on Sharjah page</t>
        </is>
      </c>
      <c r="D28" t="inlineStr">
        <is>
          <t>rice wholesale al nahda sharjah</t>
        </is>
      </c>
      <c r="E28" t="inlineStr">
        <is>
          <t>Low</t>
        </is>
      </c>
      <c r="F28" t="inlineStr">
        <is>
          <t>Include in Sharjah page</t>
        </is>
      </c>
    </row>
    <row r="29">
      <c r="A29" t="inlineStr">
        <is>
          <t>Sharjah - Industrial Area</t>
        </is>
      </c>
      <c r="B29" t="inlineStr">
        <is>
          <t>Area</t>
        </is>
      </c>
      <c r="C29" t="inlineStr">
        <is>
          <t>Section on Sharjah page</t>
        </is>
      </c>
      <c r="D29" t="inlineStr">
        <is>
          <t>rice wholesale industrial area sharjah</t>
        </is>
      </c>
      <c r="E29" t="inlineStr">
        <is>
          <t>Low</t>
        </is>
      </c>
      <c r="F29" t="inlineStr">
        <is>
          <t>Include in Sharjah page</t>
        </is>
      </c>
    </row>
    <row r="30">
      <c r="A30" t="inlineStr">
        <is>
          <t>Sharjah - Al Majaz</t>
        </is>
      </c>
      <c r="B30" t="inlineStr">
        <is>
          <t>Area</t>
        </is>
      </c>
      <c r="C30" t="inlineStr">
        <is>
          <t>Section on Sharjah page</t>
        </is>
      </c>
      <c r="D30" t="inlineStr">
        <is>
          <t>rice wholesale al majaz sharjah</t>
        </is>
      </c>
      <c r="E30" t="inlineStr">
        <is>
          <t>Low</t>
        </is>
      </c>
      <c r="F30" t="inlineStr">
        <is>
          <t>Include in Sharjah page</t>
        </is>
      </c>
    </row>
    <row r="31">
      <c r="A31" t="inlineStr">
        <is>
          <t>Sharjah - Muwaileh</t>
        </is>
      </c>
      <c r="B31" t="inlineStr">
        <is>
          <t>Area</t>
        </is>
      </c>
      <c r="C31" t="inlineStr">
        <is>
          <t>Section on Sharjah page</t>
        </is>
      </c>
      <c r="D31" t="inlineStr">
        <is>
          <t>rice wholesale muwaileh sharjah</t>
        </is>
      </c>
      <c r="E31" t="inlineStr">
        <is>
          <t>Low</t>
        </is>
      </c>
      <c r="F31" t="inlineStr">
        <is>
          <t>Include in Sharjah page</t>
        </is>
      </c>
    </row>
  </sheetData>
  <autoFilter ref="A1:F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0" customWidth="1" min="3" max="3"/>
    <col width="70" customWidth="1" min="4" max="4"/>
    <col width="60" customWidth="1" min="5" max="5"/>
    <col width="40" customWidth="1" min="6" max="6"/>
    <col width="10" customWidth="1" min="7" max="7"/>
  </cols>
  <sheetData>
    <row r="1">
      <c r="A1" s="3" t="inlineStr">
        <is>
          <t>Page</t>
        </is>
      </c>
      <c r="B1" s="3" t="inlineStr">
        <is>
          <t>Suggested URL</t>
        </is>
      </c>
      <c r="C1" s="3" t="inlineStr">
        <is>
          <t>Primary keyword</t>
        </is>
      </c>
      <c r="D1" s="3" t="inlineStr">
        <is>
          <t>Secondary keywords</t>
        </is>
      </c>
      <c r="E1" s="3" t="inlineStr">
        <is>
          <t>Suggested title tag (&lt;=60 chars check)</t>
        </is>
      </c>
      <c r="F1" s="3" t="inlineStr">
        <is>
          <t>Suggested H1</t>
        </is>
      </c>
      <c r="G1" s="3" t="inlineStr">
        <is>
          <t>Phase</t>
        </is>
      </c>
    </row>
    <row r="2">
      <c r="A2" t="inlineStr">
        <is>
          <t>Home (B2B-first)</t>
        </is>
      </c>
      <c r="B2" t="inlineStr">
        <is>
          <t>/</t>
        </is>
      </c>
      <c r="C2" t="inlineStr">
        <is>
          <t>rice importers in dubai</t>
        </is>
      </c>
      <c r="D2" t="inlineStr">
        <is>
          <t>rice wholesale dubai; rice supplier uae; rice exporters in uae; rice trading company in uae</t>
        </is>
      </c>
      <c r="E2" t="inlineStr">
        <is>
          <t>Rice Importers &amp; Exporters Dubai | Bulk Rice Supplier UAE</t>
        </is>
      </c>
      <c r="F2" t="inlineStr">
        <is>
          <t>Bulk Rice Supply for Importers &amp; Exporters</t>
        </is>
      </c>
      <c r="G2" t="inlineStr">
        <is>
          <t>Phase 1</t>
        </is>
      </c>
    </row>
    <row r="3">
      <c r="A3" t="inlineStr">
        <is>
          <t>Importers &amp; Exporters</t>
        </is>
      </c>
      <c r="B3" t="inlineStr">
        <is>
          <t>/rice-importers-exporters-uae/</t>
        </is>
      </c>
      <c r="C3" t="inlineStr">
        <is>
          <t>rice importers in uae</t>
        </is>
      </c>
      <c r="D3" t="inlineStr">
        <is>
          <t>rice importer dubai; rice exporters in uae; rice buyers in uae; rice distributors in uae</t>
        </is>
      </c>
      <c r="E3" t="inlineStr">
        <is>
          <t>Rice Importers &amp; Exporters UAE - Trade Partner in Dubai</t>
        </is>
      </c>
      <c r="F3" t="inlineStr">
        <is>
          <t>Your Rice Import &amp; Export Partner in Dubai</t>
        </is>
      </c>
      <c r="G3" t="inlineStr">
        <is>
          <t>Phase 1</t>
        </is>
      </c>
    </row>
    <row r="4">
      <c r="A4" t="inlineStr">
        <is>
          <t>Wholesale / Bulk</t>
        </is>
      </c>
      <c r="B4" t="inlineStr">
        <is>
          <t>/rice-wholesale-dubai/</t>
        </is>
      </c>
      <c r="C4" t="inlineStr">
        <is>
          <t>rice wholesale dubai</t>
        </is>
      </c>
      <c r="D4" t="inlineStr">
        <is>
          <t>bulk rice dubai; rice supplier uae; rice distributor dubai; wholesale rice price dubai; 25kg/50kg</t>
        </is>
      </c>
      <c r="E4" t="inlineStr">
        <is>
          <t>Rice Wholesale Dubai - Bulk Rice Supplier UAE</t>
        </is>
      </c>
      <c r="F4" t="inlineStr">
        <is>
          <t>Rice Wholesale in Dubai</t>
        </is>
      </c>
      <c r="G4" t="inlineStr">
        <is>
          <t>Phase 1</t>
        </is>
      </c>
    </row>
    <row r="5">
      <c r="A5" t="inlineStr">
        <is>
          <t>Export / Re-export</t>
        </is>
      </c>
      <c r="B5" t="inlineStr">
        <is>
          <t>/rice-export-from-dubai/</t>
        </is>
      </c>
      <c r="C5" t="inlineStr">
        <is>
          <t>rice re-export from dubai</t>
        </is>
      </c>
      <c r="D5" t="inlineStr">
        <is>
          <t>rice export to africa from uae; rice supplier gcc; rice supplier for africa from dubai</t>
        </is>
      </c>
      <c r="E5" t="inlineStr">
        <is>
          <t>Rice Export from Dubai - Africa, GCC &amp; Middle East</t>
        </is>
      </c>
      <c r="F5" t="inlineStr">
        <is>
          <t>Rice Export &amp; Re-export from Dubai</t>
        </is>
      </c>
      <c r="G5" t="inlineStr">
        <is>
          <t>Phase 1</t>
        </is>
      </c>
    </row>
    <row r="6">
      <c r="A6" t="inlineStr">
        <is>
          <t>Trade terms &amp; pricing (RFQ)</t>
        </is>
      </c>
      <c r="B6" t="inlineStr">
        <is>
          <t>/rice-price-per-ton/</t>
        </is>
      </c>
      <c r="C6" t="inlineStr">
        <is>
          <t>rice price per ton</t>
        </is>
      </c>
      <c r="D6" t="inlineStr">
        <is>
          <t>rice fob price; rice cif dubai; basmati rice price per ton; rice moq; rice 20ft container</t>
        </is>
      </c>
      <c r="E6" t="inlineStr">
        <is>
          <t>Rice Price per Ton - FOB/CIF Dubai | Get Quote</t>
        </is>
      </c>
      <c r="F6" t="inlineStr">
        <is>
          <t>Rice Price per Ton &amp; Container Quotes</t>
        </is>
      </c>
      <c r="G6" t="inlineStr">
        <is>
          <t>Phase 1</t>
        </is>
      </c>
    </row>
    <row r="7">
      <c r="A7" t="inlineStr">
        <is>
          <t>Origin sourcing (India/Pakistan/Thailand/Vietnam)</t>
        </is>
      </c>
      <c r="B7" t="inlineStr">
        <is>
          <t>/rice-sourcing/</t>
        </is>
      </c>
      <c r="C7" t="inlineStr">
        <is>
          <t>indian rice supplier dubai</t>
        </is>
      </c>
      <c r="D7" t="inlineStr">
        <is>
          <t>pakistani rice supplier uae; thai rice supplier uae; vietnam rice supplier uae</t>
        </is>
      </c>
      <c r="E7" t="inlineStr">
        <is>
          <t>Rice Sourcing from India, Pakistan, Thailand &amp; Vietnam</t>
        </is>
      </c>
      <c r="F7" t="inlineStr">
        <is>
          <t>Source Rice from the Best Origins</t>
        </is>
      </c>
      <c r="G7" t="inlineStr">
        <is>
          <t>Phase 1</t>
        </is>
      </c>
    </row>
    <row r="8">
      <c r="A8" t="inlineStr">
        <is>
          <t>Private label</t>
        </is>
      </c>
      <c r="B8" t="inlineStr">
        <is>
          <t>/private-label-rice/</t>
        </is>
      </c>
      <c r="C8" t="inlineStr">
        <is>
          <t>private label rice supplier</t>
        </is>
      </c>
      <c r="D8" t="inlineStr">
        <is>
          <t>private label basmati rice uae; custom branded rice bags</t>
        </is>
      </c>
      <c r="E8" t="inlineStr">
        <is>
          <t>Private Label Rice Supplier UAE</t>
        </is>
      </c>
      <c r="F8" t="inlineStr">
        <is>
          <t>Private Label Rice for Your Brand</t>
        </is>
      </c>
      <c r="G8" t="inlineStr">
        <is>
          <t>Phase 1</t>
        </is>
      </c>
    </row>
    <row r="9">
      <c r="A9" t="inlineStr">
        <is>
          <t>Quality &amp; certifications</t>
        </is>
      </c>
      <c r="B9" t="inlineStr">
        <is>
          <t>/quality-certifications/</t>
        </is>
      </c>
      <c r="C9" t="inlineStr">
        <is>
          <t>halal certified rice supplier</t>
        </is>
      </c>
      <c r="D9" t="inlineStr">
        <is>
          <t>haccp rice supplier; iso certified rice exporter; rice sample request</t>
        </is>
      </c>
      <c r="E9" t="inlineStr">
        <is>
          <t>Certified Rice Supplier UAE - Halal, HACCP, ISO</t>
        </is>
      </c>
      <c r="F9" t="inlineStr">
        <is>
          <t>Quality &amp; Certifications</t>
        </is>
      </c>
      <c r="G9" t="inlineStr">
        <is>
          <t>Phase 1</t>
        </is>
      </c>
    </row>
    <row r="10">
      <c r="A10" t="inlineStr">
        <is>
          <t>HORECA / Supermarkets</t>
        </is>
      </c>
      <c r="B10" t="inlineStr">
        <is>
          <t>/rice-for-hotels-restaurants/</t>
        </is>
      </c>
      <c r="C10" t="inlineStr">
        <is>
          <t>rice supplier for hotels dubai</t>
        </is>
      </c>
      <c r="D10" t="inlineStr">
        <is>
          <t>horeca rice supplier dubai; rice for restaurants dubai; rice for supermarkets uae</t>
        </is>
      </c>
      <c r="E10" t="inlineStr">
        <is>
          <t>Rice Supplier for Hotels, Restaurants &amp; Supermarkets UAE</t>
        </is>
      </c>
      <c r="F10" t="inlineStr">
        <is>
          <t>Rice for HORECA &amp; Retail Chains</t>
        </is>
      </c>
      <c r="G10" t="inlineStr">
        <is>
          <t>Phase 1</t>
        </is>
      </c>
    </row>
    <row r="11">
      <c r="A11" t="inlineStr">
        <is>
          <t>Basmati Rice (category)</t>
        </is>
      </c>
      <c r="B11" t="inlineStr">
        <is>
          <t>/basmati-rice/</t>
        </is>
      </c>
      <c r="C11" t="inlineStr">
        <is>
          <t>basmati rice supplier uae</t>
        </is>
      </c>
      <c r="D11" t="inlineStr">
        <is>
          <t>bulk basmati rice uae; basmati rice importers uae; 1121 basmati rice price per ton</t>
        </is>
      </c>
      <c r="E11" t="inlineStr">
        <is>
          <t>Bulk Basmati Rice Supplier UAE</t>
        </is>
      </c>
      <c r="F11" t="inlineStr">
        <is>
          <t>Basmati Rice - Bulk Supply</t>
        </is>
      </c>
      <c r="G11" t="inlineStr">
        <is>
          <t>Phase 1</t>
        </is>
      </c>
    </row>
    <row r="12">
      <c r="A12" t="inlineStr">
        <is>
          <t>1121 Basmati</t>
        </is>
      </c>
      <c r="B12" t="inlineStr">
        <is>
          <t>/basmati-rice/1121/</t>
        </is>
      </c>
      <c r="C12" t="inlineStr">
        <is>
          <t>1121 basmati rice price per ton</t>
        </is>
      </c>
      <c r="D12" t="inlineStr">
        <is>
          <t>1121 basmati rice supplier uae; 1121 basmati wholesale dubai</t>
        </is>
      </c>
      <c r="E12" t="inlineStr">
        <is>
          <t>1121 Basmati Rice Wholesale UAE</t>
        </is>
      </c>
      <c r="F12" t="inlineStr">
        <is>
          <t>1121 Basmati Rice</t>
        </is>
      </c>
      <c r="G12" t="inlineStr">
        <is>
          <t>Phase 1</t>
        </is>
      </c>
    </row>
    <row r="13">
      <c r="A13" t="inlineStr">
        <is>
          <t>Sella Basmati</t>
        </is>
      </c>
      <c r="B13" t="inlineStr">
        <is>
          <t>/basmati-rice/sella/</t>
        </is>
      </c>
      <c r="C13" t="inlineStr">
        <is>
          <t>sella basmati rice wholesale dubai</t>
        </is>
      </c>
      <c r="D13" t="inlineStr">
        <is>
          <t>golden sella basmati supplier uae; white sella basmati wholesale</t>
        </is>
      </c>
      <c r="E13" t="inlineStr">
        <is>
          <t>Sella Basmati Rice Wholesale UAE</t>
        </is>
      </c>
      <c r="F13" t="inlineStr">
        <is>
          <t>Sella Basmati Rice</t>
        </is>
      </c>
      <c r="G13" t="inlineStr">
        <is>
          <t>Phase 1</t>
        </is>
      </c>
    </row>
    <row r="14">
      <c r="A14" t="inlineStr">
        <is>
          <t>Steam Basmati</t>
        </is>
      </c>
      <c r="B14" t="inlineStr">
        <is>
          <t>/basmati-rice/steam/</t>
        </is>
      </c>
      <c r="C14" t="inlineStr">
        <is>
          <t>steam basmati rice wholesale dubai</t>
        </is>
      </c>
      <c r="D14" t="inlineStr">
        <is>
          <t>steam basmati rice supplier uae</t>
        </is>
      </c>
      <c r="E14" t="inlineStr">
        <is>
          <t>Steam Basmati Rice Wholesale UAE</t>
        </is>
      </c>
      <c r="F14" t="inlineStr">
        <is>
          <t>Steam Basmati Rice</t>
        </is>
      </c>
      <c r="G14" t="inlineStr">
        <is>
          <t>Phase 1</t>
        </is>
      </c>
    </row>
    <row r="15">
      <c r="A15" t="inlineStr">
        <is>
          <t>Non-Basmati</t>
        </is>
      </c>
      <c r="B15" t="inlineStr">
        <is>
          <t>/non-basmati-rice/</t>
        </is>
      </c>
      <c r="C15" t="inlineStr">
        <is>
          <t>parboiled rice supplier uae</t>
        </is>
      </c>
      <c r="D15" t="inlineStr">
        <is>
          <t>raw rice wholesale dubai; long grain white rice supplier uae; indian non basmati rice export</t>
        </is>
      </c>
      <c r="E15" t="inlineStr">
        <is>
          <t>Non-Basmati Rice Supplier UAE - Parboiled, Raw, Long Grain</t>
        </is>
      </c>
      <c r="F15" t="inlineStr">
        <is>
          <t>Non-Basmati Rice</t>
        </is>
      </c>
      <c r="G15" t="inlineStr">
        <is>
          <t>Phase 1</t>
        </is>
      </c>
    </row>
    <row r="16">
      <c r="A16" t="inlineStr">
        <is>
          <t>Contact / Get Quote</t>
        </is>
      </c>
      <c r="B16" t="inlineStr">
        <is>
          <t>/get-quote/</t>
        </is>
      </c>
      <c r="C16" t="inlineStr">
        <is>
          <t>(conversion page)</t>
        </is>
      </c>
      <c r="D16" t="inlineStr">
        <is>
          <t>rice sample request; rice moq</t>
        </is>
      </c>
      <c r="E16" t="inlineStr">
        <is>
          <t>Get a Rice Quote - Cookychoice</t>
        </is>
      </c>
      <c r="F16" t="inlineStr">
        <is>
          <t>Request a Quote</t>
        </is>
      </c>
      <c r="G16" t="inlineStr">
        <is>
          <t>Phase 1</t>
        </is>
      </c>
    </row>
    <row r="17">
      <c r="A17" t="inlineStr">
        <is>
          <t>Abu Dhabi / Sharjah / emirates (B2B)</t>
        </is>
      </c>
      <c r="B17" t="inlineStr">
        <is>
          <t>/rice-supplier-abu-dhabi/ etc.</t>
        </is>
      </c>
      <c r="C17" t="inlineStr">
        <is>
          <t>rice supplier abu dhabi</t>
        </is>
      </c>
      <c r="D17" t="inlineStr">
        <is>
          <t>rice wholesale sharjah; rice suppliers in ajman</t>
        </is>
      </c>
      <c r="E17" t="inlineStr">
        <is>
          <t>Rice Supplier Abu Dhabi</t>
        </is>
      </c>
      <c r="F17" t="inlineStr">
        <is>
          <t>Rice Supplier in Abu Dhabi</t>
        </is>
      </c>
      <c r="G17" t="inlineStr">
        <is>
          <t>Phase 1</t>
        </is>
      </c>
    </row>
    <row r="18">
      <c r="A18" t="inlineStr">
        <is>
          <t>Blog (B2B guides)</t>
        </is>
      </c>
      <c r="B18" t="inlineStr">
        <is>
          <t>/blog/</t>
        </is>
      </c>
      <c r="C18" t="inlineStr">
        <is>
          <t>rice import regulations uae</t>
        </is>
      </c>
      <c r="D18" t="inlineStr">
        <is>
          <t>rice trading license dubai; how to start rice trading business in dubai; rice price trend uae</t>
        </is>
      </c>
      <c r="E18" t="inlineStr">
        <is>
          <t>Rice Trade Guides &amp; Market Updates UAE</t>
        </is>
      </c>
      <c r="F18" t="inlineStr">
        <is>
          <t>Rice Trade Insights</t>
        </is>
      </c>
      <c r="G18" t="inlineStr">
        <is>
          <t>Phase 1</t>
        </is>
      </c>
    </row>
    <row r="19">
      <c r="A19" t="inlineStr">
        <is>
          <t>Arabic version</t>
        </is>
      </c>
      <c r="B19" t="inlineStr">
        <is>
          <t>/ar/</t>
        </is>
      </c>
      <c r="C19" t="inlineStr">
        <is>
          <t>ارز بسمتي بالجملة</t>
        </is>
      </c>
      <c r="D19" t="inlineStr">
        <is>
          <t>موردين ارز في الامارات</t>
        </is>
      </c>
      <c r="E19" t="inlineStr">
        <is>
          <t>موردين ارز بالجملة في الامارات</t>
        </is>
      </c>
      <c r="F19" t="inlineStr">
        <is>
          <t>موردين الارز في دبي</t>
        </is>
      </c>
      <c r="G19" t="inlineStr">
        <is>
          <t>Phase 1</t>
        </is>
      </c>
    </row>
    <row r="20">
      <c r="A20" t="inlineStr">
        <is>
          <t>B2C shop home / category</t>
        </is>
      </c>
      <c r="B20" t="inlineStr">
        <is>
          <t>/shop/</t>
        </is>
      </c>
      <c r="C20" t="inlineStr">
        <is>
          <t>buy rice online uae</t>
        </is>
      </c>
      <c r="D20" t="inlineStr">
        <is>
          <t>rice delivery dubai; rice online dubai</t>
        </is>
      </c>
      <c r="E20" t="inlineStr">
        <is>
          <t>Buy Rice Online UAE</t>
        </is>
      </c>
      <c r="F20" t="inlineStr">
        <is>
          <t>Shop Rice Online</t>
        </is>
      </c>
      <c r="G20" t="inlineStr">
        <is>
          <t>Phase 2</t>
        </is>
      </c>
    </row>
    <row r="21">
      <c r="A21" t="inlineStr">
        <is>
          <t>Delivery page</t>
        </is>
      </c>
      <c r="B21" t="inlineStr">
        <is>
          <t>/rice-delivery-dubai/</t>
        </is>
      </c>
      <c r="C21" t="inlineStr">
        <is>
          <t>rice delivery dubai</t>
        </is>
      </c>
      <c r="D21" t="inlineStr">
        <is>
          <t>same day rice delivery dubai; rice home delivery uae</t>
        </is>
      </c>
      <c r="E21" t="inlineStr">
        <is>
          <t>Rice Delivery Dubai</t>
        </is>
      </c>
      <c r="F21" t="inlineStr">
        <is>
          <t>Rice Delivery in Dubai</t>
        </is>
      </c>
      <c r="G21" t="inlineStr">
        <is>
          <t>Phase 2</t>
        </is>
      </c>
    </row>
    <row r="22">
      <c r="A22" t="inlineStr">
        <is>
          <t>Brands hub</t>
        </is>
      </c>
      <c r="B22" t="inlineStr">
        <is>
          <t>/brands/</t>
        </is>
      </c>
      <c r="C22" t="inlineStr">
        <is>
          <t>india gate basmati rice</t>
        </is>
      </c>
      <c r="D22" t="inlineStr">
        <is>
          <t>daawat; kohinoor; tilda (only if stocked)</t>
        </is>
      </c>
      <c r="E22" t="inlineStr">
        <is>
          <t>Rice Brands in UAE</t>
        </is>
      </c>
      <c r="F22" t="inlineStr">
        <is>
          <t>Shop Rice by Brand</t>
        </is>
      </c>
      <c r="G22" t="inlineStr">
        <is>
          <t>Phase 2</t>
        </is>
      </c>
    </row>
    <row r="23">
      <c r="A23" t="inlineStr">
        <is>
          <t>Biryani / Kabsa pages</t>
        </is>
      </c>
      <c r="B23" t="inlineStr">
        <is>
          <t>/biryani-rice/</t>
        </is>
      </c>
      <c r="C23" t="inlineStr">
        <is>
          <t>biryani rice</t>
        </is>
      </c>
      <c r="D23" t="inlineStr">
        <is>
          <t>rice for kabsa; mandi rice</t>
        </is>
      </c>
      <c r="E23" t="inlineStr">
        <is>
          <t>Best Rice for Biryani &amp; Kabsa UAE</t>
        </is>
      </c>
      <c r="F23" t="inlineStr">
        <is>
          <t>Biryani Rice</t>
        </is>
      </c>
      <c r="G23" t="inlineStr">
        <is>
          <t>Phase 2</t>
        </is>
      </c>
    </row>
  </sheetData>
  <autoFilter ref="A1:G2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4" customWidth="1" min="3" max="3"/>
    <col width="60" customWidth="1" min="4" max="4"/>
    <col width="36" customWidth="1" min="5" max="5"/>
    <col width="14" customWidth="1" min="6" max="6"/>
    <col width="10" customWidth="1" min="7" max="7"/>
  </cols>
  <sheetData>
    <row r="1">
      <c r="A1" s="3" t="inlineStr">
        <is>
          <t>Keyword / question</t>
        </is>
      </c>
      <c r="B1" s="3" t="inlineStr">
        <is>
          <t>Type</t>
        </is>
      </c>
      <c r="C1" s="3" t="inlineStr">
        <is>
          <t>Intent</t>
        </is>
      </c>
      <c r="D1" s="3" t="inlineStr">
        <is>
          <t>Suggested article title</t>
        </is>
      </c>
      <c r="E1" s="3" t="inlineStr">
        <is>
          <t>Internal link to</t>
        </is>
      </c>
      <c r="F1" s="3" t="inlineStr">
        <is>
          <t>Search Volume</t>
        </is>
      </c>
      <c r="G1" s="3" t="inlineStr">
        <is>
          <t>KD %</t>
        </is>
      </c>
    </row>
    <row r="2">
      <c r="A2" t="inlineStr">
        <is>
          <t>how to cook basmati rice</t>
        </is>
      </c>
      <c r="B2" t="inlineStr">
        <is>
          <t>Cooking guide</t>
        </is>
      </c>
      <c r="C2" t="inlineStr">
        <is>
          <t>Informational</t>
        </is>
      </c>
      <c r="D2" t="inlineStr">
        <is>
          <t>How to cook basmati rice (UAE guide)</t>
        </is>
      </c>
      <c r="E2" t="inlineStr">
        <is>
          <t>Relevant category / product page</t>
        </is>
      </c>
      <c r="F2" t="inlineStr"/>
      <c r="G2" t="inlineStr"/>
    </row>
    <row r="3">
      <c r="A3" t="inlineStr">
        <is>
          <t>basmati rice vs jasmine rice</t>
        </is>
      </c>
      <c r="B3" t="inlineStr">
        <is>
          <t>Comparison</t>
        </is>
      </c>
      <c r="C3" t="inlineStr">
        <is>
          <t>Informational</t>
        </is>
      </c>
      <c r="D3" t="inlineStr">
        <is>
          <t>Basmati rice vs jasmine rice (UAE guide)</t>
        </is>
      </c>
      <c r="E3" t="inlineStr">
        <is>
          <t>Relevant category / product page</t>
        </is>
      </c>
      <c r="F3" t="inlineStr"/>
      <c r="G3" t="inlineStr"/>
    </row>
    <row r="4">
      <c r="A4" t="inlineStr">
        <is>
          <t>1121 basmati vs sella basmati</t>
        </is>
      </c>
      <c r="B4" t="inlineStr">
        <is>
          <t>Comparison</t>
        </is>
      </c>
      <c r="C4" t="inlineStr">
        <is>
          <t>Informational</t>
        </is>
      </c>
      <c r="D4" t="inlineStr">
        <is>
          <t>1121 basmati vs sella basmati (UAE guide)</t>
        </is>
      </c>
      <c r="E4" t="inlineStr">
        <is>
          <t>Relevant category / product page</t>
        </is>
      </c>
      <c r="F4" t="inlineStr"/>
      <c r="G4" t="inlineStr"/>
    </row>
    <row r="5">
      <c r="A5" t="inlineStr">
        <is>
          <t>difference between sella and steam basmati</t>
        </is>
      </c>
      <c r="B5" t="inlineStr">
        <is>
          <t>Comparison</t>
        </is>
      </c>
      <c r="C5" t="inlineStr">
        <is>
          <t>Informational</t>
        </is>
      </c>
      <c r="D5" t="inlineStr">
        <is>
          <t>Difference between sella and steam basmati (UAE guide)</t>
        </is>
      </c>
      <c r="E5" t="inlineStr">
        <is>
          <t>Relevant category / product page</t>
        </is>
      </c>
      <c r="F5" t="inlineStr"/>
      <c r="G5" t="inlineStr"/>
    </row>
    <row r="6">
      <c r="A6" t="inlineStr">
        <is>
          <t>how to identify real basmati rice</t>
        </is>
      </c>
      <c r="B6" t="inlineStr">
        <is>
          <t>Buying guide</t>
        </is>
      </c>
      <c r="C6" t="inlineStr">
        <is>
          <t>Informational</t>
        </is>
      </c>
      <c r="D6" t="inlineStr">
        <is>
          <t>How to identify real basmati rice (UAE guide)</t>
        </is>
      </c>
      <c r="E6" t="inlineStr">
        <is>
          <t>Relevant category / product page</t>
        </is>
      </c>
      <c r="F6" t="inlineStr"/>
      <c r="G6" t="inlineStr"/>
    </row>
    <row r="7">
      <c r="A7" t="inlineStr">
        <is>
          <t>how to choose basmati rice</t>
        </is>
      </c>
      <c r="B7" t="inlineStr">
        <is>
          <t>Buying guide</t>
        </is>
      </c>
      <c r="C7" t="inlineStr">
        <is>
          <t>Informational</t>
        </is>
      </c>
      <c r="D7" t="inlineStr">
        <is>
          <t>How to choose basmati rice (UAE guide)</t>
        </is>
      </c>
      <c r="E7" t="inlineStr">
        <is>
          <t>Relevant category / product page</t>
        </is>
      </c>
      <c r="F7" t="inlineStr"/>
      <c r="G7" t="inlineStr"/>
    </row>
    <row r="8">
      <c r="A8" t="inlineStr">
        <is>
          <t>how to store rice long term</t>
        </is>
      </c>
      <c r="B8" t="inlineStr">
        <is>
          <t>Storage</t>
        </is>
      </c>
      <c r="C8" t="inlineStr">
        <is>
          <t>Informational</t>
        </is>
      </c>
      <c r="D8" t="inlineStr">
        <is>
          <t>How to store rice long term (UAE guide)</t>
        </is>
      </c>
      <c r="E8" t="inlineStr">
        <is>
          <t>Relevant category / product page</t>
        </is>
      </c>
      <c r="F8" t="inlineStr"/>
      <c r="G8" t="inlineStr"/>
    </row>
    <row r="9">
      <c r="A9" t="inlineStr">
        <is>
          <t>how long does basmati rice last</t>
        </is>
      </c>
      <c r="B9" t="inlineStr">
        <is>
          <t>Storage</t>
        </is>
      </c>
      <c r="C9" t="inlineStr">
        <is>
          <t>Informational</t>
        </is>
      </c>
      <c r="D9" t="inlineStr">
        <is>
          <t>How long does basmati rice last (UAE guide)</t>
        </is>
      </c>
      <c r="E9" t="inlineStr">
        <is>
          <t>Relevant category / product page</t>
        </is>
      </c>
      <c r="F9" t="inlineStr"/>
      <c r="G9" t="inlineStr"/>
    </row>
    <row r="10">
      <c r="A10" t="inlineStr">
        <is>
          <t>rice to water ratio for biryani</t>
        </is>
      </c>
      <c r="B10" t="inlineStr">
        <is>
          <t>Cooking guide</t>
        </is>
      </c>
      <c r="C10" t="inlineStr">
        <is>
          <t>Informational</t>
        </is>
      </c>
      <c r="D10" t="inlineStr">
        <is>
          <t>Rice to water ratio for biryani (UAE guide)</t>
        </is>
      </c>
      <c r="E10" t="inlineStr">
        <is>
          <t>Relevant category / product page</t>
        </is>
      </c>
      <c r="F10" t="inlineStr"/>
      <c r="G10" t="inlineStr"/>
    </row>
    <row r="11">
      <c r="A11" t="inlineStr">
        <is>
          <t>how to cook rice for kabsa</t>
        </is>
      </c>
      <c r="B11" t="inlineStr">
        <is>
          <t>Cooking guide</t>
        </is>
      </c>
      <c r="C11" t="inlineStr">
        <is>
          <t>Informational</t>
        </is>
      </c>
      <c r="D11" t="inlineStr">
        <is>
          <t>How to cook rice for kabsa (UAE guide)</t>
        </is>
      </c>
      <c r="E11" t="inlineStr">
        <is>
          <t>Relevant category / product page</t>
        </is>
      </c>
      <c r="F11" t="inlineStr"/>
      <c r="G11" t="inlineStr"/>
    </row>
    <row r="12">
      <c r="A12" t="inlineStr">
        <is>
          <t>how to make chicken mandi rice</t>
        </is>
      </c>
      <c r="B12" t="inlineStr">
        <is>
          <t>Recipe</t>
        </is>
      </c>
      <c r="C12" t="inlineStr">
        <is>
          <t>Informational</t>
        </is>
      </c>
      <c r="D12" t="inlineStr">
        <is>
          <t>How to make chicken mandi rice (UAE guide)</t>
        </is>
      </c>
      <c r="E12" t="inlineStr">
        <is>
          <t>Relevant category / product page</t>
        </is>
      </c>
      <c r="F12" t="inlineStr"/>
      <c r="G12" t="inlineStr"/>
    </row>
    <row r="13">
      <c r="A13" t="inlineStr">
        <is>
          <t>how to make dubai style biryani</t>
        </is>
      </c>
      <c r="B13" t="inlineStr">
        <is>
          <t>Recipe</t>
        </is>
      </c>
      <c r="C13" t="inlineStr">
        <is>
          <t>Informational</t>
        </is>
      </c>
      <c r="D13" t="inlineStr">
        <is>
          <t>How to make dubai style biryani (UAE guide)</t>
        </is>
      </c>
      <c r="E13" t="inlineStr">
        <is>
          <t>Relevant category / product page</t>
        </is>
      </c>
      <c r="F13" t="inlineStr"/>
      <c r="G13" t="inlineStr"/>
    </row>
    <row r="14">
      <c r="A14" t="inlineStr">
        <is>
          <t>best rice for biryani</t>
        </is>
      </c>
      <c r="B14" t="inlineStr">
        <is>
          <t>Buying guide</t>
        </is>
      </c>
      <c r="C14" t="inlineStr">
        <is>
          <t>Informational</t>
        </is>
      </c>
      <c r="D14" t="inlineStr">
        <is>
          <t>Best rice for biryani (UAE guide)</t>
        </is>
      </c>
      <c r="E14" t="inlineStr">
        <is>
          <t>Relevant category / product page</t>
        </is>
      </c>
      <c r="F14" t="inlineStr"/>
      <c r="G14" t="inlineStr"/>
    </row>
    <row r="15">
      <c r="A15" t="inlineStr">
        <is>
          <t>best rice for pulao</t>
        </is>
      </c>
      <c r="B15" t="inlineStr">
        <is>
          <t>Buying guide</t>
        </is>
      </c>
      <c r="C15" t="inlineStr">
        <is>
          <t>Informational</t>
        </is>
      </c>
      <c r="D15" t="inlineStr">
        <is>
          <t>Best rice for pulao (UAE guide)</t>
        </is>
      </c>
      <c r="E15" t="inlineStr">
        <is>
          <t>Relevant category / product page</t>
        </is>
      </c>
      <c r="F15" t="inlineStr"/>
      <c r="G15" t="inlineStr"/>
    </row>
    <row r="16">
      <c r="A16" t="inlineStr">
        <is>
          <t>best rice for fried rice</t>
        </is>
      </c>
      <c r="B16" t="inlineStr">
        <is>
          <t>Buying guide</t>
        </is>
      </c>
      <c r="C16" t="inlineStr">
        <is>
          <t>Informational</t>
        </is>
      </c>
      <c r="D16" t="inlineStr">
        <is>
          <t>Best rice for fried rice (UAE guide)</t>
        </is>
      </c>
      <c r="E16" t="inlineStr">
        <is>
          <t>Relevant category / product page</t>
        </is>
      </c>
      <c r="F16" t="inlineStr"/>
      <c r="G16" t="inlineStr"/>
    </row>
    <row r="17">
      <c r="A17" t="inlineStr">
        <is>
          <t>is basmati rice healthy</t>
        </is>
      </c>
      <c r="B17" t="inlineStr">
        <is>
          <t>Health</t>
        </is>
      </c>
      <c r="C17" t="inlineStr">
        <is>
          <t>Informational</t>
        </is>
      </c>
      <c r="D17" t="inlineStr">
        <is>
          <t>Is basmati rice healthy (UAE guide)</t>
        </is>
      </c>
      <c r="E17" t="inlineStr">
        <is>
          <t>Relevant category / product page</t>
        </is>
      </c>
      <c r="F17" t="inlineStr"/>
      <c r="G17" t="inlineStr"/>
    </row>
    <row r="18">
      <c r="A18" t="inlineStr">
        <is>
          <t>brown rice vs white rice</t>
        </is>
      </c>
      <c r="B18" t="inlineStr">
        <is>
          <t>Health</t>
        </is>
      </c>
      <c r="C18" t="inlineStr">
        <is>
          <t>Informational</t>
        </is>
      </c>
      <c r="D18" t="inlineStr">
        <is>
          <t>Brown rice vs white rice (UAE guide)</t>
        </is>
      </c>
      <c r="E18" t="inlineStr">
        <is>
          <t>Relevant category / product page</t>
        </is>
      </c>
      <c r="F18" t="inlineStr"/>
      <c r="G18" t="inlineStr"/>
    </row>
    <row r="19">
      <c r="A19" t="inlineStr">
        <is>
          <t>basmati rice calories</t>
        </is>
      </c>
      <c r="B19" t="inlineStr">
        <is>
          <t>Health</t>
        </is>
      </c>
      <c r="C19" t="inlineStr">
        <is>
          <t>Informational</t>
        </is>
      </c>
      <c r="D19" t="inlineStr">
        <is>
          <t>Basmati rice calories (UAE guide)</t>
        </is>
      </c>
      <c r="E19" t="inlineStr">
        <is>
          <t>Relevant category / product page</t>
        </is>
      </c>
      <c r="F19" t="inlineStr"/>
      <c r="G19" t="inlineStr"/>
    </row>
    <row r="20">
      <c r="A20" t="inlineStr">
        <is>
          <t>glycemic index of basmati rice</t>
        </is>
      </c>
      <c r="B20" t="inlineStr">
        <is>
          <t>Health</t>
        </is>
      </c>
      <c r="C20" t="inlineStr">
        <is>
          <t>Informational</t>
        </is>
      </c>
      <c r="D20" t="inlineStr">
        <is>
          <t>Glycemic index of basmati rice (UAE guide)</t>
        </is>
      </c>
      <c r="E20" t="inlineStr">
        <is>
          <t>Relevant category / product page</t>
        </is>
      </c>
      <c r="F20" t="inlineStr"/>
      <c r="G20" t="inlineStr"/>
    </row>
    <row r="21">
      <c r="A21" t="inlineStr">
        <is>
          <t>what is sella basmati rice</t>
        </is>
      </c>
      <c r="B21" t="inlineStr">
        <is>
          <t>Definition</t>
        </is>
      </c>
      <c r="C21" t="inlineStr">
        <is>
          <t>Informational</t>
        </is>
      </c>
      <c r="D21" t="inlineStr">
        <is>
          <t>What is sella basmati rice (UAE guide)</t>
        </is>
      </c>
      <c r="E21" t="inlineStr">
        <is>
          <t>Relevant category / product page</t>
        </is>
      </c>
      <c r="F21" t="inlineStr"/>
      <c r="G21" t="inlineStr"/>
    </row>
    <row r="22">
      <c r="A22" t="inlineStr">
        <is>
          <t>what is 1121 basmati rice</t>
        </is>
      </c>
      <c r="B22" t="inlineStr">
        <is>
          <t>Definition</t>
        </is>
      </c>
      <c r="C22" t="inlineStr">
        <is>
          <t>Informational</t>
        </is>
      </c>
      <c r="D22" t="inlineStr">
        <is>
          <t>What is 1121 basmati rice (UAE guide)</t>
        </is>
      </c>
      <c r="E22" t="inlineStr">
        <is>
          <t>Relevant category / product page</t>
        </is>
      </c>
      <c r="F22" t="inlineStr"/>
      <c r="G22" t="inlineStr"/>
    </row>
    <row r="23">
      <c r="A23" t="inlineStr">
        <is>
          <t>what is parboiled rice</t>
        </is>
      </c>
      <c r="B23" t="inlineStr">
        <is>
          <t>Definition</t>
        </is>
      </c>
      <c r="C23" t="inlineStr">
        <is>
          <t>Informational</t>
        </is>
      </c>
      <c r="D23" t="inlineStr">
        <is>
          <t>What is parboiled rice (UAE guide)</t>
        </is>
      </c>
      <c r="E23" t="inlineStr">
        <is>
          <t>Relevant category / product page</t>
        </is>
      </c>
      <c r="F23" t="inlineStr"/>
      <c r="G23" t="inlineStr"/>
    </row>
    <row r="24">
      <c r="A24" t="inlineStr">
        <is>
          <t>why is basmati rice expensive</t>
        </is>
      </c>
      <c r="B24" t="inlineStr">
        <is>
          <t>Buying guide</t>
        </is>
      </c>
      <c r="C24" t="inlineStr">
        <is>
          <t>Informational</t>
        </is>
      </c>
      <c r="D24" t="inlineStr">
        <is>
          <t>Why is basmati rice expensive (UAE guide)</t>
        </is>
      </c>
      <c r="E24" t="inlineStr">
        <is>
          <t>Relevant category / product page</t>
        </is>
      </c>
      <c r="F24" t="inlineStr"/>
      <c r="G24" t="inlineStr"/>
    </row>
    <row r="25">
      <c r="A25" t="inlineStr">
        <is>
          <t>basmati rice grading</t>
        </is>
      </c>
      <c r="B25" t="inlineStr">
        <is>
          <t>Buying guide</t>
        </is>
      </c>
      <c r="C25" t="inlineStr">
        <is>
          <t>Informational</t>
        </is>
      </c>
      <c r="D25" t="inlineStr">
        <is>
          <t>Basmati rice grading (UAE guide)</t>
        </is>
      </c>
      <c r="E25" t="inlineStr">
        <is>
          <t>Relevant category / product page</t>
        </is>
      </c>
      <c r="F25" t="inlineStr"/>
      <c r="G25" t="inlineStr"/>
    </row>
    <row r="26">
      <c r="A26" t="inlineStr">
        <is>
          <t>rice import regulations uae</t>
        </is>
      </c>
      <c r="B26" t="inlineStr">
        <is>
          <t>B2B guide</t>
        </is>
      </c>
      <c r="C26" t="inlineStr">
        <is>
          <t>Informational</t>
        </is>
      </c>
      <c r="D26" t="inlineStr">
        <is>
          <t>Rice import regulations uae (UAE guide)</t>
        </is>
      </c>
      <c r="E26" t="inlineStr">
        <is>
          <t>Relevant category / product page</t>
        </is>
      </c>
      <c r="F26" t="inlineStr"/>
      <c r="G26" t="inlineStr"/>
    </row>
    <row r="27">
      <c r="A27" t="inlineStr">
        <is>
          <t>uae rice import duty</t>
        </is>
      </c>
      <c r="B27" t="inlineStr">
        <is>
          <t>B2B guide</t>
        </is>
      </c>
      <c r="C27" t="inlineStr">
        <is>
          <t>Informational</t>
        </is>
      </c>
      <c r="D27" t="inlineStr">
        <is>
          <t>Uae rice import duty (UAE guide)</t>
        </is>
      </c>
      <c r="E27" t="inlineStr">
        <is>
          <t>Relevant category / product page</t>
        </is>
      </c>
      <c r="F27" t="inlineStr"/>
      <c r="G27" t="inlineStr"/>
    </row>
    <row r="28">
      <c r="A28" t="inlineStr">
        <is>
          <t>rice price trend uae</t>
        </is>
      </c>
      <c r="B28" t="inlineStr">
        <is>
          <t>Market</t>
        </is>
      </c>
      <c r="C28" t="inlineStr">
        <is>
          <t>Informational</t>
        </is>
      </c>
      <c r="D28" t="inlineStr">
        <is>
          <t>Rice price trend uae (UAE guide)</t>
        </is>
      </c>
      <c r="E28" t="inlineStr">
        <is>
          <t>Relevant category / product page</t>
        </is>
      </c>
      <c r="F28" t="inlineStr"/>
      <c r="G28" t="inlineStr"/>
    </row>
    <row r="29">
      <c r="A29" t="inlineStr">
        <is>
          <t>india rice export ban impact on uae</t>
        </is>
      </c>
      <c r="B29" t="inlineStr">
        <is>
          <t>Market</t>
        </is>
      </c>
      <c r="C29" t="inlineStr">
        <is>
          <t>Informational</t>
        </is>
      </c>
      <c r="D29" t="inlineStr">
        <is>
          <t>India rice export ban impact on uae (UAE guide)</t>
        </is>
      </c>
      <c r="E29" t="inlineStr">
        <is>
          <t>Relevant category / product page</t>
        </is>
      </c>
      <c r="F29" t="inlineStr"/>
      <c r="G29" t="inlineStr"/>
    </row>
    <row r="30">
      <c r="A30" t="inlineStr">
        <is>
          <t>how to start rice trading business in dubai</t>
        </is>
      </c>
      <c r="B30" t="inlineStr">
        <is>
          <t>B2B guide</t>
        </is>
      </c>
      <c r="C30" t="inlineStr">
        <is>
          <t>Informational</t>
        </is>
      </c>
      <c r="D30" t="inlineStr">
        <is>
          <t>How to start rice trading business in dubai (UAE guide)</t>
        </is>
      </c>
      <c r="E30" t="inlineStr">
        <is>
          <t>Relevant category / product page</t>
        </is>
      </c>
      <c r="F30" t="inlineStr"/>
      <c r="G30" t="inlineStr"/>
    </row>
    <row r="31">
      <c r="A31" t="inlineStr">
        <is>
          <t>rice trading license dubai</t>
        </is>
      </c>
      <c r="B31" t="inlineStr">
        <is>
          <t>B2B guide</t>
        </is>
      </c>
      <c r="C31" t="inlineStr">
        <is>
          <t>Informational</t>
        </is>
      </c>
      <c r="D31" t="inlineStr">
        <is>
          <t>Rice trading license dubai (UAE guide)</t>
        </is>
      </c>
      <c r="E31" t="inlineStr">
        <is>
          <t>Relevant category / product page</t>
        </is>
      </c>
      <c r="F31" t="inlineStr"/>
      <c r="G31" t="inlineStr"/>
    </row>
  </sheetData>
  <autoFilter ref="A1:G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  <col width="50" customWidth="1" min="3" max="3"/>
  </cols>
  <sheetData>
    <row r="1">
      <c r="A1" s="3" t="inlineStr">
        <is>
          <t>Step</t>
        </is>
      </c>
      <c r="B1" s="3" t="inlineStr">
        <is>
          <t>What to do in Semrush</t>
        </is>
      </c>
      <c r="C1" s="3" t="inlineStr">
        <is>
          <t>Output to paste/summarise</t>
        </is>
      </c>
    </row>
    <row r="2">
      <c r="A2" t="inlineStr">
        <is>
          <t>1</t>
        </is>
      </c>
      <c r="B2" t="inlineStr">
        <is>
          <t>Google 'basmati rice online dubai', 'rice wholesale dubai', 'rice delivery uae' and note top 10 domains (UAE results)</t>
        </is>
      </c>
      <c r="C2" t="inlineStr">
        <is>
          <t>Competitor domain list</t>
        </is>
      </c>
    </row>
    <row r="3">
      <c r="A3" t="inlineStr">
        <is>
          <t>2</t>
        </is>
      </c>
      <c r="B3" t="inlineStr">
        <is>
          <t>Semrush -&gt; Domain Overview for each domain (UAE database)</t>
        </is>
      </c>
      <c r="C3" t="inlineStr">
        <is>
          <t>Organic traffic, keywords count, authority score</t>
        </is>
      </c>
    </row>
    <row r="4">
      <c r="A4" t="inlineStr">
        <is>
          <t>3</t>
        </is>
      </c>
      <c r="B4" t="inlineStr">
        <is>
          <t>Keyword Gap: cookychoice.com vs 3-5 competitors</t>
        </is>
      </c>
      <c r="C4" t="inlineStr">
        <is>
          <t>Missing / weak / shared keywords</t>
        </is>
      </c>
    </row>
    <row r="5">
      <c r="A5" t="inlineStr">
        <is>
          <t>4</t>
        </is>
      </c>
      <c r="B5" t="inlineStr">
        <is>
          <t>Organic Research -&gt; Pages for each competitor</t>
        </is>
      </c>
      <c r="C5" t="inlineStr">
        <is>
          <t>Top traffic pages = page types to copy</t>
        </is>
      </c>
    </row>
    <row r="6">
      <c r="A6" t="inlineStr">
        <is>
          <t>5</t>
        </is>
      </c>
      <c r="B6" t="inlineStr">
        <is>
          <t>Backlink Gap</t>
        </is>
      </c>
      <c r="C6" t="inlineStr">
        <is>
          <t>Link targets (UAE directories, food blogs, B2B listings)</t>
        </is>
      </c>
    </row>
    <row r="7">
      <c r="A7" t="inlineStr">
        <is>
          <t>6</t>
        </is>
      </c>
      <c r="B7" t="inlineStr">
        <is>
          <t>Note SERP features: Shopping, Local pack, PAA</t>
        </is>
      </c>
      <c r="C7" t="inlineStr">
        <is>
          <t>Where to add schema / Google Business Profile</t>
        </is>
      </c>
    </row>
  </sheetData>
  <autoFilter ref="A1:C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0" customWidth="1" min="2" max="2"/>
    <col width="10" customWidth="1" min="3" max="3"/>
    <col width="50" customWidth="1" min="4" max="4"/>
  </cols>
  <sheetData>
    <row r="1">
      <c r="A1" s="3" t="inlineStr">
        <is>
          <t>Area</t>
        </is>
      </c>
      <c r="B1" s="3" t="inlineStr">
        <is>
          <t>Check</t>
        </is>
      </c>
      <c r="C1" s="3" t="inlineStr">
        <is>
          <t>Severity</t>
        </is>
      </c>
      <c r="D1" s="3" t="inlineStr">
        <is>
          <t>Status</t>
        </is>
      </c>
    </row>
    <row r="2">
      <c r="A2" t="inlineStr">
        <is>
          <t>Indexing</t>
        </is>
      </c>
      <c r="B2" t="inlineStr">
        <is>
          <t>WordPress Settings &gt; Reading &gt; 'Discourage search engines' must be OFF</t>
        </is>
      </c>
      <c r="C2" t="inlineStr">
        <is>
          <t>Critical</t>
        </is>
      </c>
      <c r="D2" t="inlineStr">
        <is>
          <t>Reported by owner as ON; confirm removed</t>
        </is>
      </c>
    </row>
    <row r="3">
      <c r="A3" t="inlineStr">
        <is>
          <t>Indexing</t>
        </is>
      </c>
      <c r="B3" t="inlineStr">
        <is>
          <t>robots.txt has no 'Disallow: /'</t>
        </is>
      </c>
      <c r="C3" t="inlineStr">
        <is>
          <t>Critical</t>
        </is>
      </c>
      <c r="D3" t="inlineStr">
        <is>
          <t>Not yet verified (site not reachable from session)</t>
        </is>
      </c>
    </row>
    <row r="4">
      <c r="A4" t="inlineStr">
        <is>
          <t>Indexing</t>
        </is>
      </c>
      <c r="B4" t="inlineStr">
        <is>
          <t>No noindex meta / X-Robots-Tag on pages</t>
        </is>
      </c>
      <c r="C4" t="inlineStr">
        <is>
          <t>Critical</t>
        </is>
      </c>
      <c r="D4" t="inlineStr">
        <is>
          <t>Not yet verified</t>
        </is>
      </c>
    </row>
    <row r="5">
      <c r="A5" t="inlineStr">
        <is>
          <t>Indexing</t>
        </is>
      </c>
      <c r="B5" t="inlineStr">
        <is>
          <t>XML sitemap submitted in Search Console</t>
        </is>
      </c>
      <c r="C5" t="inlineStr">
        <is>
          <t>High</t>
        </is>
      </c>
      <c r="D5" t="inlineStr">
        <is>
          <t>Not yet verified</t>
        </is>
      </c>
    </row>
    <row r="6">
      <c r="A6" t="inlineStr">
        <is>
          <t>On-page</t>
        </is>
      </c>
      <c r="B6" t="inlineStr">
        <is>
          <t>Unique title (&lt;=60) &amp; meta description (&lt;=155) per page, keyword in title</t>
        </is>
      </c>
      <c r="C6" t="inlineStr">
        <is>
          <t>High</t>
        </is>
      </c>
      <c r="D6" t="inlineStr">
        <is>
          <t>Not yet verified</t>
        </is>
      </c>
    </row>
    <row r="7">
      <c r="A7" t="inlineStr">
        <is>
          <t>On-page</t>
        </is>
      </c>
      <c r="B7" t="inlineStr">
        <is>
          <t>One H1 per page with primary keyword</t>
        </is>
      </c>
      <c r="C7" t="inlineStr">
        <is>
          <t>High</t>
        </is>
      </c>
      <c r="D7" t="inlineStr">
        <is>
          <t>Not yet verified</t>
        </is>
      </c>
    </row>
    <row r="8">
      <c r="A8" t="inlineStr">
        <is>
          <t>On-page</t>
        </is>
      </c>
      <c r="B8" t="inlineStr">
        <is>
          <t>Product pages: unique descriptions, pack sizes, price in AED, FAQ</t>
        </is>
      </c>
      <c r="C8" t="inlineStr">
        <is>
          <t>High</t>
        </is>
      </c>
      <c r="D8" t="inlineStr">
        <is>
          <t>Not yet verified</t>
        </is>
      </c>
    </row>
    <row r="9">
      <c r="A9" t="inlineStr">
        <is>
          <t>Schema</t>
        </is>
      </c>
      <c r="B9" t="inlineStr">
        <is>
          <t>Product, Offer (AED), Organization, LocalBusiness, FAQPage, BreadcrumbList</t>
        </is>
      </c>
      <c r="C9" t="inlineStr">
        <is>
          <t>High</t>
        </is>
      </c>
      <c r="D9" t="inlineStr">
        <is>
          <t>Not yet verified</t>
        </is>
      </c>
    </row>
    <row r="10">
      <c r="A10" t="inlineStr">
        <is>
          <t>Local</t>
        </is>
      </c>
      <c r="B10" t="inlineStr">
        <is>
          <t>Google Business Profile + UAE citations (NAP consistent)</t>
        </is>
      </c>
      <c r="C10" t="inlineStr">
        <is>
          <t>High</t>
        </is>
      </c>
      <c r="D10" t="inlineStr">
        <is>
          <t>Not yet verified</t>
        </is>
      </c>
    </row>
    <row r="11">
      <c r="A11" t="inlineStr">
        <is>
          <t>Technical</t>
        </is>
      </c>
      <c r="B11" t="inlineStr">
        <is>
          <t>HTTPS, www/non-www redirect, canonical tags, no duplicate URLs</t>
        </is>
      </c>
      <c r="C11" t="inlineStr">
        <is>
          <t>High</t>
        </is>
      </c>
      <c r="D11" t="inlineStr">
        <is>
          <t>Not yet verified</t>
        </is>
      </c>
    </row>
    <row r="12">
      <c r="A12" t="inlineStr">
        <is>
          <t>Technical</t>
        </is>
      </c>
      <c r="B12" t="inlineStr">
        <is>
          <t>Core Web Vitals / mobile speed, image compression, WebP</t>
        </is>
      </c>
      <c r="C12" t="inlineStr">
        <is>
          <t>Medium</t>
        </is>
      </c>
      <c r="D12" t="inlineStr">
        <is>
          <t>Not yet verified</t>
        </is>
      </c>
    </row>
    <row r="13">
      <c r="A13" t="inlineStr">
        <is>
          <t>International</t>
        </is>
      </c>
      <c r="B13" t="inlineStr">
        <is>
          <t>Arabic version with hreflang (en-AE / ar-AE)</t>
        </is>
      </c>
      <c r="C13" t="inlineStr">
        <is>
          <t>Medium</t>
        </is>
      </c>
      <c r="D13" t="inlineStr">
        <is>
          <t>Not yet verified</t>
        </is>
      </c>
    </row>
    <row r="14">
      <c r="A14" t="inlineStr">
        <is>
          <t>Content</t>
        </is>
      </c>
      <c r="B14" t="inlineStr">
        <is>
          <t>Blog hub and internal linking from guides to category pages</t>
        </is>
      </c>
      <c r="C14" t="inlineStr">
        <is>
          <t>Medium</t>
        </is>
      </c>
      <c r="D14" t="inlineStr">
        <is>
          <t>Not yet verified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2026-10-07T09:49:09Z</dcterms:created>
  <dcterms:modified xmlns:dcterms="http://purl.org/dc/terms/" xmlns:xsi="http://www.w3.org/2001/XMLSchema-instance" xsi:type="dcterms:W3CDTF">2026-10-07T09:49:09Z</dcterms:modified>
</cp:coreProperties>
</file>
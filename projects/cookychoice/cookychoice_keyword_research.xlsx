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Keyword Master" sheetId="2" state="visible" r:id="rId2"/>
    <sheet xmlns:r="http://schemas.openxmlformats.org/officeDocument/2006/relationships" name="Semrush Import" sheetId="3" state="visible" r:id="rId3"/>
    <sheet xmlns:r="http://schemas.openxmlformats.org/officeDocument/2006/relationships" name="KP Import" sheetId="4" state="visible" r:id="rId4"/>
    <sheet xmlns:r="http://schemas.openxmlformats.org/officeDocument/2006/relationships" name="Location Wise" sheetId="5" state="visible" r:id="rId5"/>
    <sheet xmlns:r="http://schemas.openxmlformats.org/officeDocument/2006/relationships" name="Page Mapping" sheetId="6" state="visible" r:id="rId6"/>
    <sheet xmlns:r="http://schemas.openxmlformats.org/officeDocument/2006/relationships" name="Questions &amp; Blog" sheetId="7" state="visible" r:id="rId7"/>
    <sheet xmlns:r="http://schemas.openxmlformats.org/officeDocument/2006/relationships" name="Competitor Research" sheetId="8" state="visible" r:id="rId8"/>
    <sheet xmlns:r="http://schemas.openxmlformats.org/officeDocument/2006/relationships" name="Audit Checklist" sheetId="9" state="visible" r:id="rId9"/>
  </sheets>
  <definedNames>
    <definedName name="_xlnm._FilterDatabase" localSheetId="1" hidden="1">'Keyword Master'!$A$1:$P$494</definedName>
    <definedName name="_xlnm._FilterDatabase" localSheetId="4" hidden="1">'Location Wise'!$A$1:$F$31</definedName>
    <definedName name="_xlnm._FilterDatabase" localSheetId="5" hidden="1">'Page Mapping'!$A$1:$F$19</definedName>
    <definedName name="_xlnm._FilterDatabase" localSheetId="6" hidden="1">'Questions &amp; Blog'!$A$1:$G$31</definedName>
    <definedName name="_xlnm._FilterDatabase" localSheetId="7" hidden="1">'Competitor Research'!$A$1:$C$7</definedName>
    <definedName name="_xlnm._FilterDatabase" localSheetId="8" hidden="1">'Audit Checklist'!$A$1:$D$14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Cookychoice - Keyword Research (cookychoice.com)</t>
        </is>
      </c>
    </row>
    <row r="2">
      <c r="A2" t="inlineStr">
        <is>
          <t>Business: Rice selling website, Dubai. Target: whole UAE. Goal: organic rankings + product orders.</t>
        </is>
      </c>
    </row>
    <row r="3">
      <c r="A3" t="inlineStr"/>
    </row>
    <row r="4">
      <c r="A4" s="2" t="inlineStr">
        <is>
          <t>STATUS OF DATA</t>
        </is>
      </c>
    </row>
    <row r="5">
      <c r="A5" t="inlineStr">
        <is>
          <t>Keyword universe, clusters, intent, location, and page mapping are filled (built from product knowledge, NOT from a live tool).</t>
        </is>
      </c>
    </row>
    <row r="6">
      <c r="A6" t="inlineStr">
        <is>
          <t>Search Volume, KD, CPC, Competition columns are EMPTY on purpose. No numbers have been invented. Fill them from Semrush / Keyword Planner export (see steps below).</t>
        </is>
      </c>
    </row>
    <row r="7">
      <c r="A7" t="inlineStr">
        <is>
          <t>Priority score and Priority tier compute automatically once Volume and KD are filled.</t>
        </is>
      </c>
    </row>
    <row r="8">
      <c r="A8" t="inlineStr"/>
    </row>
    <row r="9">
      <c r="A9" s="2" t="inlineStr">
        <is>
          <t>HOW TO FILL VOLUME / KD</t>
        </is>
      </c>
    </row>
    <row r="10">
      <c r="A10" t="inlineStr">
        <is>
          <t>1. Semrush -&gt; Keyword Magic Tool -&gt; database: United Arab Emirates -&gt; seed (e.g. basmati rice) -&gt; Export CSV.</t>
        </is>
      </c>
    </row>
    <row r="11">
      <c r="A11" t="inlineStr">
        <is>
          <t>2. Semrush -&gt; Keyword Overview -&gt; Bulk Analysis: paste the 'Keyword' column from Keyword Master -&gt; export (gives Volume, KD%, CPC).</t>
        </is>
      </c>
    </row>
    <row r="12">
      <c r="A12" t="inlineStr">
        <is>
          <t>3. Google Keyword Planner -&gt; Get search volume and forecasts -&gt; paste keywords -&gt; location United Arab Emirates (also Dubai) -&gt; download.</t>
        </is>
      </c>
    </row>
    <row r="13">
      <c r="A13" t="inlineStr">
        <is>
          <t>4. Paste exports in tabs 'Semrush Import' and 'KP Import', then Keyword Master columns I-L pull values via VLOOKUP automatically.</t>
        </is>
      </c>
    </row>
    <row r="14">
      <c r="A14" s="2" t="inlineStr"/>
    </row>
    <row r="15">
      <c r="A15" t="inlineStr">
        <is>
          <t>TABS</t>
        </is>
      </c>
    </row>
    <row r="16">
      <c r="A16" t="inlineStr">
        <is>
          <t>Keyword Master - all keywords, cluster, intent, funnel, location, target page</t>
        </is>
      </c>
    </row>
    <row r="17">
      <c r="A17" t="inlineStr">
        <is>
          <t>Location Wise - emirate/area pages and keywords</t>
        </is>
      </c>
    </row>
    <row r="18">
      <c r="A18" t="inlineStr">
        <is>
          <t>Page Mapping - which page targets which primary/secondary keywords + title/H1 suggestions</t>
        </is>
      </c>
    </row>
    <row r="19">
      <c r="A19" t="inlineStr">
        <is>
          <t>Questions &amp; Blog - informational keywords and content ideas</t>
        </is>
      </c>
    </row>
    <row r="20">
      <c r="A20" t="inlineStr">
        <is>
          <t>Competitor Research - what to pull from Semrush for competitor gap</t>
        </is>
      </c>
    </row>
    <row r="21">
      <c r="A21" t="inlineStr">
        <is>
          <t>Semrush Import / KP Import - paste raw exports here</t>
        </is>
      </c>
    </row>
    <row r="22">
      <c r="A22" t="inlineStr">
        <is>
          <t>Audit Checklist - technical and on-page items to verify on the site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6" customWidth="1" min="3" max="3"/>
    <col width="22" customWidth="1" min="4" max="4"/>
    <col width="10" customWidth="1" min="5" max="5"/>
    <col width="22" customWidth="1" min="6" max="6"/>
    <col width="34" customWidth="1" min="7" max="7"/>
    <col width="16" customWidth="1" min="8" max="8"/>
    <col width="14" customWidth="1" min="9" max="9"/>
    <col width="12" customWidth="1" min="10" max="10"/>
    <col width="10" customWidth="1" min="11" max="11"/>
    <col width="16" customWidth="1" min="12" max="12"/>
    <col width="12" customWidth="1" min="13" max="13"/>
    <col width="14" customWidth="1" min="14" max="14"/>
    <col width="12" customWidth="1" min="15" max="15"/>
    <col width="24" customWidth="1" min="16" max="16"/>
  </cols>
  <sheetData>
    <row r="1">
      <c r="A1" s="3" t="inlineStr">
        <is>
          <t>Keyword</t>
        </is>
      </c>
      <c r="B1" s="3" t="inlineStr">
        <is>
          <t>Cluster / Term group</t>
        </is>
      </c>
      <c r="C1" s="3" t="inlineStr">
        <is>
          <t>Product category</t>
        </is>
      </c>
      <c r="D1" s="3" t="inlineStr">
        <is>
          <t>Search intent</t>
        </is>
      </c>
      <c r="E1" s="3" t="inlineStr">
        <is>
          <t>Funnel stage</t>
        </is>
      </c>
      <c r="F1" s="3" t="inlineStr">
        <is>
          <t>Location</t>
        </is>
      </c>
      <c r="G1" s="3" t="inlineStr">
        <is>
          <t>Target page (suggested)</t>
        </is>
      </c>
      <c r="H1" s="3" t="inlineStr">
        <is>
          <t>Page type</t>
        </is>
      </c>
      <c r="I1" s="3" t="inlineStr">
        <is>
          <t>Search Volume (Semrush)</t>
        </is>
      </c>
      <c r="J1" s="3" t="inlineStr">
        <is>
          <t>KD % (Semrush)</t>
        </is>
      </c>
      <c r="K1" s="3" t="inlineStr">
        <is>
          <t>CPC USD</t>
        </is>
      </c>
      <c r="L1" s="3" t="inlineStr">
        <is>
          <t>KP Avg Monthly Searches</t>
        </is>
      </c>
      <c r="M1" s="3" t="inlineStr">
        <is>
          <t>Priority score</t>
        </is>
      </c>
      <c r="N1" s="3" t="inlineStr">
        <is>
          <t>Priority tier</t>
        </is>
      </c>
      <c r="O1" s="3" t="inlineStr">
        <is>
          <t>Status</t>
        </is>
      </c>
      <c r="P1" s="3" t="inlineStr">
        <is>
          <t>Notes</t>
        </is>
      </c>
    </row>
    <row r="2">
      <c r="A2" t="inlineStr">
        <is>
          <t>basmati rice</t>
        </is>
      </c>
      <c r="B2" t="inlineStr">
        <is>
          <t>Core product</t>
        </is>
      </c>
      <c r="C2" t="inlineStr">
        <is>
          <t>Basmati</t>
        </is>
      </c>
      <c r="D2" t="inlineStr">
        <is>
          <t>Informational/Commercial</t>
        </is>
      </c>
      <c r="E2" t="inlineStr">
        <is>
          <t>TOFU</t>
        </is>
      </c>
      <c r="F2" t="inlineStr">
        <is>
          <t>UAE (generic)</t>
        </is>
      </c>
      <c r="G2" t="inlineStr">
        <is>
          <t>Basmati Rice category</t>
        </is>
      </c>
      <c r="H2" t="inlineStr">
        <is>
          <t>Category</t>
        </is>
      </c>
      <c r="I2">
        <f>IFERROR(VLOOKUP($A2,'Semrush Import'!$A:$D,2,FALSE),"")</f>
        <v/>
      </c>
      <c r="J2">
        <f>IFERROR(VLOOKUP($A2,'Semrush Import'!$A:$D,3,FALSE),"")</f>
        <v/>
      </c>
      <c r="K2">
        <f>IFERROR(VLOOKUP($A2,'Semrush Import'!$A:$D,4,FALSE),"")</f>
        <v/>
      </c>
      <c r="L2">
        <f>IFERROR(VLOOKUP($A2,'KP Import'!$A:$B,2,FALSE),"")</f>
        <v/>
      </c>
      <c r="M2">
        <f>IF(I2="","",ROUND(I2/(J2+10),1))</f>
        <v/>
      </c>
      <c r="N2">
        <f>IF(M2="","",IF(M2&gt;=20,"A - Go first",IF(M2&gt;=5,"B - Next","C - Later")))</f>
        <v/>
      </c>
      <c r="O2" t="inlineStr">
        <is>
          <t>To research</t>
        </is>
      </c>
      <c r="P2" t="inlineStr"/>
    </row>
    <row r="3">
      <c r="A3" t="inlineStr">
        <is>
          <t>buy basmati rice online</t>
        </is>
      </c>
      <c r="B3" t="inlineStr">
        <is>
          <t>Transactional</t>
        </is>
      </c>
      <c r="C3" t="inlineStr">
        <is>
          <t>Basmati</t>
        </is>
      </c>
      <c r="D3" t="inlineStr">
        <is>
          <t>Transactional</t>
        </is>
      </c>
      <c r="E3" t="inlineStr">
        <is>
          <t>BOFU</t>
        </is>
      </c>
      <c r="F3" t="inlineStr">
        <is>
          <t>UAE (generic)</t>
        </is>
      </c>
      <c r="G3" t="inlineStr">
        <is>
          <t>Basmati Rice category</t>
        </is>
      </c>
      <c r="H3" t="inlineStr">
        <is>
          <t>Category</t>
        </is>
      </c>
      <c r="I3">
        <f>IFERROR(VLOOKUP($A3,'Semrush Import'!$A:$D,2,FALSE),"")</f>
        <v/>
      </c>
      <c r="J3">
        <f>IFERROR(VLOOKUP($A3,'Semrush Import'!$A:$D,3,FALSE),"")</f>
        <v/>
      </c>
      <c r="K3">
        <f>IFERROR(VLOOKUP($A3,'Semrush Import'!$A:$D,4,FALSE),"")</f>
        <v/>
      </c>
      <c r="L3">
        <f>IFERROR(VLOOKUP($A3,'KP Import'!$A:$B,2,FALSE),"")</f>
        <v/>
      </c>
      <c r="M3">
        <f>IF(I3="","",ROUND(I3/(J3+10),1))</f>
        <v/>
      </c>
      <c r="N3">
        <f>IF(M3="","",IF(M3&gt;=20,"A - Go first",IF(M3&gt;=5,"B - Next","C - Later")))</f>
        <v/>
      </c>
      <c r="O3" t="inlineStr">
        <is>
          <t>To research</t>
        </is>
      </c>
      <c r="P3" t="inlineStr"/>
    </row>
    <row r="4">
      <c r="A4" t="inlineStr">
        <is>
          <t>basmati rice price in uae</t>
        </is>
      </c>
      <c r="B4" t="inlineStr">
        <is>
          <t>Price</t>
        </is>
      </c>
      <c r="C4" t="inlineStr">
        <is>
          <t>Basmati</t>
        </is>
      </c>
      <c r="D4" t="inlineStr">
        <is>
          <t>Commercial/Transactional</t>
        </is>
      </c>
      <c r="E4" t="inlineStr">
        <is>
          <t>MOFU</t>
        </is>
      </c>
      <c r="F4" t="inlineStr">
        <is>
          <t>UAE</t>
        </is>
      </c>
      <c r="G4" t="inlineStr">
        <is>
          <t>Basmati Rice category</t>
        </is>
      </c>
      <c r="H4" t="inlineStr">
        <is>
          <t>Category</t>
        </is>
      </c>
      <c r="I4">
        <f>IFERROR(VLOOKUP($A4,'Semrush Import'!$A:$D,2,FALSE),"")</f>
        <v/>
      </c>
      <c r="J4">
        <f>IFERROR(VLOOKUP($A4,'Semrush Import'!$A:$D,3,FALSE),"")</f>
        <v/>
      </c>
      <c r="K4">
        <f>IFERROR(VLOOKUP($A4,'Semrush Import'!$A:$D,4,FALSE),"")</f>
        <v/>
      </c>
      <c r="L4">
        <f>IFERROR(VLOOKUP($A4,'KP Import'!$A:$B,2,FALSE),"")</f>
        <v/>
      </c>
      <c r="M4">
        <f>IF(I4="","",ROUND(I4/(J4+10),1))</f>
        <v/>
      </c>
      <c r="N4">
        <f>IF(M4="","",IF(M4&gt;=20,"A - Go first",IF(M4&gt;=5,"B - Next","C - Later")))</f>
        <v/>
      </c>
      <c r="O4" t="inlineStr">
        <is>
          <t>To research</t>
        </is>
      </c>
      <c r="P4" t="inlineStr"/>
    </row>
    <row r="5">
      <c r="A5" t="inlineStr">
        <is>
          <t>basmati rice price in dubai</t>
        </is>
      </c>
      <c r="B5" t="inlineStr">
        <is>
          <t>Price</t>
        </is>
      </c>
      <c r="C5" t="inlineStr">
        <is>
          <t>Basmati</t>
        </is>
      </c>
      <c r="D5" t="inlineStr">
        <is>
          <t>Commercial/Transactional</t>
        </is>
      </c>
      <c r="E5" t="inlineStr">
        <is>
          <t>MOFU</t>
        </is>
      </c>
      <c r="F5" t="inlineStr">
        <is>
          <t>Dubai</t>
        </is>
      </c>
      <c r="G5" t="inlineStr">
        <is>
          <t>Basmati Rice category</t>
        </is>
      </c>
      <c r="H5" t="inlineStr">
        <is>
          <t>Category</t>
        </is>
      </c>
      <c r="I5">
        <f>IFERROR(VLOOKUP($A5,'Semrush Import'!$A:$D,2,FALSE),"")</f>
        <v/>
      </c>
      <c r="J5">
        <f>IFERROR(VLOOKUP($A5,'Semrush Import'!$A:$D,3,FALSE),"")</f>
        <v/>
      </c>
      <c r="K5">
        <f>IFERROR(VLOOKUP($A5,'Semrush Import'!$A:$D,4,FALSE),"")</f>
        <v/>
      </c>
      <c r="L5">
        <f>IFERROR(VLOOKUP($A5,'KP Import'!$A:$B,2,FALSE),"")</f>
        <v/>
      </c>
      <c r="M5">
        <f>IF(I5="","",ROUND(I5/(J5+10),1))</f>
        <v/>
      </c>
      <c r="N5">
        <f>IF(M5="","",IF(M5&gt;=20,"A - Go first",IF(M5&gt;=5,"B - Next","C - Later")))</f>
        <v/>
      </c>
      <c r="O5" t="inlineStr">
        <is>
          <t>To research</t>
        </is>
      </c>
      <c r="P5" t="inlineStr"/>
    </row>
    <row r="6">
      <c r="A6" t="inlineStr">
        <is>
          <t>basmati rice online dubai</t>
        </is>
      </c>
      <c r="B6" t="inlineStr">
        <is>
          <t>Transactional</t>
        </is>
      </c>
      <c r="C6" t="inlineStr">
        <is>
          <t>Basmati</t>
        </is>
      </c>
      <c r="D6" t="inlineStr">
        <is>
          <t>Transactional</t>
        </is>
      </c>
      <c r="E6" t="inlineStr">
        <is>
          <t>BOFU</t>
        </is>
      </c>
      <c r="F6" t="inlineStr">
        <is>
          <t>Dubai</t>
        </is>
      </c>
      <c r="G6" t="inlineStr">
        <is>
          <t>Basmati Rice category</t>
        </is>
      </c>
      <c r="H6" t="inlineStr">
        <is>
          <t>Category</t>
        </is>
      </c>
      <c r="I6">
        <f>IFERROR(VLOOKUP($A6,'Semrush Import'!$A:$D,2,FALSE),"")</f>
        <v/>
      </c>
      <c r="J6">
        <f>IFERROR(VLOOKUP($A6,'Semrush Import'!$A:$D,3,FALSE),"")</f>
        <v/>
      </c>
      <c r="K6">
        <f>IFERROR(VLOOKUP($A6,'Semrush Import'!$A:$D,4,FALSE),"")</f>
        <v/>
      </c>
      <c r="L6">
        <f>IFERROR(VLOOKUP($A6,'KP Import'!$A:$B,2,FALSE),"")</f>
        <v/>
      </c>
      <c r="M6">
        <f>IF(I6="","",ROUND(I6/(J6+10),1))</f>
        <v/>
      </c>
      <c r="N6">
        <f>IF(M6="","",IF(M6&gt;=20,"A - Go first",IF(M6&gt;=5,"B - Next","C - Later")))</f>
        <v/>
      </c>
      <c r="O6" t="inlineStr">
        <is>
          <t>To research</t>
        </is>
      </c>
      <c r="P6" t="inlineStr"/>
    </row>
    <row r="7">
      <c r="A7" t="inlineStr">
        <is>
          <t>basmati rice wholesale dubai</t>
        </is>
      </c>
      <c r="B7" t="inlineStr">
        <is>
          <t>Wholesale/B2B</t>
        </is>
      </c>
      <c r="C7" t="inlineStr">
        <is>
          <t>Basmati</t>
        </is>
      </c>
      <c r="D7" t="inlineStr">
        <is>
          <t>Transactional (B2B)</t>
        </is>
      </c>
      <c r="E7" t="inlineStr">
        <is>
          <t>BOFU</t>
        </is>
      </c>
      <c r="F7" t="inlineStr">
        <is>
          <t>Dubai</t>
        </is>
      </c>
      <c r="G7" t="inlineStr">
        <is>
          <t>Wholesale landing page</t>
        </is>
      </c>
      <c r="H7" t="inlineStr">
        <is>
          <t>Landing</t>
        </is>
      </c>
      <c r="I7">
        <f>IFERROR(VLOOKUP($A7,'Semrush Import'!$A:$D,2,FALSE),"")</f>
        <v/>
      </c>
      <c r="J7">
        <f>IFERROR(VLOOKUP($A7,'Semrush Import'!$A:$D,3,FALSE),"")</f>
        <v/>
      </c>
      <c r="K7">
        <f>IFERROR(VLOOKUP($A7,'Semrush Import'!$A:$D,4,FALSE),"")</f>
        <v/>
      </c>
      <c r="L7">
        <f>IFERROR(VLOOKUP($A7,'KP Import'!$A:$B,2,FALSE),"")</f>
        <v/>
      </c>
      <c r="M7">
        <f>IF(I7="","",ROUND(I7/(J7+10),1))</f>
        <v/>
      </c>
      <c r="N7">
        <f>IF(M7="","",IF(M7&gt;=20,"A - Go first",IF(M7&gt;=5,"B - Next","C - Later")))</f>
        <v/>
      </c>
      <c r="O7" t="inlineStr">
        <is>
          <t>To research</t>
        </is>
      </c>
      <c r="P7" t="inlineStr"/>
    </row>
    <row r="8">
      <c r="A8" t="inlineStr">
        <is>
          <t>basmati rice supplier uae</t>
        </is>
      </c>
      <c r="B8" t="inlineStr">
        <is>
          <t>Wholesale/B2B</t>
        </is>
      </c>
      <c r="C8" t="inlineStr">
        <is>
          <t>Basmati</t>
        </is>
      </c>
      <c r="D8" t="inlineStr">
        <is>
          <t>Transactional (B2B)</t>
        </is>
      </c>
      <c r="E8" t="inlineStr">
        <is>
          <t>BOFU</t>
        </is>
      </c>
      <c r="F8" t="inlineStr">
        <is>
          <t>UAE</t>
        </is>
      </c>
      <c r="G8" t="inlineStr">
        <is>
          <t>Wholesale landing page</t>
        </is>
      </c>
      <c r="H8" t="inlineStr">
        <is>
          <t>Landing</t>
        </is>
      </c>
      <c r="I8">
        <f>IFERROR(VLOOKUP($A8,'Semrush Import'!$A:$D,2,FALSE),"")</f>
        <v/>
      </c>
      <c r="J8">
        <f>IFERROR(VLOOKUP($A8,'Semrush Import'!$A:$D,3,FALSE),"")</f>
        <v/>
      </c>
      <c r="K8">
        <f>IFERROR(VLOOKUP($A8,'Semrush Import'!$A:$D,4,FALSE),"")</f>
        <v/>
      </c>
      <c r="L8">
        <f>IFERROR(VLOOKUP($A8,'KP Import'!$A:$B,2,FALSE),"")</f>
        <v/>
      </c>
      <c r="M8">
        <f>IF(I8="","",ROUND(I8/(J8+10),1))</f>
        <v/>
      </c>
      <c r="N8">
        <f>IF(M8="","",IF(M8&gt;=20,"A - Go first",IF(M8&gt;=5,"B - Next","C - Later")))</f>
        <v/>
      </c>
      <c r="O8" t="inlineStr">
        <is>
          <t>To research</t>
        </is>
      </c>
      <c r="P8" t="inlineStr"/>
    </row>
    <row r="9">
      <c r="A9" t="inlineStr">
        <is>
          <t>1121 basmati rice</t>
        </is>
      </c>
      <c r="B9" t="inlineStr">
        <is>
          <t>Core product</t>
        </is>
      </c>
      <c r="C9" t="inlineStr">
        <is>
          <t>Basmati</t>
        </is>
      </c>
      <c r="D9" t="inlineStr">
        <is>
          <t>Informational/Commercial</t>
        </is>
      </c>
      <c r="E9" t="inlineStr">
        <is>
          <t>TOFU</t>
        </is>
      </c>
      <c r="F9" t="inlineStr">
        <is>
          <t>UAE (generic)</t>
        </is>
      </c>
      <c r="G9" t="inlineStr">
        <is>
          <t>1121 Basmati product page</t>
        </is>
      </c>
      <c r="H9" t="inlineStr">
        <is>
          <t>Product</t>
        </is>
      </c>
      <c r="I9">
        <f>IFERROR(VLOOKUP($A9,'Semrush Import'!$A:$D,2,FALSE),"")</f>
        <v/>
      </c>
      <c r="J9">
        <f>IFERROR(VLOOKUP($A9,'Semrush Import'!$A:$D,3,FALSE),"")</f>
        <v/>
      </c>
      <c r="K9">
        <f>IFERROR(VLOOKUP($A9,'Semrush Import'!$A:$D,4,FALSE),"")</f>
        <v/>
      </c>
      <c r="L9">
        <f>IFERROR(VLOOKUP($A9,'KP Import'!$A:$B,2,FALSE),"")</f>
        <v/>
      </c>
      <c r="M9">
        <f>IF(I9="","",ROUND(I9/(J9+10),1))</f>
        <v/>
      </c>
      <c r="N9">
        <f>IF(M9="","",IF(M9&gt;=20,"A - Go first",IF(M9&gt;=5,"B - Next","C - Later")))</f>
        <v/>
      </c>
      <c r="O9" t="inlineStr">
        <is>
          <t>To research</t>
        </is>
      </c>
      <c r="P9" t="inlineStr"/>
    </row>
    <row r="10">
      <c r="A10" t="inlineStr">
        <is>
          <t>buy 1121 basmati rice online</t>
        </is>
      </c>
      <c r="B10" t="inlineStr">
        <is>
          <t>Transactional</t>
        </is>
      </c>
      <c r="C10" t="inlineStr">
        <is>
          <t>Basmati</t>
        </is>
      </c>
      <c r="D10" t="inlineStr">
        <is>
          <t>Transactional</t>
        </is>
      </c>
      <c r="E10" t="inlineStr">
        <is>
          <t>BOFU</t>
        </is>
      </c>
      <c r="F10" t="inlineStr">
        <is>
          <t>UAE (generic)</t>
        </is>
      </c>
      <c r="G10" t="inlineStr">
        <is>
          <t>1121 Basmati product page</t>
        </is>
      </c>
      <c r="H10" t="inlineStr">
        <is>
          <t>Product</t>
        </is>
      </c>
      <c r="I10">
        <f>IFERROR(VLOOKUP($A10,'Semrush Import'!$A:$D,2,FALSE),"")</f>
        <v/>
      </c>
      <c r="J10">
        <f>IFERROR(VLOOKUP($A10,'Semrush Import'!$A:$D,3,FALSE),"")</f>
        <v/>
      </c>
      <c r="K10">
        <f>IFERROR(VLOOKUP($A10,'Semrush Import'!$A:$D,4,FALSE),"")</f>
        <v/>
      </c>
      <c r="L10">
        <f>IFERROR(VLOOKUP($A10,'KP Import'!$A:$B,2,FALSE),"")</f>
        <v/>
      </c>
      <c r="M10">
        <f>IF(I10="","",ROUND(I10/(J10+10),1))</f>
        <v/>
      </c>
      <c r="N10">
        <f>IF(M10="","",IF(M10&gt;=20,"A - Go first",IF(M10&gt;=5,"B - Next","C - Later")))</f>
        <v/>
      </c>
      <c r="O10" t="inlineStr">
        <is>
          <t>To research</t>
        </is>
      </c>
      <c r="P10" t="inlineStr"/>
    </row>
    <row r="11">
      <c r="A11" t="inlineStr">
        <is>
          <t>1121 basmati rice price in uae</t>
        </is>
      </c>
      <c r="B11" t="inlineStr">
        <is>
          <t>Price</t>
        </is>
      </c>
      <c r="C11" t="inlineStr">
        <is>
          <t>Basmati</t>
        </is>
      </c>
      <c r="D11" t="inlineStr">
        <is>
          <t>Commercial/Transactional</t>
        </is>
      </c>
      <c r="E11" t="inlineStr">
        <is>
          <t>MOFU</t>
        </is>
      </c>
      <c r="F11" t="inlineStr">
        <is>
          <t>UAE</t>
        </is>
      </c>
      <c r="G11" t="inlineStr">
        <is>
          <t>1121 Basmati product page</t>
        </is>
      </c>
      <c r="H11" t="inlineStr">
        <is>
          <t>Product</t>
        </is>
      </c>
      <c r="I11">
        <f>IFERROR(VLOOKUP($A11,'Semrush Import'!$A:$D,2,FALSE),"")</f>
        <v/>
      </c>
      <c r="J11">
        <f>IFERROR(VLOOKUP($A11,'Semrush Import'!$A:$D,3,FALSE),"")</f>
        <v/>
      </c>
      <c r="K11">
        <f>IFERROR(VLOOKUP($A11,'Semrush Import'!$A:$D,4,FALSE),"")</f>
        <v/>
      </c>
      <c r="L11">
        <f>IFERROR(VLOOKUP($A11,'KP Import'!$A:$B,2,FALSE),"")</f>
        <v/>
      </c>
      <c r="M11">
        <f>IF(I11="","",ROUND(I11/(J11+10),1))</f>
        <v/>
      </c>
      <c r="N11">
        <f>IF(M11="","",IF(M11&gt;=20,"A - Go first",IF(M11&gt;=5,"B - Next","C - Later")))</f>
        <v/>
      </c>
      <c r="O11" t="inlineStr">
        <is>
          <t>To research</t>
        </is>
      </c>
      <c r="P11" t="inlineStr"/>
    </row>
    <row r="12">
      <c r="A12" t="inlineStr">
        <is>
          <t>1121 basmati rice price in dubai</t>
        </is>
      </c>
      <c r="B12" t="inlineStr">
        <is>
          <t>Price</t>
        </is>
      </c>
      <c r="C12" t="inlineStr">
        <is>
          <t>Basmati</t>
        </is>
      </c>
      <c r="D12" t="inlineStr">
        <is>
          <t>Commercial/Transactional</t>
        </is>
      </c>
      <c r="E12" t="inlineStr">
        <is>
          <t>MOFU</t>
        </is>
      </c>
      <c r="F12" t="inlineStr">
        <is>
          <t>Dubai</t>
        </is>
      </c>
      <c r="G12" t="inlineStr">
        <is>
          <t>1121 Basmati product page</t>
        </is>
      </c>
      <c r="H12" t="inlineStr">
        <is>
          <t>Product</t>
        </is>
      </c>
      <c r="I12">
        <f>IFERROR(VLOOKUP($A12,'Semrush Import'!$A:$D,2,FALSE),"")</f>
        <v/>
      </c>
      <c r="J12">
        <f>IFERROR(VLOOKUP($A12,'Semrush Import'!$A:$D,3,FALSE),"")</f>
        <v/>
      </c>
      <c r="K12">
        <f>IFERROR(VLOOKUP($A12,'Semrush Import'!$A:$D,4,FALSE),"")</f>
        <v/>
      </c>
      <c r="L12">
        <f>IFERROR(VLOOKUP($A12,'KP Import'!$A:$B,2,FALSE),"")</f>
        <v/>
      </c>
      <c r="M12">
        <f>IF(I12="","",ROUND(I12/(J12+10),1))</f>
        <v/>
      </c>
      <c r="N12">
        <f>IF(M12="","",IF(M12&gt;=20,"A - Go first",IF(M12&gt;=5,"B - Next","C - Later")))</f>
        <v/>
      </c>
      <c r="O12" t="inlineStr">
        <is>
          <t>To research</t>
        </is>
      </c>
      <c r="P12" t="inlineStr"/>
    </row>
    <row r="13">
      <c r="A13" t="inlineStr">
        <is>
          <t>1121 basmati rice online dubai</t>
        </is>
      </c>
      <c r="B13" t="inlineStr">
        <is>
          <t>Transactional</t>
        </is>
      </c>
      <c r="C13" t="inlineStr">
        <is>
          <t>Basmati</t>
        </is>
      </c>
      <c r="D13" t="inlineStr">
        <is>
          <t>Transactional</t>
        </is>
      </c>
      <c r="E13" t="inlineStr">
        <is>
          <t>BOFU</t>
        </is>
      </c>
      <c r="F13" t="inlineStr">
        <is>
          <t>Dubai</t>
        </is>
      </c>
      <c r="G13" t="inlineStr">
        <is>
          <t>1121 Basmati product page</t>
        </is>
      </c>
      <c r="H13" t="inlineStr">
        <is>
          <t>Product</t>
        </is>
      </c>
      <c r="I13">
        <f>IFERROR(VLOOKUP($A13,'Semrush Import'!$A:$D,2,FALSE),"")</f>
        <v/>
      </c>
      <c r="J13">
        <f>IFERROR(VLOOKUP($A13,'Semrush Import'!$A:$D,3,FALSE),"")</f>
        <v/>
      </c>
      <c r="K13">
        <f>IFERROR(VLOOKUP($A13,'Semrush Import'!$A:$D,4,FALSE),"")</f>
        <v/>
      </c>
      <c r="L13">
        <f>IFERROR(VLOOKUP($A13,'KP Import'!$A:$B,2,FALSE),"")</f>
        <v/>
      </c>
      <c r="M13">
        <f>IF(I13="","",ROUND(I13/(J13+10),1))</f>
        <v/>
      </c>
      <c r="N13">
        <f>IF(M13="","",IF(M13&gt;=20,"A - Go first",IF(M13&gt;=5,"B - Next","C - Later")))</f>
        <v/>
      </c>
      <c r="O13" t="inlineStr">
        <is>
          <t>To research</t>
        </is>
      </c>
      <c r="P13" t="inlineStr"/>
    </row>
    <row r="14">
      <c r="A14" t="inlineStr">
        <is>
          <t>1121 basmati rice wholesale dubai</t>
        </is>
      </c>
      <c r="B14" t="inlineStr">
        <is>
          <t>Wholesale/B2B</t>
        </is>
      </c>
      <c r="C14" t="inlineStr">
        <is>
          <t>Basmati</t>
        </is>
      </c>
      <c r="D14" t="inlineStr">
        <is>
          <t>Transactional (B2B)</t>
        </is>
      </c>
      <c r="E14" t="inlineStr">
        <is>
          <t>BOFU</t>
        </is>
      </c>
      <c r="F14" t="inlineStr">
        <is>
          <t>Dubai</t>
        </is>
      </c>
      <c r="G14" t="inlineStr">
        <is>
          <t>Wholesale landing page</t>
        </is>
      </c>
      <c r="H14" t="inlineStr">
        <is>
          <t>Landing</t>
        </is>
      </c>
      <c r="I14">
        <f>IFERROR(VLOOKUP($A14,'Semrush Import'!$A:$D,2,FALSE),"")</f>
        <v/>
      </c>
      <c r="J14">
        <f>IFERROR(VLOOKUP($A14,'Semrush Import'!$A:$D,3,FALSE),"")</f>
        <v/>
      </c>
      <c r="K14">
        <f>IFERROR(VLOOKUP($A14,'Semrush Import'!$A:$D,4,FALSE),"")</f>
        <v/>
      </c>
      <c r="L14">
        <f>IFERROR(VLOOKUP($A14,'KP Import'!$A:$B,2,FALSE),"")</f>
        <v/>
      </c>
      <c r="M14">
        <f>IF(I14="","",ROUND(I14/(J14+10),1))</f>
        <v/>
      </c>
      <c r="N14">
        <f>IF(M14="","",IF(M14&gt;=20,"A - Go first",IF(M14&gt;=5,"B - Next","C - Later")))</f>
        <v/>
      </c>
      <c r="O14" t="inlineStr">
        <is>
          <t>To research</t>
        </is>
      </c>
      <c r="P14" t="inlineStr"/>
    </row>
    <row r="15">
      <c r="A15" t="inlineStr">
        <is>
          <t>1121 basmati rice supplier uae</t>
        </is>
      </c>
      <c r="B15" t="inlineStr">
        <is>
          <t>Wholesale/B2B</t>
        </is>
      </c>
      <c r="C15" t="inlineStr">
        <is>
          <t>Basmati</t>
        </is>
      </c>
      <c r="D15" t="inlineStr">
        <is>
          <t>Transactional (B2B)</t>
        </is>
      </c>
      <c r="E15" t="inlineStr">
        <is>
          <t>BOFU</t>
        </is>
      </c>
      <c r="F15" t="inlineStr">
        <is>
          <t>UAE</t>
        </is>
      </c>
      <c r="G15" t="inlineStr">
        <is>
          <t>Wholesale landing page</t>
        </is>
      </c>
      <c r="H15" t="inlineStr">
        <is>
          <t>Landing</t>
        </is>
      </c>
      <c r="I15">
        <f>IFERROR(VLOOKUP($A15,'Semrush Import'!$A:$D,2,FALSE),"")</f>
        <v/>
      </c>
      <c r="J15">
        <f>IFERROR(VLOOKUP($A15,'Semrush Import'!$A:$D,3,FALSE),"")</f>
        <v/>
      </c>
      <c r="K15">
        <f>IFERROR(VLOOKUP($A15,'Semrush Import'!$A:$D,4,FALSE),"")</f>
        <v/>
      </c>
      <c r="L15">
        <f>IFERROR(VLOOKUP($A15,'KP Import'!$A:$B,2,FALSE),"")</f>
        <v/>
      </c>
      <c r="M15">
        <f>IF(I15="","",ROUND(I15/(J15+10),1))</f>
        <v/>
      </c>
      <c r="N15">
        <f>IF(M15="","",IF(M15&gt;=20,"A - Go first",IF(M15&gt;=5,"B - Next","C - Later")))</f>
        <v/>
      </c>
      <c r="O15" t="inlineStr">
        <is>
          <t>To research</t>
        </is>
      </c>
      <c r="P15" t="inlineStr"/>
    </row>
    <row r="16">
      <c r="A16" t="inlineStr">
        <is>
          <t>sella basmati rice</t>
        </is>
      </c>
      <c r="B16" t="inlineStr">
        <is>
          <t>Core product</t>
        </is>
      </c>
      <c r="C16" t="inlineStr">
        <is>
          <t>Basmati</t>
        </is>
      </c>
      <c r="D16" t="inlineStr">
        <is>
          <t>Informational/Commercial</t>
        </is>
      </c>
      <c r="E16" t="inlineStr">
        <is>
          <t>TOFU</t>
        </is>
      </c>
      <c r="F16" t="inlineStr">
        <is>
          <t>UAE (generic)</t>
        </is>
      </c>
      <c r="G16" t="inlineStr">
        <is>
          <t>Sella Basmati product page</t>
        </is>
      </c>
      <c r="H16" t="inlineStr">
        <is>
          <t>Product</t>
        </is>
      </c>
      <c r="I16">
        <f>IFERROR(VLOOKUP($A16,'Semrush Import'!$A:$D,2,FALSE),"")</f>
        <v/>
      </c>
      <c r="J16">
        <f>IFERROR(VLOOKUP($A16,'Semrush Import'!$A:$D,3,FALSE),"")</f>
        <v/>
      </c>
      <c r="K16">
        <f>IFERROR(VLOOKUP($A16,'Semrush Import'!$A:$D,4,FALSE),"")</f>
        <v/>
      </c>
      <c r="L16">
        <f>IFERROR(VLOOKUP($A16,'KP Import'!$A:$B,2,FALSE),"")</f>
        <v/>
      </c>
      <c r="M16">
        <f>IF(I16="","",ROUND(I16/(J16+10),1))</f>
        <v/>
      </c>
      <c r="N16">
        <f>IF(M16="","",IF(M16&gt;=20,"A - Go first",IF(M16&gt;=5,"B - Next","C - Later")))</f>
        <v/>
      </c>
      <c r="O16" t="inlineStr">
        <is>
          <t>To research</t>
        </is>
      </c>
      <c r="P16" t="inlineStr"/>
    </row>
    <row r="17">
      <c r="A17" t="inlineStr">
        <is>
          <t>buy sella basmati rice online</t>
        </is>
      </c>
      <c r="B17" t="inlineStr">
        <is>
          <t>Transactional</t>
        </is>
      </c>
      <c r="C17" t="inlineStr">
        <is>
          <t>Basmati</t>
        </is>
      </c>
      <c r="D17" t="inlineStr">
        <is>
          <t>Transactional</t>
        </is>
      </c>
      <c r="E17" t="inlineStr">
        <is>
          <t>BOFU</t>
        </is>
      </c>
      <c r="F17" t="inlineStr">
        <is>
          <t>UAE (generic)</t>
        </is>
      </c>
      <c r="G17" t="inlineStr">
        <is>
          <t>Sella Basmati product page</t>
        </is>
      </c>
      <c r="H17" t="inlineStr">
        <is>
          <t>Product</t>
        </is>
      </c>
      <c r="I17">
        <f>IFERROR(VLOOKUP($A17,'Semrush Import'!$A:$D,2,FALSE),"")</f>
        <v/>
      </c>
      <c r="J17">
        <f>IFERROR(VLOOKUP($A17,'Semrush Import'!$A:$D,3,FALSE),"")</f>
        <v/>
      </c>
      <c r="K17">
        <f>IFERROR(VLOOKUP($A17,'Semrush Import'!$A:$D,4,FALSE),"")</f>
        <v/>
      </c>
      <c r="L17">
        <f>IFERROR(VLOOKUP($A17,'KP Import'!$A:$B,2,FALSE),"")</f>
        <v/>
      </c>
      <c r="M17">
        <f>IF(I17="","",ROUND(I17/(J17+10),1))</f>
        <v/>
      </c>
      <c r="N17">
        <f>IF(M17="","",IF(M17&gt;=20,"A - Go first",IF(M17&gt;=5,"B - Next","C - Later")))</f>
        <v/>
      </c>
      <c r="O17" t="inlineStr">
        <is>
          <t>To research</t>
        </is>
      </c>
      <c r="P17" t="inlineStr"/>
    </row>
    <row r="18">
      <c r="A18" t="inlineStr">
        <is>
          <t>sella basmati rice price in uae</t>
        </is>
      </c>
      <c r="B18" t="inlineStr">
        <is>
          <t>Price</t>
        </is>
      </c>
      <c r="C18" t="inlineStr">
        <is>
          <t>Basmati</t>
        </is>
      </c>
      <c r="D18" t="inlineStr">
        <is>
          <t>Commercial/Transactional</t>
        </is>
      </c>
      <c r="E18" t="inlineStr">
        <is>
          <t>MOFU</t>
        </is>
      </c>
      <c r="F18" t="inlineStr">
        <is>
          <t>UAE</t>
        </is>
      </c>
      <c r="G18" t="inlineStr">
        <is>
          <t>Sella Basmati product page</t>
        </is>
      </c>
      <c r="H18" t="inlineStr">
        <is>
          <t>Product</t>
        </is>
      </c>
      <c r="I18">
        <f>IFERROR(VLOOKUP($A18,'Semrush Import'!$A:$D,2,FALSE),"")</f>
        <v/>
      </c>
      <c r="J18">
        <f>IFERROR(VLOOKUP($A18,'Semrush Import'!$A:$D,3,FALSE),"")</f>
        <v/>
      </c>
      <c r="K18">
        <f>IFERROR(VLOOKUP($A18,'Semrush Import'!$A:$D,4,FALSE),"")</f>
        <v/>
      </c>
      <c r="L18">
        <f>IFERROR(VLOOKUP($A18,'KP Import'!$A:$B,2,FALSE),"")</f>
        <v/>
      </c>
      <c r="M18">
        <f>IF(I18="","",ROUND(I18/(J18+10),1))</f>
        <v/>
      </c>
      <c r="N18">
        <f>IF(M18="","",IF(M18&gt;=20,"A - Go first",IF(M18&gt;=5,"B - Next","C - Later")))</f>
        <v/>
      </c>
      <c r="O18" t="inlineStr">
        <is>
          <t>To research</t>
        </is>
      </c>
      <c r="P18" t="inlineStr"/>
    </row>
    <row r="19">
      <c r="A19" t="inlineStr">
        <is>
          <t>sella basmati rice price in dubai</t>
        </is>
      </c>
      <c r="B19" t="inlineStr">
        <is>
          <t>Price</t>
        </is>
      </c>
      <c r="C19" t="inlineStr">
        <is>
          <t>Basmati</t>
        </is>
      </c>
      <c r="D19" t="inlineStr">
        <is>
          <t>Commercial/Transactional</t>
        </is>
      </c>
      <c r="E19" t="inlineStr">
        <is>
          <t>MOFU</t>
        </is>
      </c>
      <c r="F19" t="inlineStr">
        <is>
          <t>Dubai</t>
        </is>
      </c>
      <c r="G19" t="inlineStr">
        <is>
          <t>Sella Basmati product page</t>
        </is>
      </c>
      <c r="H19" t="inlineStr">
        <is>
          <t>Product</t>
        </is>
      </c>
      <c r="I19">
        <f>IFERROR(VLOOKUP($A19,'Semrush Import'!$A:$D,2,FALSE),"")</f>
        <v/>
      </c>
      <c r="J19">
        <f>IFERROR(VLOOKUP($A19,'Semrush Import'!$A:$D,3,FALSE),"")</f>
        <v/>
      </c>
      <c r="K19">
        <f>IFERROR(VLOOKUP($A19,'Semrush Import'!$A:$D,4,FALSE),"")</f>
        <v/>
      </c>
      <c r="L19">
        <f>IFERROR(VLOOKUP($A19,'KP Import'!$A:$B,2,FALSE),"")</f>
        <v/>
      </c>
      <c r="M19">
        <f>IF(I19="","",ROUND(I19/(J19+10),1))</f>
        <v/>
      </c>
      <c r="N19">
        <f>IF(M19="","",IF(M19&gt;=20,"A - Go first",IF(M19&gt;=5,"B - Next","C - Later")))</f>
        <v/>
      </c>
      <c r="O19" t="inlineStr">
        <is>
          <t>To research</t>
        </is>
      </c>
      <c r="P19" t="inlineStr"/>
    </row>
    <row r="20">
      <c r="A20" t="inlineStr">
        <is>
          <t>sella basmati rice online dubai</t>
        </is>
      </c>
      <c r="B20" t="inlineStr">
        <is>
          <t>Transactional</t>
        </is>
      </c>
      <c r="C20" t="inlineStr">
        <is>
          <t>Basmati</t>
        </is>
      </c>
      <c r="D20" t="inlineStr">
        <is>
          <t>Transactional</t>
        </is>
      </c>
      <c r="E20" t="inlineStr">
        <is>
          <t>BOFU</t>
        </is>
      </c>
      <c r="F20" t="inlineStr">
        <is>
          <t>Dubai</t>
        </is>
      </c>
      <c r="G20" t="inlineStr">
        <is>
          <t>Sella Basmati product page</t>
        </is>
      </c>
      <c r="H20" t="inlineStr">
        <is>
          <t>Product</t>
        </is>
      </c>
      <c r="I20">
        <f>IFERROR(VLOOKUP($A20,'Semrush Import'!$A:$D,2,FALSE),"")</f>
        <v/>
      </c>
      <c r="J20">
        <f>IFERROR(VLOOKUP($A20,'Semrush Import'!$A:$D,3,FALSE),"")</f>
        <v/>
      </c>
      <c r="K20">
        <f>IFERROR(VLOOKUP($A20,'Semrush Import'!$A:$D,4,FALSE),"")</f>
        <v/>
      </c>
      <c r="L20">
        <f>IFERROR(VLOOKUP($A20,'KP Import'!$A:$B,2,FALSE),"")</f>
        <v/>
      </c>
      <c r="M20">
        <f>IF(I20="","",ROUND(I20/(J20+10),1))</f>
        <v/>
      </c>
      <c r="N20">
        <f>IF(M20="","",IF(M20&gt;=20,"A - Go first",IF(M20&gt;=5,"B - Next","C - Later")))</f>
        <v/>
      </c>
      <c r="O20" t="inlineStr">
        <is>
          <t>To research</t>
        </is>
      </c>
      <c r="P20" t="inlineStr"/>
    </row>
    <row r="21">
      <c r="A21" t="inlineStr">
        <is>
          <t>sella basmati rice wholesale dubai</t>
        </is>
      </c>
      <c r="B21" t="inlineStr">
        <is>
          <t>Wholesale/B2B</t>
        </is>
      </c>
      <c r="C21" t="inlineStr">
        <is>
          <t>Basmati</t>
        </is>
      </c>
      <c r="D21" t="inlineStr">
        <is>
          <t>Transactional (B2B)</t>
        </is>
      </c>
      <c r="E21" t="inlineStr">
        <is>
          <t>BOFU</t>
        </is>
      </c>
      <c r="F21" t="inlineStr">
        <is>
          <t>Dubai</t>
        </is>
      </c>
      <c r="G21" t="inlineStr">
        <is>
          <t>Wholesale landing page</t>
        </is>
      </c>
      <c r="H21" t="inlineStr">
        <is>
          <t>Landing</t>
        </is>
      </c>
      <c r="I21">
        <f>IFERROR(VLOOKUP($A21,'Semrush Import'!$A:$D,2,FALSE),"")</f>
        <v/>
      </c>
      <c r="J21">
        <f>IFERROR(VLOOKUP($A21,'Semrush Import'!$A:$D,3,FALSE),"")</f>
        <v/>
      </c>
      <c r="K21">
        <f>IFERROR(VLOOKUP($A21,'Semrush Import'!$A:$D,4,FALSE),"")</f>
        <v/>
      </c>
      <c r="L21">
        <f>IFERROR(VLOOKUP($A21,'KP Import'!$A:$B,2,FALSE),"")</f>
        <v/>
      </c>
      <c r="M21">
        <f>IF(I21="","",ROUND(I21/(J21+10),1))</f>
        <v/>
      </c>
      <c r="N21">
        <f>IF(M21="","",IF(M21&gt;=20,"A - Go first",IF(M21&gt;=5,"B - Next","C - Later")))</f>
        <v/>
      </c>
      <c r="O21" t="inlineStr">
        <is>
          <t>To research</t>
        </is>
      </c>
      <c r="P21" t="inlineStr"/>
    </row>
    <row r="22">
      <c r="A22" t="inlineStr">
        <is>
          <t>sella basmati rice supplier uae</t>
        </is>
      </c>
      <c r="B22" t="inlineStr">
        <is>
          <t>Wholesale/B2B</t>
        </is>
      </c>
      <c r="C22" t="inlineStr">
        <is>
          <t>Basmati</t>
        </is>
      </c>
      <c r="D22" t="inlineStr">
        <is>
          <t>Transactional (B2B)</t>
        </is>
      </c>
      <c r="E22" t="inlineStr">
        <is>
          <t>BOFU</t>
        </is>
      </c>
      <c r="F22" t="inlineStr">
        <is>
          <t>UAE</t>
        </is>
      </c>
      <c r="G22" t="inlineStr">
        <is>
          <t>Wholesale landing page</t>
        </is>
      </c>
      <c r="H22" t="inlineStr">
        <is>
          <t>Landing</t>
        </is>
      </c>
      <c r="I22">
        <f>IFERROR(VLOOKUP($A22,'Semrush Import'!$A:$D,2,FALSE),"")</f>
        <v/>
      </c>
      <c r="J22">
        <f>IFERROR(VLOOKUP($A22,'Semrush Import'!$A:$D,3,FALSE),"")</f>
        <v/>
      </c>
      <c r="K22">
        <f>IFERROR(VLOOKUP($A22,'Semrush Import'!$A:$D,4,FALSE),"")</f>
        <v/>
      </c>
      <c r="L22">
        <f>IFERROR(VLOOKUP($A22,'KP Import'!$A:$B,2,FALSE),"")</f>
        <v/>
      </c>
      <c r="M22">
        <f>IF(I22="","",ROUND(I22/(J22+10),1))</f>
        <v/>
      </c>
      <c r="N22">
        <f>IF(M22="","",IF(M22&gt;=20,"A - Go first",IF(M22&gt;=5,"B - Next","C - Later")))</f>
        <v/>
      </c>
      <c r="O22" t="inlineStr">
        <is>
          <t>To research</t>
        </is>
      </c>
      <c r="P22" t="inlineStr"/>
    </row>
    <row r="23">
      <c r="A23" t="inlineStr">
        <is>
          <t>golden sella basmati rice</t>
        </is>
      </c>
      <c r="B23" t="inlineStr">
        <is>
          <t>Core product</t>
        </is>
      </c>
      <c r="C23" t="inlineStr">
        <is>
          <t>Basmati</t>
        </is>
      </c>
      <c r="D23" t="inlineStr">
        <is>
          <t>Informational/Commercial</t>
        </is>
      </c>
      <c r="E23" t="inlineStr">
        <is>
          <t>TOFU</t>
        </is>
      </c>
      <c r="F23" t="inlineStr">
        <is>
          <t>UAE (generic)</t>
        </is>
      </c>
      <c r="G23" t="inlineStr">
        <is>
          <t>Sella Basmati product page</t>
        </is>
      </c>
      <c r="H23" t="inlineStr">
        <is>
          <t>Product</t>
        </is>
      </c>
      <c r="I23">
        <f>IFERROR(VLOOKUP($A23,'Semrush Import'!$A:$D,2,FALSE),"")</f>
        <v/>
      </c>
      <c r="J23">
        <f>IFERROR(VLOOKUP($A23,'Semrush Import'!$A:$D,3,FALSE),"")</f>
        <v/>
      </c>
      <c r="K23">
        <f>IFERROR(VLOOKUP($A23,'Semrush Import'!$A:$D,4,FALSE),"")</f>
        <v/>
      </c>
      <c r="L23">
        <f>IFERROR(VLOOKUP($A23,'KP Import'!$A:$B,2,FALSE),"")</f>
        <v/>
      </c>
      <c r="M23">
        <f>IF(I23="","",ROUND(I23/(J23+10),1))</f>
        <v/>
      </c>
      <c r="N23">
        <f>IF(M23="","",IF(M23&gt;=20,"A - Go first",IF(M23&gt;=5,"B - Next","C - Later")))</f>
        <v/>
      </c>
      <c r="O23" t="inlineStr">
        <is>
          <t>To research</t>
        </is>
      </c>
      <c r="P23" t="inlineStr"/>
    </row>
    <row r="24">
      <c r="A24" t="inlineStr">
        <is>
          <t>buy golden sella basmati rice online</t>
        </is>
      </c>
      <c r="B24" t="inlineStr">
        <is>
          <t>Transactional</t>
        </is>
      </c>
      <c r="C24" t="inlineStr">
        <is>
          <t>Basmati</t>
        </is>
      </c>
      <c r="D24" t="inlineStr">
        <is>
          <t>Transactional</t>
        </is>
      </c>
      <c r="E24" t="inlineStr">
        <is>
          <t>BOFU</t>
        </is>
      </c>
      <c r="F24" t="inlineStr">
        <is>
          <t>UAE (generic)</t>
        </is>
      </c>
      <c r="G24" t="inlineStr">
        <is>
          <t>Sella Basmati product page</t>
        </is>
      </c>
      <c r="H24" t="inlineStr">
        <is>
          <t>Product</t>
        </is>
      </c>
      <c r="I24">
        <f>IFERROR(VLOOKUP($A24,'Semrush Import'!$A:$D,2,FALSE),"")</f>
        <v/>
      </c>
      <c r="J24">
        <f>IFERROR(VLOOKUP($A24,'Semrush Import'!$A:$D,3,FALSE),"")</f>
        <v/>
      </c>
      <c r="K24">
        <f>IFERROR(VLOOKUP($A24,'Semrush Import'!$A:$D,4,FALSE),"")</f>
        <v/>
      </c>
      <c r="L24">
        <f>IFERROR(VLOOKUP($A24,'KP Import'!$A:$B,2,FALSE),"")</f>
        <v/>
      </c>
      <c r="M24">
        <f>IF(I24="","",ROUND(I24/(J24+10),1))</f>
        <v/>
      </c>
      <c r="N24">
        <f>IF(M24="","",IF(M24&gt;=20,"A - Go first",IF(M24&gt;=5,"B - Next","C - Later")))</f>
        <v/>
      </c>
      <c r="O24" t="inlineStr">
        <is>
          <t>To research</t>
        </is>
      </c>
      <c r="P24" t="inlineStr"/>
    </row>
    <row r="25">
      <c r="A25" t="inlineStr">
        <is>
          <t>golden sella basmati rice price in uae</t>
        </is>
      </c>
      <c r="B25" t="inlineStr">
        <is>
          <t>Price</t>
        </is>
      </c>
      <c r="C25" t="inlineStr">
        <is>
          <t>Basmati</t>
        </is>
      </c>
      <c r="D25" t="inlineStr">
        <is>
          <t>Commercial/Transactional</t>
        </is>
      </c>
      <c r="E25" t="inlineStr">
        <is>
          <t>MOFU</t>
        </is>
      </c>
      <c r="F25" t="inlineStr">
        <is>
          <t>UAE</t>
        </is>
      </c>
      <c r="G25" t="inlineStr">
        <is>
          <t>Sella Basmati product page</t>
        </is>
      </c>
      <c r="H25" t="inlineStr">
        <is>
          <t>Product</t>
        </is>
      </c>
      <c r="I25">
        <f>IFERROR(VLOOKUP($A25,'Semrush Import'!$A:$D,2,FALSE),"")</f>
        <v/>
      </c>
      <c r="J25">
        <f>IFERROR(VLOOKUP($A25,'Semrush Import'!$A:$D,3,FALSE),"")</f>
        <v/>
      </c>
      <c r="K25">
        <f>IFERROR(VLOOKUP($A25,'Semrush Import'!$A:$D,4,FALSE),"")</f>
        <v/>
      </c>
      <c r="L25">
        <f>IFERROR(VLOOKUP($A25,'KP Import'!$A:$B,2,FALSE),"")</f>
        <v/>
      </c>
      <c r="M25">
        <f>IF(I25="","",ROUND(I25/(J25+10),1))</f>
        <v/>
      </c>
      <c r="N25">
        <f>IF(M25="","",IF(M25&gt;=20,"A - Go first",IF(M25&gt;=5,"B - Next","C - Later")))</f>
        <v/>
      </c>
      <c r="O25" t="inlineStr">
        <is>
          <t>To research</t>
        </is>
      </c>
      <c r="P25" t="inlineStr"/>
    </row>
    <row r="26">
      <c r="A26" t="inlineStr">
        <is>
          <t>golden sella basmati rice price in dubai</t>
        </is>
      </c>
      <c r="B26" t="inlineStr">
        <is>
          <t>Price</t>
        </is>
      </c>
      <c r="C26" t="inlineStr">
        <is>
          <t>Basmati</t>
        </is>
      </c>
      <c r="D26" t="inlineStr">
        <is>
          <t>Commercial/Transactional</t>
        </is>
      </c>
      <c r="E26" t="inlineStr">
        <is>
          <t>MOFU</t>
        </is>
      </c>
      <c r="F26" t="inlineStr">
        <is>
          <t>Dubai</t>
        </is>
      </c>
      <c r="G26" t="inlineStr">
        <is>
          <t>Sella Basmati product page</t>
        </is>
      </c>
      <c r="H26" t="inlineStr">
        <is>
          <t>Product</t>
        </is>
      </c>
      <c r="I26">
        <f>IFERROR(VLOOKUP($A26,'Semrush Import'!$A:$D,2,FALSE),"")</f>
        <v/>
      </c>
      <c r="J26">
        <f>IFERROR(VLOOKUP($A26,'Semrush Import'!$A:$D,3,FALSE),"")</f>
        <v/>
      </c>
      <c r="K26">
        <f>IFERROR(VLOOKUP($A26,'Semrush Import'!$A:$D,4,FALSE),"")</f>
        <v/>
      </c>
      <c r="L26">
        <f>IFERROR(VLOOKUP($A26,'KP Import'!$A:$B,2,FALSE),"")</f>
        <v/>
      </c>
      <c r="M26">
        <f>IF(I26="","",ROUND(I26/(J26+10),1))</f>
        <v/>
      </c>
      <c r="N26">
        <f>IF(M26="","",IF(M26&gt;=20,"A - Go first",IF(M26&gt;=5,"B - Next","C - Later")))</f>
        <v/>
      </c>
      <c r="O26" t="inlineStr">
        <is>
          <t>To research</t>
        </is>
      </c>
      <c r="P26" t="inlineStr"/>
    </row>
    <row r="27">
      <c r="A27" t="inlineStr">
        <is>
          <t>golden sella basmati rice online dubai</t>
        </is>
      </c>
      <c r="B27" t="inlineStr">
        <is>
          <t>Transactional</t>
        </is>
      </c>
      <c r="C27" t="inlineStr">
        <is>
          <t>Basmati</t>
        </is>
      </c>
      <c r="D27" t="inlineStr">
        <is>
          <t>Transactional</t>
        </is>
      </c>
      <c r="E27" t="inlineStr">
        <is>
          <t>BOFU</t>
        </is>
      </c>
      <c r="F27" t="inlineStr">
        <is>
          <t>Dubai</t>
        </is>
      </c>
      <c r="G27" t="inlineStr">
        <is>
          <t>Sella Basmati product page</t>
        </is>
      </c>
      <c r="H27" t="inlineStr">
        <is>
          <t>Product</t>
        </is>
      </c>
      <c r="I27">
        <f>IFERROR(VLOOKUP($A27,'Semrush Import'!$A:$D,2,FALSE),"")</f>
        <v/>
      </c>
      <c r="J27">
        <f>IFERROR(VLOOKUP($A27,'Semrush Import'!$A:$D,3,FALSE),"")</f>
        <v/>
      </c>
      <c r="K27">
        <f>IFERROR(VLOOKUP($A27,'Semrush Import'!$A:$D,4,FALSE),"")</f>
        <v/>
      </c>
      <c r="L27">
        <f>IFERROR(VLOOKUP($A27,'KP Import'!$A:$B,2,FALSE),"")</f>
        <v/>
      </c>
      <c r="M27">
        <f>IF(I27="","",ROUND(I27/(J27+10),1))</f>
        <v/>
      </c>
      <c r="N27">
        <f>IF(M27="","",IF(M27&gt;=20,"A - Go first",IF(M27&gt;=5,"B - Next","C - Later")))</f>
        <v/>
      </c>
      <c r="O27" t="inlineStr">
        <is>
          <t>To research</t>
        </is>
      </c>
      <c r="P27" t="inlineStr"/>
    </row>
    <row r="28">
      <c r="A28" t="inlineStr">
        <is>
          <t>golden sella basmati rice wholesale dubai</t>
        </is>
      </c>
      <c r="B28" t="inlineStr">
        <is>
          <t>Wholesale/B2B</t>
        </is>
      </c>
      <c r="C28" t="inlineStr">
        <is>
          <t>Basmati</t>
        </is>
      </c>
      <c r="D28" t="inlineStr">
        <is>
          <t>Transactional (B2B)</t>
        </is>
      </c>
      <c r="E28" t="inlineStr">
        <is>
          <t>BOFU</t>
        </is>
      </c>
      <c r="F28" t="inlineStr">
        <is>
          <t>Dubai</t>
        </is>
      </c>
      <c r="G28" t="inlineStr">
        <is>
          <t>Wholesale landing page</t>
        </is>
      </c>
      <c r="H28" t="inlineStr">
        <is>
          <t>Landing</t>
        </is>
      </c>
      <c r="I28">
        <f>IFERROR(VLOOKUP($A28,'Semrush Import'!$A:$D,2,FALSE),"")</f>
        <v/>
      </c>
      <c r="J28">
        <f>IFERROR(VLOOKUP($A28,'Semrush Import'!$A:$D,3,FALSE),"")</f>
        <v/>
      </c>
      <c r="K28">
        <f>IFERROR(VLOOKUP($A28,'Semrush Import'!$A:$D,4,FALSE),"")</f>
        <v/>
      </c>
      <c r="L28">
        <f>IFERROR(VLOOKUP($A28,'KP Import'!$A:$B,2,FALSE),"")</f>
        <v/>
      </c>
      <c r="M28">
        <f>IF(I28="","",ROUND(I28/(J28+10),1))</f>
        <v/>
      </c>
      <c r="N28">
        <f>IF(M28="","",IF(M28&gt;=20,"A - Go first",IF(M28&gt;=5,"B - Next","C - Later")))</f>
        <v/>
      </c>
      <c r="O28" t="inlineStr">
        <is>
          <t>To research</t>
        </is>
      </c>
      <c r="P28" t="inlineStr"/>
    </row>
    <row r="29">
      <c r="A29" t="inlineStr">
        <is>
          <t>golden sella basmati rice supplier uae</t>
        </is>
      </c>
      <c r="B29" t="inlineStr">
        <is>
          <t>Wholesale/B2B</t>
        </is>
      </c>
      <c r="C29" t="inlineStr">
        <is>
          <t>Basmati</t>
        </is>
      </c>
      <c r="D29" t="inlineStr">
        <is>
          <t>Transactional (B2B)</t>
        </is>
      </c>
      <c r="E29" t="inlineStr">
        <is>
          <t>BOFU</t>
        </is>
      </c>
      <c r="F29" t="inlineStr">
        <is>
          <t>UAE</t>
        </is>
      </c>
      <c r="G29" t="inlineStr">
        <is>
          <t>Wholesale landing page</t>
        </is>
      </c>
      <c r="H29" t="inlineStr">
        <is>
          <t>Landing</t>
        </is>
      </c>
      <c r="I29">
        <f>IFERROR(VLOOKUP($A29,'Semrush Import'!$A:$D,2,FALSE),"")</f>
        <v/>
      </c>
      <c r="J29">
        <f>IFERROR(VLOOKUP($A29,'Semrush Import'!$A:$D,3,FALSE),"")</f>
        <v/>
      </c>
      <c r="K29">
        <f>IFERROR(VLOOKUP($A29,'Semrush Import'!$A:$D,4,FALSE),"")</f>
        <v/>
      </c>
      <c r="L29">
        <f>IFERROR(VLOOKUP($A29,'KP Import'!$A:$B,2,FALSE),"")</f>
        <v/>
      </c>
      <c r="M29">
        <f>IF(I29="","",ROUND(I29/(J29+10),1))</f>
        <v/>
      </c>
      <c r="N29">
        <f>IF(M29="","",IF(M29&gt;=20,"A - Go first",IF(M29&gt;=5,"B - Next","C - Later")))</f>
        <v/>
      </c>
      <c r="O29" t="inlineStr">
        <is>
          <t>To research</t>
        </is>
      </c>
      <c r="P29" t="inlineStr"/>
    </row>
    <row r="30">
      <c r="A30" t="inlineStr">
        <is>
          <t>steam basmati rice</t>
        </is>
      </c>
      <c r="B30" t="inlineStr">
        <is>
          <t>Core product</t>
        </is>
      </c>
      <c r="C30" t="inlineStr">
        <is>
          <t>Basmati</t>
        </is>
      </c>
      <c r="D30" t="inlineStr">
        <is>
          <t>Informational/Commercial</t>
        </is>
      </c>
      <c r="E30" t="inlineStr">
        <is>
          <t>TOFU</t>
        </is>
      </c>
      <c r="F30" t="inlineStr">
        <is>
          <t>UAE (generic)</t>
        </is>
      </c>
      <c r="G30" t="inlineStr">
        <is>
          <t>Steam Basmati product page</t>
        </is>
      </c>
      <c r="H30" t="inlineStr">
        <is>
          <t>Product</t>
        </is>
      </c>
      <c r="I30">
        <f>IFERROR(VLOOKUP($A30,'Semrush Import'!$A:$D,2,FALSE),"")</f>
        <v/>
      </c>
      <c r="J30">
        <f>IFERROR(VLOOKUP($A30,'Semrush Import'!$A:$D,3,FALSE),"")</f>
        <v/>
      </c>
      <c r="K30">
        <f>IFERROR(VLOOKUP($A30,'Semrush Import'!$A:$D,4,FALSE),"")</f>
        <v/>
      </c>
      <c r="L30">
        <f>IFERROR(VLOOKUP($A30,'KP Import'!$A:$B,2,FALSE),"")</f>
        <v/>
      </c>
      <c r="M30">
        <f>IF(I30="","",ROUND(I30/(J30+10),1))</f>
        <v/>
      </c>
      <c r="N30">
        <f>IF(M30="","",IF(M30&gt;=20,"A - Go first",IF(M30&gt;=5,"B - Next","C - Later")))</f>
        <v/>
      </c>
      <c r="O30" t="inlineStr">
        <is>
          <t>To research</t>
        </is>
      </c>
      <c r="P30" t="inlineStr"/>
    </row>
    <row r="31">
      <c r="A31" t="inlineStr">
        <is>
          <t>buy steam basmati rice online</t>
        </is>
      </c>
      <c r="B31" t="inlineStr">
        <is>
          <t>Transactional</t>
        </is>
      </c>
      <c r="C31" t="inlineStr">
        <is>
          <t>Basmati</t>
        </is>
      </c>
      <c r="D31" t="inlineStr">
        <is>
          <t>Transactional</t>
        </is>
      </c>
      <c r="E31" t="inlineStr">
        <is>
          <t>BOFU</t>
        </is>
      </c>
      <c r="F31" t="inlineStr">
        <is>
          <t>UAE (generic)</t>
        </is>
      </c>
      <c r="G31" t="inlineStr">
        <is>
          <t>Steam Basmati product page</t>
        </is>
      </c>
      <c r="H31" t="inlineStr">
        <is>
          <t>Product</t>
        </is>
      </c>
      <c r="I31">
        <f>IFERROR(VLOOKUP($A31,'Semrush Import'!$A:$D,2,FALSE),"")</f>
        <v/>
      </c>
      <c r="J31">
        <f>IFERROR(VLOOKUP($A31,'Semrush Import'!$A:$D,3,FALSE),"")</f>
        <v/>
      </c>
      <c r="K31">
        <f>IFERROR(VLOOKUP($A31,'Semrush Import'!$A:$D,4,FALSE),"")</f>
        <v/>
      </c>
      <c r="L31">
        <f>IFERROR(VLOOKUP($A31,'KP Import'!$A:$B,2,FALSE),"")</f>
        <v/>
      </c>
      <c r="M31">
        <f>IF(I31="","",ROUND(I31/(J31+10),1))</f>
        <v/>
      </c>
      <c r="N31">
        <f>IF(M31="","",IF(M31&gt;=20,"A - Go first",IF(M31&gt;=5,"B - Next","C - Later")))</f>
        <v/>
      </c>
      <c r="O31" t="inlineStr">
        <is>
          <t>To research</t>
        </is>
      </c>
      <c r="P31" t="inlineStr"/>
    </row>
    <row r="32">
      <c r="A32" t="inlineStr">
        <is>
          <t>steam basmati rice price in uae</t>
        </is>
      </c>
      <c r="B32" t="inlineStr">
        <is>
          <t>Price</t>
        </is>
      </c>
      <c r="C32" t="inlineStr">
        <is>
          <t>Basmati</t>
        </is>
      </c>
      <c r="D32" t="inlineStr">
        <is>
          <t>Commercial/Transactional</t>
        </is>
      </c>
      <c r="E32" t="inlineStr">
        <is>
          <t>MOFU</t>
        </is>
      </c>
      <c r="F32" t="inlineStr">
        <is>
          <t>UAE</t>
        </is>
      </c>
      <c r="G32" t="inlineStr">
        <is>
          <t>Steam Basmati product page</t>
        </is>
      </c>
      <c r="H32" t="inlineStr">
        <is>
          <t>Product</t>
        </is>
      </c>
      <c r="I32">
        <f>IFERROR(VLOOKUP($A32,'Semrush Import'!$A:$D,2,FALSE),"")</f>
        <v/>
      </c>
      <c r="J32">
        <f>IFERROR(VLOOKUP($A32,'Semrush Import'!$A:$D,3,FALSE),"")</f>
        <v/>
      </c>
      <c r="K32">
        <f>IFERROR(VLOOKUP($A32,'Semrush Import'!$A:$D,4,FALSE),"")</f>
        <v/>
      </c>
      <c r="L32">
        <f>IFERROR(VLOOKUP($A32,'KP Import'!$A:$B,2,FALSE),"")</f>
        <v/>
      </c>
      <c r="M32">
        <f>IF(I32="","",ROUND(I32/(J32+10),1))</f>
        <v/>
      </c>
      <c r="N32">
        <f>IF(M32="","",IF(M32&gt;=20,"A - Go first",IF(M32&gt;=5,"B - Next","C - Later")))</f>
        <v/>
      </c>
      <c r="O32" t="inlineStr">
        <is>
          <t>To research</t>
        </is>
      </c>
      <c r="P32" t="inlineStr"/>
    </row>
    <row r="33">
      <c r="A33" t="inlineStr">
        <is>
          <t>steam basmati rice price in dubai</t>
        </is>
      </c>
      <c r="B33" t="inlineStr">
        <is>
          <t>Price</t>
        </is>
      </c>
      <c r="C33" t="inlineStr">
        <is>
          <t>Basmati</t>
        </is>
      </c>
      <c r="D33" t="inlineStr">
        <is>
          <t>Commercial/Transactional</t>
        </is>
      </c>
      <c r="E33" t="inlineStr">
        <is>
          <t>MOFU</t>
        </is>
      </c>
      <c r="F33" t="inlineStr">
        <is>
          <t>Dubai</t>
        </is>
      </c>
      <c r="G33" t="inlineStr">
        <is>
          <t>Steam Basmati product page</t>
        </is>
      </c>
      <c r="H33" t="inlineStr">
        <is>
          <t>Product</t>
        </is>
      </c>
      <c r="I33">
        <f>IFERROR(VLOOKUP($A33,'Semrush Import'!$A:$D,2,FALSE),"")</f>
        <v/>
      </c>
      <c r="J33">
        <f>IFERROR(VLOOKUP($A33,'Semrush Import'!$A:$D,3,FALSE),"")</f>
        <v/>
      </c>
      <c r="K33">
        <f>IFERROR(VLOOKUP($A33,'Semrush Import'!$A:$D,4,FALSE),"")</f>
        <v/>
      </c>
      <c r="L33">
        <f>IFERROR(VLOOKUP($A33,'KP Import'!$A:$B,2,FALSE),"")</f>
        <v/>
      </c>
      <c r="M33">
        <f>IF(I33="","",ROUND(I33/(J33+10),1))</f>
        <v/>
      </c>
      <c r="N33">
        <f>IF(M33="","",IF(M33&gt;=20,"A - Go first",IF(M33&gt;=5,"B - Next","C - Later")))</f>
        <v/>
      </c>
      <c r="O33" t="inlineStr">
        <is>
          <t>To research</t>
        </is>
      </c>
      <c r="P33" t="inlineStr"/>
    </row>
    <row r="34">
      <c r="A34" t="inlineStr">
        <is>
          <t>steam basmati rice online dubai</t>
        </is>
      </c>
      <c r="B34" t="inlineStr">
        <is>
          <t>Transactional</t>
        </is>
      </c>
      <c r="C34" t="inlineStr">
        <is>
          <t>Basmati</t>
        </is>
      </c>
      <c r="D34" t="inlineStr">
        <is>
          <t>Transactional</t>
        </is>
      </c>
      <c r="E34" t="inlineStr">
        <is>
          <t>BOFU</t>
        </is>
      </c>
      <c r="F34" t="inlineStr">
        <is>
          <t>Dubai</t>
        </is>
      </c>
      <c r="G34" t="inlineStr">
        <is>
          <t>Steam Basmati product page</t>
        </is>
      </c>
      <c r="H34" t="inlineStr">
        <is>
          <t>Product</t>
        </is>
      </c>
      <c r="I34">
        <f>IFERROR(VLOOKUP($A34,'Semrush Import'!$A:$D,2,FALSE),"")</f>
        <v/>
      </c>
      <c r="J34">
        <f>IFERROR(VLOOKUP($A34,'Semrush Import'!$A:$D,3,FALSE),"")</f>
        <v/>
      </c>
      <c r="K34">
        <f>IFERROR(VLOOKUP($A34,'Semrush Import'!$A:$D,4,FALSE),"")</f>
        <v/>
      </c>
      <c r="L34">
        <f>IFERROR(VLOOKUP($A34,'KP Import'!$A:$B,2,FALSE),"")</f>
        <v/>
      </c>
      <c r="M34">
        <f>IF(I34="","",ROUND(I34/(J34+10),1))</f>
        <v/>
      </c>
      <c r="N34">
        <f>IF(M34="","",IF(M34&gt;=20,"A - Go first",IF(M34&gt;=5,"B - Next","C - Later")))</f>
        <v/>
      </c>
      <c r="O34" t="inlineStr">
        <is>
          <t>To research</t>
        </is>
      </c>
      <c r="P34" t="inlineStr"/>
    </row>
    <row r="35">
      <c r="A35" t="inlineStr">
        <is>
          <t>steam basmati rice wholesale dubai</t>
        </is>
      </c>
      <c r="B35" t="inlineStr">
        <is>
          <t>Wholesale/B2B</t>
        </is>
      </c>
      <c r="C35" t="inlineStr">
        <is>
          <t>Basmati</t>
        </is>
      </c>
      <c r="D35" t="inlineStr">
        <is>
          <t>Transactional (B2B)</t>
        </is>
      </c>
      <c r="E35" t="inlineStr">
        <is>
          <t>BOFU</t>
        </is>
      </c>
      <c r="F35" t="inlineStr">
        <is>
          <t>Dubai</t>
        </is>
      </c>
      <c r="G35" t="inlineStr">
        <is>
          <t>Wholesale landing page</t>
        </is>
      </c>
      <c r="H35" t="inlineStr">
        <is>
          <t>Landing</t>
        </is>
      </c>
      <c r="I35">
        <f>IFERROR(VLOOKUP($A35,'Semrush Import'!$A:$D,2,FALSE),"")</f>
        <v/>
      </c>
      <c r="J35">
        <f>IFERROR(VLOOKUP($A35,'Semrush Import'!$A:$D,3,FALSE),"")</f>
        <v/>
      </c>
      <c r="K35">
        <f>IFERROR(VLOOKUP($A35,'Semrush Import'!$A:$D,4,FALSE),"")</f>
        <v/>
      </c>
      <c r="L35">
        <f>IFERROR(VLOOKUP($A35,'KP Import'!$A:$B,2,FALSE),"")</f>
        <v/>
      </c>
      <c r="M35">
        <f>IF(I35="","",ROUND(I35/(J35+10),1))</f>
        <v/>
      </c>
      <c r="N35">
        <f>IF(M35="","",IF(M35&gt;=20,"A - Go first",IF(M35&gt;=5,"B - Next","C - Later")))</f>
        <v/>
      </c>
      <c r="O35" t="inlineStr">
        <is>
          <t>To research</t>
        </is>
      </c>
      <c r="P35" t="inlineStr"/>
    </row>
    <row r="36">
      <c r="A36" t="inlineStr">
        <is>
          <t>steam basmati rice supplier uae</t>
        </is>
      </c>
      <c r="B36" t="inlineStr">
        <is>
          <t>Wholesale/B2B</t>
        </is>
      </c>
      <c r="C36" t="inlineStr">
        <is>
          <t>Basmati</t>
        </is>
      </c>
      <c r="D36" t="inlineStr">
        <is>
          <t>Transactional (B2B)</t>
        </is>
      </c>
      <c r="E36" t="inlineStr">
        <is>
          <t>BOFU</t>
        </is>
      </c>
      <c r="F36" t="inlineStr">
        <is>
          <t>UAE</t>
        </is>
      </c>
      <c r="G36" t="inlineStr">
        <is>
          <t>Wholesale landing page</t>
        </is>
      </c>
      <c r="H36" t="inlineStr">
        <is>
          <t>Landing</t>
        </is>
      </c>
      <c r="I36">
        <f>IFERROR(VLOOKUP($A36,'Semrush Import'!$A:$D,2,FALSE),"")</f>
        <v/>
      </c>
      <c r="J36">
        <f>IFERROR(VLOOKUP($A36,'Semrush Import'!$A:$D,3,FALSE),"")</f>
        <v/>
      </c>
      <c r="K36">
        <f>IFERROR(VLOOKUP($A36,'Semrush Import'!$A:$D,4,FALSE),"")</f>
        <v/>
      </c>
      <c r="L36">
        <f>IFERROR(VLOOKUP($A36,'KP Import'!$A:$B,2,FALSE),"")</f>
        <v/>
      </c>
      <c r="M36">
        <f>IF(I36="","",ROUND(I36/(J36+10),1))</f>
        <v/>
      </c>
      <c r="N36">
        <f>IF(M36="","",IF(M36&gt;=20,"A - Go first",IF(M36&gt;=5,"B - Next","C - Later")))</f>
        <v/>
      </c>
      <c r="O36" t="inlineStr">
        <is>
          <t>To research</t>
        </is>
      </c>
      <c r="P36" t="inlineStr"/>
    </row>
    <row r="37">
      <c r="A37" t="inlineStr">
        <is>
          <t>white sella basmati rice</t>
        </is>
      </c>
      <c r="B37" t="inlineStr">
        <is>
          <t>Core product</t>
        </is>
      </c>
      <c r="C37" t="inlineStr">
        <is>
          <t>Basmati</t>
        </is>
      </c>
      <c r="D37" t="inlineStr">
        <is>
          <t>Informational/Commercial</t>
        </is>
      </c>
      <c r="E37" t="inlineStr">
        <is>
          <t>TOFU</t>
        </is>
      </c>
      <c r="F37" t="inlineStr">
        <is>
          <t>UAE (generic)</t>
        </is>
      </c>
      <c r="G37" t="inlineStr">
        <is>
          <t>Sella Basmati product page</t>
        </is>
      </c>
      <c r="H37" t="inlineStr">
        <is>
          <t>Product</t>
        </is>
      </c>
      <c r="I37">
        <f>IFERROR(VLOOKUP($A37,'Semrush Import'!$A:$D,2,FALSE),"")</f>
        <v/>
      </c>
      <c r="J37">
        <f>IFERROR(VLOOKUP($A37,'Semrush Import'!$A:$D,3,FALSE),"")</f>
        <v/>
      </c>
      <c r="K37">
        <f>IFERROR(VLOOKUP($A37,'Semrush Import'!$A:$D,4,FALSE),"")</f>
        <v/>
      </c>
      <c r="L37">
        <f>IFERROR(VLOOKUP($A37,'KP Import'!$A:$B,2,FALSE),"")</f>
        <v/>
      </c>
      <c r="M37">
        <f>IF(I37="","",ROUND(I37/(J37+10),1))</f>
        <v/>
      </c>
      <c r="N37">
        <f>IF(M37="","",IF(M37&gt;=20,"A - Go first",IF(M37&gt;=5,"B - Next","C - Later")))</f>
        <v/>
      </c>
      <c r="O37" t="inlineStr">
        <is>
          <t>To research</t>
        </is>
      </c>
      <c r="P37" t="inlineStr"/>
    </row>
    <row r="38">
      <c r="A38" t="inlineStr">
        <is>
          <t>buy white sella basmati rice online</t>
        </is>
      </c>
      <c r="B38" t="inlineStr">
        <is>
          <t>Transactional</t>
        </is>
      </c>
      <c r="C38" t="inlineStr">
        <is>
          <t>Basmati</t>
        </is>
      </c>
      <c r="D38" t="inlineStr">
        <is>
          <t>Transactional</t>
        </is>
      </c>
      <c r="E38" t="inlineStr">
        <is>
          <t>BOFU</t>
        </is>
      </c>
      <c r="F38" t="inlineStr">
        <is>
          <t>UAE (generic)</t>
        </is>
      </c>
      <c r="G38" t="inlineStr">
        <is>
          <t>Sella Basmati product page</t>
        </is>
      </c>
      <c r="H38" t="inlineStr">
        <is>
          <t>Product</t>
        </is>
      </c>
      <c r="I38">
        <f>IFERROR(VLOOKUP($A38,'Semrush Import'!$A:$D,2,FALSE),"")</f>
        <v/>
      </c>
      <c r="J38">
        <f>IFERROR(VLOOKUP($A38,'Semrush Import'!$A:$D,3,FALSE),"")</f>
        <v/>
      </c>
      <c r="K38">
        <f>IFERROR(VLOOKUP($A38,'Semrush Import'!$A:$D,4,FALSE),"")</f>
        <v/>
      </c>
      <c r="L38">
        <f>IFERROR(VLOOKUP($A38,'KP Import'!$A:$B,2,FALSE),"")</f>
        <v/>
      </c>
      <c r="M38">
        <f>IF(I38="","",ROUND(I38/(J38+10),1))</f>
        <v/>
      </c>
      <c r="N38">
        <f>IF(M38="","",IF(M38&gt;=20,"A - Go first",IF(M38&gt;=5,"B - Next","C - Later")))</f>
        <v/>
      </c>
      <c r="O38" t="inlineStr">
        <is>
          <t>To research</t>
        </is>
      </c>
      <c r="P38" t="inlineStr"/>
    </row>
    <row r="39">
      <c r="A39" t="inlineStr">
        <is>
          <t>white sella basmati rice price in uae</t>
        </is>
      </c>
      <c r="B39" t="inlineStr">
        <is>
          <t>Price</t>
        </is>
      </c>
      <c r="C39" t="inlineStr">
        <is>
          <t>Basmati</t>
        </is>
      </c>
      <c r="D39" t="inlineStr">
        <is>
          <t>Commercial/Transactional</t>
        </is>
      </c>
      <c r="E39" t="inlineStr">
        <is>
          <t>MOFU</t>
        </is>
      </c>
      <c r="F39" t="inlineStr">
        <is>
          <t>UAE</t>
        </is>
      </c>
      <c r="G39" t="inlineStr">
        <is>
          <t>Sella Basmati product page</t>
        </is>
      </c>
      <c r="H39" t="inlineStr">
        <is>
          <t>Product</t>
        </is>
      </c>
      <c r="I39">
        <f>IFERROR(VLOOKUP($A39,'Semrush Import'!$A:$D,2,FALSE),"")</f>
        <v/>
      </c>
      <c r="J39">
        <f>IFERROR(VLOOKUP($A39,'Semrush Import'!$A:$D,3,FALSE),"")</f>
        <v/>
      </c>
      <c r="K39">
        <f>IFERROR(VLOOKUP($A39,'Semrush Import'!$A:$D,4,FALSE),"")</f>
        <v/>
      </c>
      <c r="L39">
        <f>IFERROR(VLOOKUP($A39,'KP Import'!$A:$B,2,FALSE),"")</f>
        <v/>
      </c>
      <c r="M39">
        <f>IF(I39="","",ROUND(I39/(J39+10),1))</f>
        <v/>
      </c>
      <c r="N39">
        <f>IF(M39="","",IF(M39&gt;=20,"A - Go first",IF(M39&gt;=5,"B - Next","C - Later")))</f>
        <v/>
      </c>
      <c r="O39" t="inlineStr">
        <is>
          <t>To research</t>
        </is>
      </c>
      <c r="P39" t="inlineStr"/>
    </row>
    <row r="40">
      <c r="A40" t="inlineStr">
        <is>
          <t>white sella basmati rice price in dubai</t>
        </is>
      </c>
      <c r="B40" t="inlineStr">
        <is>
          <t>Price</t>
        </is>
      </c>
      <c r="C40" t="inlineStr">
        <is>
          <t>Basmati</t>
        </is>
      </c>
      <c r="D40" t="inlineStr">
        <is>
          <t>Commercial/Transactional</t>
        </is>
      </c>
      <c r="E40" t="inlineStr">
        <is>
          <t>MOFU</t>
        </is>
      </c>
      <c r="F40" t="inlineStr">
        <is>
          <t>Dubai</t>
        </is>
      </c>
      <c r="G40" t="inlineStr">
        <is>
          <t>Sella Basmati product page</t>
        </is>
      </c>
      <c r="H40" t="inlineStr">
        <is>
          <t>Product</t>
        </is>
      </c>
      <c r="I40">
        <f>IFERROR(VLOOKUP($A40,'Semrush Import'!$A:$D,2,FALSE),"")</f>
        <v/>
      </c>
      <c r="J40">
        <f>IFERROR(VLOOKUP($A40,'Semrush Import'!$A:$D,3,FALSE),"")</f>
        <v/>
      </c>
      <c r="K40">
        <f>IFERROR(VLOOKUP($A40,'Semrush Import'!$A:$D,4,FALSE),"")</f>
        <v/>
      </c>
      <c r="L40">
        <f>IFERROR(VLOOKUP($A40,'KP Import'!$A:$B,2,FALSE),"")</f>
        <v/>
      </c>
      <c r="M40">
        <f>IF(I40="","",ROUND(I40/(J40+10),1))</f>
        <v/>
      </c>
      <c r="N40">
        <f>IF(M40="","",IF(M40&gt;=20,"A - Go first",IF(M40&gt;=5,"B - Next","C - Later")))</f>
        <v/>
      </c>
      <c r="O40" t="inlineStr">
        <is>
          <t>To research</t>
        </is>
      </c>
      <c r="P40" t="inlineStr"/>
    </row>
    <row r="41">
      <c r="A41" t="inlineStr">
        <is>
          <t>white sella basmati rice online dubai</t>
        </is>
      </c>
      <c r="B41" t="inlineStr">
        <is>
          <t>Transactional</t>
        </is>
      </c>
      <c r="C41" t="inlineStr">
        <is>
          <t>Basmati</t>
        </is>
      </c>
      <c r="D41" t="inlineStr">
        <is>
          <t>Transactional</t>
        </is>
      </c>
      <c r="E41" t="inlineStr">
        <is>
          <t>BOFU</t>
        </is>
      </c>
      <c r="F41" t="inlineStr">
        <is>
          <t>Dubai</t>
        </is>
      </c>
      <c r="G41" t="inlineStr">
        <is>
          <t>Sella Basmati product page</t>
        </is>
      </c>
      <c r="H41" t="inlineStr">
        <is>
          <t>Product</t>
        </is>
      </c>
      <c r="I41">
        <f>IFERROR(VLOOKUP($A41,'Semrush Import'!$A:$D,2,FALSE),"")</f>
        <v/>
      </c>
      <c r="J41">
        <f>IFERROR(VLOOKUP($A41,'Semrush Import'!$A:$D,3,FALSE),"")</f>
        <v/>
      </c>
      <c r="K41">
        <f>IFERROR(VLOOKUP($A41,'Semrush Import'!$A:$D,4,FALSE),"")</f>
        <v/>
      </c>
      <c r="L41">
        <f>IFERROR(VLOOKUP($A41,'KP Import'!$A:$B,2,FALSE),"")</f>
        <v/>
      </c>
      <c r="M41">
        <f>IF(I41="","",ROUND(I41/(J41+10),1))</f>
        <v/>
      </c>
      <c r="N41">
        <f>IF(M41="","",IF(M41&gt;=20,"A - Go first",IF(M41&gt;=5,"B - Next","C - Later")))</f>
        <v/>
      </c>
      <c r="O41" t="inlineStr">
        <is>
          <t>To research</t>
        </is>
      </c>
      <c r="P41" t="inlineStr"/>
    </row>
    <row r="42">
      <c r="A42" t="inlineStr">
        <is>
          <t>white sella basmati rice wholesale dubai</t>
        </is>
      </c>
      <c r="B42" t="inlineStr">
        <is>
          <t>Wholesale/B2B</t>
        </is>
      </c>
      <c r="C42" t="inlineStr">
        <is>
          <t>Basmati</t>
        </is>
      </c>
      <c r="D42" t="inlineStr">
        <is>
          <t>Transactional (B2B)</t>
        </is>
      </c>
      <c r="E42" t="inlineStr">
        <is>
          <t>BOFU</t>
        </is>
      </c>
      <c r="F42" t="inlineStr">
        <is>
          <t>Dubai</t>
        </is>
      </c>
      <c r="G42" t="inlineStr">
        <is>
          <t>Wholesale landing page</t>
        </is>
      </c>
      <c r="H42" t="inlineStr">
        <is>
          <t>Landing</t>
        </is>
      </c>
      <c r="I42">
        <f>IFERROR(VLOOKUP($A42,'Semrush Import'!$A:$D,2,FALSE),"")</f>
        <v/>
      </c>
      <c r="J42">
        <f>IFERROR(VLOOKUP($A42,'Semrush Import'!$A:$D,3,FALSE),"")</f>
        <v/>
      </c>
      <c r="K42">
        <f>IFERROR(VLOOKUP($A42,'Semrush Import'!$A:$D,4,FALSE),"")</f>
        <v/>
      </c>
      <c r="L42">
        <f>IFERROR(VLOOKUP($A42,'KP Import'!$A:$B,2,FALSE),"")</f>
        <v/>
      </c>
      <c r="M42">
        <f>IF(I42="","",ROUND(I42/(J42+10),1))</f>
        <v/>
      </c>
      <c r="N42">
        <f>IF(M42="","",IF(M42&gt;=20,"A - Go first",IF(M42&gt;=5,"B - Next","C - Later")))</f>
        <v/>
      </c>
      <c r="O42" t="inlineStr">
        <is>
          <t>To research</t>
        </is>
      </c>
      <c r="P42" t="inlineStr"/>
    </row>
    <row r="43">
      <c r="A43" t="inlineStr">
        <is>
          <t>white sella basmati rice supplier uae</t>
        </is>
      </c>
      <c r="B43" t="inlineStr">
        <is>
          <t>Wholesale/B2B</t>
        </is>
      </c>
      <c r="C43" t="inlineStr">
        <is>
          <t>Basmati</t>
        </is>
      </c>
      <c r="D43" t="inlineStr">
        <is>
          <t>Transactional (B2B)</t>
        </is>
      </c>
      <c r="E43" t="inlineStr">
        <is>
          <t>BOFU</t>
        </is>
      </c>
      <c r="F43" t="inlineStr">
        <is>
          <t>UAE</t>
        </is>
      </c>
      <c r="G43" t="inlineStr">
        <is>
          <t>Wholesale landing page</t>
        </is>
      </c>
      <c r="H43" t="inlineStr">
        <is>
          <t>Landing</t>
        </is>
      </c>
      <c r="I43">
        <f>IFERROR(VLOOKUP($A43,'Semrush Import'!$A:$D,2,FALSE),"")</f>
        <v/>
      </c>
      <c r="J43">
        <f>IFERROR(VLOOKUP($A43,'Semrush Import'!$A:$D,3,FALSE),"")</f>
        <v/>
      </c>
      <c r="K43">
        <f>IFERROR(VLOOKUP($A43,'Semrush Import'!$A:$D,4,FALSE),"")</f>
        <v/>
      </c>
      <c r="L43">
        <f>IFERROR(VLOOKUP($A43,'KP Import'!$A:$B,2,FALSE),"")</f>
        <v/>
      </c>
      <c r="M43">
        <f>IF(I43="","",ROUND(I43/(J43+10),1))</f>
        <v/>
      </c>
      <c r="N43">
        <f>IF(M43="","",IF(M43&gt;=20,"A - Go first",IF(M43&gt;=5,"B - Next","C - Later")))</f>
        <v/>
      </c>
      <c r="O43" t="inlineStr">
        <is>
          <t>To research</t>
        </is>
      </c>
      <c r="P43" t="inlineStr"/>
    </row>
    <row r="44">
      <c r="A44" t="inlineStr">
        <is>
          <t>indian basmati rice</t>
        </is>
      </c>
      <c r="B44" t="inlineStr">
        <is>
          <t>Core product</t>
        </is>
      </c>
      <c r="C44" t="inlineStr">
        <is>
          <t>Basmati</t>
        </is>
      </c>
      <c r="D44" t="inlineStr">
        <is>
          <t>Informational/Commercial</t>
        </is>
      </c>
      <c r="E44" t="inlineStr">
        <is>
          <t>TOFU</t>
        </is>
      </c>
      <c r="F44" t="inlineStr">
        <is>
          <t>UAE (generic)</t>
        </is>
      </c>
      <c r="G44" t="inlineStr">
        <is>
          <t>Indian Basmati page</t>
        </is>
      </c>
      <c r="H44" t="inlineStr">
        <is>
          <t>Landing/Blog</t>
        </is>
      </c>
      <c r="I44">
        <f>IFERROR(VLOOKUP($A44,'Semrush Import'!$A:$D,2,FALSE),"")</f>
        <v/>
      </c>
      <c r="J44">
        <f>IFERROR(VLOOKUP($A44,'Semrush Import'!$A:$D,3,FALSE),"")</f>
        <v/>
      </c>
      <c r="K44">
        <f>IFERROR(VLOOKUP($A44,'Semrush Import'!$A:$D,4,FALSE),"")</f>
        <v/>
      </c>
      <c r="L44">
        <f>IFERROR(VLOOKUP($A44,'KP Import'!$A:$B,2,FALSE),"")</f>
        <v/>
      </c>
      <c r="M44">
        <f>IF(I44="","",ROUND(I44/(J44+10),1))</f>
        <v/>
      </c>
      <c r="N44">
        <f>IF(M44="","",IF(M44&gt;=20,"A - Go first",IF(M44&gt;=5,"B - Next","C - Later")))</f>
        <v/>
      </c>
      <c r="O44" t="inlineStr">
        <is>
          <t>To research</t>
        </is>
      </c>
      <c r="P44" t="inlineStr"/>
    </row>
    <row r="45">
      <c r="A45" t="inlineStr">
        <is>
          <t>buy indian basmati rice online</t>
        </is>
      </c>
      <c r="B45" t="inlineStr">
        <is>
          <t>Transactional</t>
        </is>
      </c>
      <c r="C45" t="inlineStr">
        <is>
          <t>Basmati</t>
        </is>
      </c>
      <c r="D45" t="inlineStr">
        <is>
          <t>Transactional</t>
        </is>
      </c>
      <c r="E45" t="inlineStr">
        <is>
          <t>BOFU</t>
        </is>
      </c>
      <c r="F45" t="inlineStr">
        <is>
          <t>UAE (generic)</t>
        </is>
      </c>
      <c r="G45" t="inlineStr">
        <is>
          <t>Indian Basmati page</t>
        </is>
      </c>
      <c r="H45" t="inlineStr">
        <is>
          <t>Landing/Blog</t>
        </is>
      </c>
      <c r="I45">
        <f>IFERROR(VLOOKUP($A45,'Semrush Import'!$A:$D,2,FALSE),"")</f>
        <v/>
      </c>
      <c r="J45">
        <f>IFERROR(VLOOKUP($A45,'Semrush Import'!$A:$D,3,FALSE),"")</f>
        <v/>
      </c>
      <c r="K45">
        <f>IFERROR(VLOOKUP($A45,'Semrush Import'!$A:$D,4,FALSE),"")</f>
        <v/>
      </c>
      <c r="L45">
        <f>IFERROR(VLOOKUP($A45,'KP Import'!$A:$B,2,FALSE),"")</f>
        <v/>
      </c>
      <c r="M45">
        <f>IF(I45="","",ROUND(I45/(J45+10),1))</f>
        <v/>
      </c>
      <c r="N45">
        <f>IF(M45="","",IF(M45&gt;=20,"A - Go first",IF(M45&gt;=5,"B - Next","C - Later")))</f>
        <v/>
      </c>
      <c r="O45" t="inlineStr">
        <is>
          <t>To research</t>
        </is>
      </c>
      <c r="P45" t="inlineStr"/>
    </row>
    <row r="46">
      <c r="A46" t="inlineStr">
        <is>
          <t>indian basmati rice price in uae</t>
        </is>
      </c>
      <c r="B46" t="inlineStr">
        <is>
          <t>Price</t>
        </is>
      </c>
      <c r="C46" t="inlineStr">
        <is>
          <t>Basmati</t>
        </is>
      </c>
      <c r="D46" t="inlineStr">
        <is>
          <t>Commercial/Transactional</t>
        </is>
      </c>
      <c r="E46" t="inlineStr">
        <is>
          <t>MOFU</t>
        </is>
      </c>
      <c r="F46" t="inlineStr">
        <is>
          <t>UAE</t>
        </is>
      </c>
      <c r="G46" t="inlineStr">
        <is>
          <t>Indian Basmati page</t>
        </is>
      </c>
      <c r="H46" t="inlineStr">
        <is>
          <t>Landing/Blog</t>
        </is>
      </c>
      <c r="I46">
        <f>IFERROR(VLOOKUP($A46,'Semrush Import'!$A:$D,2,FALSE),"")</f>
        <v/>
      </c>
      <c r="J46">
        <f>IFERROR(VLOOKUP($A46,'Semrush Import'!$A:$D,3,FALSE),"")</f>
        <v/>
      </c>
      <c r="K46">
        <f>IFERROR(VLOOKUP($A46,'Semrush Import'!$A:$D,4,FALSE),"")</f>
        <v/>
      </c>
      <c r="L46">
        <f>IFERROR(VLOOKUP($A46,'KP Import'!$A:$B,2,FALSE),"")</f>
        <v/>
      </c>
      <c r="M46">
        <f>IF(I46="","",ROUND(I46/(J46+10),1))</f>
        <v/>
      </c>
      <c r="N46">
        <f>IF(M46="","",IF(M46&gt;=20,"A - Go first",IF(M46&gt;=5,"B - Next","C - Later")))</f>
        <v/>
      </c>
      <c r="O46" t="inlineStr">
        <is>
          <t>To research</t>
        </is>
      </c>
      <c r="P46" t="inlineStr"/>
    </row>
    <row r="47">
      <c r="A47" t="inlineStr">
        <is>
          <t>indian basmati rice price in dubai</t>
        </is>
      </c>
      <c r="B47" t="inlineStr">
        <is>
          <t>Price</t>
        </is>
      </c>
      <c r="C47" t="inlineStr">
        <is>
          <t>Basmati</t>
        </is>
      </c>
      <c r="D47" t="inlineStr">
        <is>
          <t>Commercial/Transactional</t>
        </is>
      </c>
      <c r="E47" t="inlineStr">
        <is>
          <t>MOFU</t>
        </is>
      </c>
      <c r="F47" t="inlineStr">
        <is>
          <t>Dubai</t>
        </is>
      </c>
      <c r="G47" t="inlineStr">
        <is>
          <t>Indian Basmati page</t>
        </is>
      </c>
      <c r="H47" t="inlineStr">
        <is>
          <t>Landing/Blog</t>
        </is>
      </c>
      <c r="I47">
        <f>IFERROR(VLOOKUP($A47,'Semrush Import'!$A:$D,2,FALSE),"")</f>
        <v/>
      </c>
      <c r="J47">
        <f>IFERROR(VLOOKUP($A47,'Semrush Import'!$A:$D,3,FALSE),"")</f>
        <v/>
      </c>
      <c r="K47">
        <f>IFERROR(VLOOKUP($A47,'Semrush Import'!$A:$D,4,FALSE),"")</f>
        <v/>
      </c>
      <c r="L47">
        <f>IFERROR(VLOOKUP($A47,'KP Import'!$A:$B,2,FALSE),"")</f>
        <v/>
      </c>
      <c r="M47">
        <f>IF(I47="","",ROUND(I47/(J47+10),1))</f>
        <v/>
      </c>
      <c r="N47">
        <f>IF(M47="","",IF(M47&gt;=20,"A - Go first",IF(M47&gt;=5,"B - Next","C - Later")))</f>
        <v/>
      </c>
      <c r="O47" t="inlineStr">
        <is>
          <t>To research</t>
        </is>
      </c>
      <c r="P47" t="inlineStr"/>
    </row>
    <row r="48">
      <c r="A48" t="inlineStr">
        <is>
          <t>indian basmati rice online dubai</t>
        </is>
      </c>
      <c r="B48" t="inlineStr">
        <is>
          <t>Transactional</t>
        </is>
      </c>
      <c r="C48" t="inlineStr">
        <is>
          <t>Basmati</t>
        </is>
      </c>
      <c r="D48" t="inlineStr">
        <is>
          <t>Transactional</t>
        </is>
      </c>
      <c r="E48" t="inlineStr">
        <is>
          <t>BOFU</t>
        </is>
      </c>
      <c r="F48" t="inlineStr">
        <is>
          <t>Dubai</t>
        </is>
      </c>
      <c r="G48" t="inlineStr">
        <is>
          <t>Indian Basmati page</t>
        </is>
      </c>
      <c r="H48" t="inlineStr">
        <is>
          <t>Landing/Blog</t>
        </is>
      </c>
      <c r="I48">
        <f>IFERROR(VLOOKUP($A48,'Semrush Import'!$A:$D,2,FALSE),"")</f>
        <v/>
      </c>
      <c r="J48">
        <f>IFERROR(VLOOKUP($A48,'Semrush Import'!$A:$D,3,FALSE),"")</f>
        <v/>
      </c>
      <c r="K48">
        <f>IFERROR(VLOOKUP($A48,'Semrush Import'!$A:$D,4,FALSE),"")</f>
        <v/>
      </c>
      <c r="L48">
        <f>IFERROR(VLOOKUP($A48,'KP Import'!$A:$B,2,FALSE),"")</f>
        <v/>
      </c>
      <c r="M48">
        <f>IF(I48="","",ROUND(I48/(J48+10),1))</f>
        <v/>
      </c>
      <c r="N48">
        <f>IF(M48="","",IF(M48&gt;=20,"A - Go first",IF(M48&gt;=5,"B - Next","C - Later")))</f>
        <v/>
      </c>
      <c r="O48" t="inlineStr">
        <is>
          <t>To research</t>
        </is>
      </c>
      <c r="P48" t="inlineStr"/>
    </row>
    <row r="49">
      <c r="A49" t="inlineStr">
        <is>
          <t>indian basmati rice wholesale dubai</t>
        </is>
      </c>
      <c r="B49" t="inlineStr">
        <is>
          <t>Wholesale/B2B</t>
        </is>
      </c>
      <c r="C49" t="inlineStr">
        <is>
          <t>Basmati</t>
        </is>
      </c>
      <c r="D49" t="inlineStr">
        <is>
          <t>Transactional (B2B)</t>
        </is>
      </c>
      <c r="E49" t="inlineStr">
        <is>
          <t>BOFU</t>
        </is>
      </c>
      <c r="F49" t="inlineStr">
        <is>
          <t>Dubai</t>
        </is>
      </c>
      <c r="G49" t="inlineStr">
        <is>
          <t>Wholesale landing page</t>
        </is>
      </c>
      <c r="H49" t="inlineStr">
        <is>
          <t>Landing</t>
        </is>
      </c>
      <c r="I49">
        <f>IFERROR(VLOOKUP($A49,'Semrush Import'!$A:$D,2,FALSE),"")</f>
        <v/>
      </c>
      <c r="J49">
        <f>IFERROR(VLOOKUP($A49,'Semrush Import'!$A:$D,3,FALSE),"")</f>
        <v/>
      </c>
      <c r="K49">
        <f>IFERROR(VLOOKUP($A49,'Semrush Import'!$A:$D,4,FALSE),"")</f>
        <v/>
      </c>
      <c r="L49">
        <f>IFERROR(VLOOKUP($A49,'KP Import'!$A:$B,2,FALSE),"")</f>
        <v/>
      </c>
      <c r="M49">
        <f>IF(I49="","",ROUND(I49/(J49+10),1))</f>
        <v/>
      </c>
      <c r="N49">
        <f>IF(M49="","",IF(M49&gt;=20,"A - Go first",IF(M49&gt;=5,"B - Next","C - Later")))</f>
        <v/>
      </c>
      <c r="O49" t="inlineStr">
        <is>
          <t>To research</t>
        </is>
      </c>
      <c r="P49" t="inlineStr"/>
    </row>
    <row r="50">
      <c r="A50" t="inlineStr">
        <is>
          <t>indian basmati rice supplier uae</t>
        </is>
      </c>
      <c r="B50" t="inlineStr">
        <is>
          <t>Wholesale/B2B</t>
        </is>
      </c>
      <c r="C50" t="inlineStr">
        <is>
          <t>Basmati</t>
        </is>
      </c>
      <c r="D50" t="inlineStr">
        <is>
          <t>Transactional (B2B)</t>
        </is>
      </c>
      <c r="E50" t="inlineStr">
        <is>
          <t>BOFU</t>
        </is>
      </c>
      <c r="F50" t="inlineStr">
        <is>
          <t>UAE</t>
        </is>
      </c>
      <c r="G50" t="inlineStr">
        <is>
          <t>Wholesale landing page</t>
        </is>
      </c>
      <c r="H50" t="inlineStr">
        <is>
          <t>Landing</t>
        </is>
      </c>
      <c r="I50">
        <f>IFERROR(VLOOKUP($A50,'Semrush Import'!$A:$D,2,FALSE),"")</f>
        <v/>
      </c>
      <c r="J50">
        <f>IFERROR(VLOOKUP($A50,'Semrush Import'!$A:$D,3,FALSE),"")</f>
        <v/>
      </c>
      <c r="K50">
        <f>IFERROR(VLOOKUP($A50,'Semrush Import'!$A:$D,4,FALSE),"")</f>
        <v/>
      </c>
      <c r="L50">
        <f>IFERROR(VLOOKUP($A50,'KP Import'!$A:$B,2,FALSE),"")</f>
        <v/>
      </c>
      <c r="M50">
        <f>IF(I50="","",ROUND(I50/(J50+10),1))</f>
        <v/>
      </c>
      <c r="N50">
        <f>IF(M50="","",IF(M50&gt;=20,"A - Go first",IF(M50&gt;=5,"B - Next","C - Later")))</f>
        <v/>
      </c>
      <c r="O50" t="inlineStr">
        <is>
          <t>To research</t>
        </is>
      </c>
      <c r="P50" t="inlineStr"/>
    </row>
    <row r="51">
      <c r="A51" t="inlineStr">
        <is>
          <t>pakistani basmati rice</t>
        </is>
      </c>
      <c r="B51" t="inlineStr">
        <is>
          <t>Core product</t>
        </is>
      </c>
      <c r="C51" t="inlineStr">
        <is>
          <t>Basmati</t>
        </is>
      </c>
      <c r="D51" t="inlineStr">
        <is>
          <t>Informational/Commercial</t>
        </is>
      </c>
      <c r="E51" t="inlineStr">
        <is>
          <t>TOFU</t>
        </is>
      </c>
      <c r="F51" t="inlineStr">
        <is>
          <t>UAE (generic)</t>
        </is>
      </c>
      <c r="G51" t="inlineStr">
        <is>
          <t>Pakistani Basmati page</t>
        </is>
      </c>
      <c r="H51" t="inlineStr">
        <is>
          <t>Landing/Blog</t>
        </is>
      </c>
      <c r="I51">
        <f>IFERROR(VLOOKUP($A51,'Semrush Import'!$A:$D,2,FALSE),"")</f>
        <v/>
      </c>
      <c r="J51">
        <f>IFERROR(VLOOKUP($A51,'Semrush Import'!$A:$D,3,FALSE),"")</f>
        <v/>
      </c>
      <c r="K51">
        <f>IFERROR(VLOOKUP($A51,'Semrush Import'!$A:$D,4,FALSE),"")</f>
        <v/>
      </c>
      <c r="L51">
        <f>IFERROR(VLOOKUP($A51,'KP Import'!$A:$B,2,FALSE),"")</f>
        <v/>
      </c>
      <c r="M51">
        <f>IF(I51="","",ROUND(I51/(J51+10),1))</f>
        <v/>
      </c>
      <c r="N51">
        <f>IF(M51="","",IF(M51&gt;=20,"A - Go first",IF(M51&gt;=5,"B - Next","C - Later")))</f>
        <v/>
      </c>
      <c r="O51" t="inlineStr">
        <is>
          <t>To research</t>
        </is>
      </c>
      <c r="P51" t="inlineStr"/>
    </row>
    <row r="52">
      <c r="A52" t="inlineStr">
        <is>
          <t>buy pakistani basmati rice online</t>
        </is>
      </c>
      <c r="B52" t="inlineStr">
        <is>
          <t>Transactional</t>
        </is>
      </c>
      <c r="C52" t="inlineStr">
        <is>
          <t>Basmati</t>
        </is>
      </c>
      <c r="D52" t="inlineStr">
        <is>
          <t>Transactional</t>
        </is>
      </c>
      <c r="E52" t="inlineStr">
        <is>
          <t>BOFU</t>
        </is>
      </c>
      <c r="F52" t="inlineStr">
        <is>
          <t>UAE (generic)</t>
        </is>
      </c>
      <c r="G52" t="inlineStr">
        <is>
          <t>Pakistani Basmati page</t>
        </is>
      </c>
      <c r="H52" t="inlineStr">
        <is>
          <t>Landing/Blog</t>
        </is>
      </c>
      <c r="I52">
        <f>IFERROR(VLOOKUP($A52,'Semrush Import'!$A:$D,2,FALSE),"")</f>
        <v/>
      </c>
      <c r="J52">
        <f>IFERROR(VLOOKUP($A52,'Semrush Import'!$A:$D,3,FALSE),"")</f>
        <v/>
      </c>
      <c r="K52">
        <f>IFERROR(VLOOKUP($A52,'Semrush Import'!$A:$D,4,FALSE),"")</f>
        <v/>
      </c>
      <c r="L52">
        <f>IFERROR(VLOOKUP($A52,'KP Import'!$A:$B,2,FALSE),"")</f>
        <v/>
      </c>
      <c r="M52">
        <f>IF(I52="","",ROUND(I52/(J52+10),1))</f>
        <v/>
      </c>
      <c r="N52">
        <f>IF(M52="","",IF(M52&gt;=20,"A - Go first",IF(M52&gt;=5,"B - Next","C - Later")))</f>
        <v/>
      </c>
      <c r="O52" t="inlineStr">
        <is>
          <t>To research</t>
        </is>
      </c>
      <c r="P52" t="inlineStr"/>
    </row>
    <row r="53">
      <c r="A53" t="inlineStr">
        <is>
          <t>pakistani basmati rice price in uae</t>
        </is>
      </c>
      <c r="B53" t="inlineStr">
        <is>
          <t>Price</t>
        </is>
      </c>
      <c r="C53" t="inlineStr">
        <is>
          <t>Basmati</t>
        </is>
      </c>
      <c r="D53" t="inlineStr">
        <is>
          <t>Commercial/Transactional</t>
        </is>
      </c>
      <c r="E53" t="inlineStr">
        <is>
          <t>MOFU</t>
        </is>
      </c>
      <c r="F53" t="inlineStr">
        <is>
          <t>UAE</t>
        </is>
      </c>
      <c r="G53" t="inlineStr">
        <is>
          <t>Pakistani Basmati page</t>
        </is>
      </c>
      <c r="H53" t="inlineStr">
        <is>
          <t>Landing/Blog</t>
        </is>
      </c>
      <c r="I53">
        <f>IFERROR(VLOOKUP($A53,'Semrush Import'!$A:$D,2,FALSE),"")</f>
        <v/>
      </c>
      <c r="J53">
        <f>IFERROR(VLOOKUP($A53,'Semrush Import'!$A:$D,3,FALSE),"")</f>
        <v/>
      </c>
      <c r="K53">
        <f>IFERROR(VLOOKUP($A53,'Semrush Import'!$A:$D,4,FALSE),"")</f>
        <v/>
      </c>
      <c r="L53">
        <f>IFERROR(VLOOKUP($A53,'KP Import'!$A:$B,2,FALSE),"")</f>
        <v/>
      </c>
      <c r="M53">
        <f>IF(I53="","",ROUND(I53/(J53+10),1))</f>
        <v/>
      </c>
      <c r="N53">
        <f>IF(M53="","",IF(M53&gt;=20,"A - Go first",IF(M53&gt;=5,"B - Next","C - Later")))</f>
        <v/>
      </c>
      <c r="O53" t="inlineStr">
        <is>
          <t>To research</t>
        </is>
      </c>
      <c r="P53" t="inlineStr"/>
    </row>
    <row r="54">
      <c r="A54" t="inlineStr">
        <is>
          <t>pakistani basmati rice price in dubai</t>
        </is>
      </c>
      <c r="B54" t="inlineStr">
        <is>
          <t>Price</t>
        </is>
      </c>
      <c r="C54" t="inlineStr">
        <is>
          <t>Basmati</t>
        </is>
      </c>
      <c r="D54" t="inlineStr">
        <is>
          <t>Commercial/Transactional</t>
        </is>
      </c>
      <c r="E54" t="inlineStr">
        <is>
          <t>MOFU</t>
        </is>
      </c>
      <c r="F54" t="inlineStr">
        <is>
          <t>Dubai</t>
        </is>
      </c>
      <c r="G54" t="inlineStr">
        <is>
          <t>Pakistani Basmati page</t>
        </is>
      </c>
      <c r="H54" t="inlineStr">
        <is>
          <t>Landing/Blog</t>
        </is>
      </c>
      <c r="I54">
        <f>IFERROR(VLOOKUP($A54,'Semrush Import'!$A:$D,2,FALSE),"")</f>
        <v/>
      </c>
      <c r="J54">
        <f>IFERROR(VLOOKUP($A54,'Semrush Import'!$A:$D,3,FALSE),"")</f>
        <v/>
      </c>
      <c r="K54">
        <f>IFERROR(VLOOKUP($A54,'Semrush Import'!$A:$D,4,FALSE),"")</f>
        <v/>
      </c>
      <c r="L54">
        <f>IFERROR(VLOOKUP($A54,'KP Import'!$A:$B,2,FALSE),"")</f>
        <v/>
      </c>
      <c r="M54">
        <f>IF(I54="","",ROUND(I54/(J54+10),1))</f>
        <v/>
      </c>
      <c r="N54">
        <f>IF(M54="","",IF(M54&gt;=20,"A - Go first",IF(M54&gt;=5,"B - Next","C - Later")))</f>
        <v/>
      </c>
      <c r="O54" t="inlineStr">
        <is>
          <t>To research</t>
        </is>
      </c>
      <c r="P54" t="inlineStr"/>
    </row>
    <row r="55">
      <c r="A55" t="inlineStr">
        <is>
          <t>pakistani basmati rice online dubai</t>
        </is>
      </c>
      <c r="B55" t="inlineStr">
        <is>
          <t>Transactional</t>
        </is>
      </c>
      <c r="C55" t="inlineStr">
        <is>
          <t>Basmati</t>
        </is>
      </c>
      <c r="D55" t="inlineStr">
        <is>
          <t>Transactional</t>
        </is>
      </c>
      <c r="E55" t="inlineStr">
        <is>
          <t>BOFU</t>
        </is>
      </c>
      <c r="F55" t="inlineStr">
        <is>
          <t>Dubai</t>
        </is>
      </c>
      <c r="G55" t="inlineStr">
        <is>
          <t>Pakistani Basmati page</t>
        </is>
      </c>
      <c r="H55" t="inlineStr">
        <is>
          <t>Landing/Blog</t>
        </is>
      </c>
      <c r="I55">
        <f>IFERROR(VLOOKUP($A55,'Semrush Import'!$A:$D,2,FALSE),"")</f>
        <v/>
      </c>
      <c r="J55">
        <f>IFERROR(VLOOKUP($A55,'Semrush Import'!$A:$D,3,FALSE),"")</f>
        <v/>
      </c>
      <c r="K55">
        <f>IFERROR(VLOOKUP($A55,'Semrush Import'!$A:$D,4,FALSE),"")</f>
        <v/>
      </c>
      <c r="L55">
        <f>IFERROR(VLOOKUP($A55,'KP Import'!$A:$B,2,FALSE),"")</f>
        <v/>
      </c>
      <c r="M55">
        <f>IF(I55="","",ROUND(I55/(J55+10),1))</f>
        <v/>
      </c>
      <c r="N55">
        <f>IF(M55="","",IF(M55&gt;=20,"A - Go first",IF(M55&gt;=5,"B - Next","C - Later")))</f>
        <v/>
      </c>
      <c r="O55" t="inlineStr">
        <is>
          <t>To research</t>
        </is>
      </c>
      <c r="P55" t="inlineStr"/>
    </row>
    <row r="56">
      <c r="A56" t="inlineStr">
        <is>
          <t>pakistani basmati rice wholesale dubai</t>
        </is>
      </c>
      <c r="B56" t="inlineStr">
        <is>
          <t>Wholesale/B2B</t>
        </is>
      </c>
      <c r="C56" t="inlineStr">
        <is>
          <t>Basmati</t>
        </is>
      </c>
      <c r="D56" t="inlineStr">
        <is>
          <t>Transactional (B2B)</t>
        </is>
      </c>
      <c r="E56" t="inlineStr">
        <is>
          <t>BOFU</t>
        </is>
      </c>
      <c r="F56" t="inlineStr">
        <is>
          <t>Dubai</t>
        </is>
      </c>
      <c r="G56" t="inlineStr">
        <is>
          <t>Wholesale landing page</t>
        </is>
      </c>
      <c r="H56" t="inlineStr">
        <is>
          <t>Landing</t>
        </is>
      </c>
      <c r="I56">
        <f>IFERROR(VLOOKUP($A56,'Semrush Import'!$A:$D,2,FALSE),"")</f>
        <v/>
      </c>
      <c r="J56">
        <f>IFERROR(VLOOKUP($A56,'Semrush Import'!$A:$D,3,FALSE),"")</f>
        <v/>
      </c>
      <c r="K56">
        <f>IFERROR(VLOOKUP($A56,'Semrush Import'!$A:$D,4,FALSE),"")</f>
        <v/>
      </c>
      <c r="L56">
        <f>IFERROR(VLOOKUP($A56,'KP Import'!$A:$B,2,FALSE),"")</f>
        <v/>
      </c>
      <c r="M56">
        <f>IF(I56="","",ROUND(I56/(J56+10),1))</f>
        <v/>
      </c>
      <c r="N56">
        <f>IF(M56="","",IF(M56&gt;=20,"A - Go first",IF(M56&gt;=5,"B - Next","C - Later")))</f>
        <v/>
      </c>
      <c r="O56" t="inlineStr">
        <is>
          <t>To research</t>
        </is>
      </c>
      <c r="P56" t="inlineStr"/>
    </row>
    <row r="57">
      <c r="A57" t="inlineStr">
        <is>
          <t>pakistani basmati rice supplier uae</t>
        </is>
      </c>
      <c r="B57" t="inlineStr">
        <is>
          <t>Wholesale/B2B</t>
        </is>
      </c>
      <c r="C57" t="inlineStr">
        <is>
          <t>Basmati</t>
        </is>
      </c>
      <c r="D57" t="inlineStr">
        <is>
          <t>Transactional (B2B)</t>
        </is>
      </c>
      <c r="E57" t="inlineStr">
        <is>
          <t>BOFU</t>
        </is>
      </c>
      <c r="F57" t="inlineStr">
        <is>
          <t>UAE</t>
        </is>
      </c>
      <c r="G57" t="inlineStr">
        <is>
          <t>Wholesale landing page</t>
        </is>
      </c>
      <c r="H57" t="inlineStr">
        <is>
          <t>Landing</t>
        </is>
      </c>
      <c r="I57">
        <f>IFERROR(VLOOKUP($A57,'Semrush Import'!$A:$D,2,FALSE),"")</f>
        <v/>
      </c>
      <c r="J57">
        <f>IFERROR(VLOOKUP($A57,'Semrush Import'!$A:$D,3,FALSE),"")</f>
        <v/>
      </c>
      <c r="K57">
        <f>IFERROR(VLOOKUP($A57,'Semrush Import'!$A:$D,4,FALSE),"")</f>
        <v/>
      </c>
      <c r="L57">
        <f>IFERROR(VLOOKUP($A57,'KP Import'!$A:$B,2,FALSE),"")</f>
        <v/>
      </c>
      <c r="M57">
        <f>IF(I57="","",ROUND(I57/(J57+10),1))</f>
        <v/>
      </c>
      <c r="N57">
        <f>IF(M57="","",IF(M57&gt;=20,"A - Go first",IF(M57&gt;=5,"B - Next","C - Later")))</f>
        <v/>
      </c>
      <c r="O57" t="inlineStr">
        <is>
          <t>To research</t>
        </is>
      </c>
      <c r="P57" t="inlineStr"/>
    </row>
    <row r="58">
      <c r="A58" t="inlineStr">
        <is>
          <t>aged basmati rice</t>
        </is>
      </c>
      <c r="B58" t="inlineStr">
        <is>
          <t>Core product</t>
        </is>
      </c>
      <c r="C58" t="inlineStr">
        <is>
          <t>Basmati</t>
        </is>
      </c>
      <c r="D58" t="inlineStr">
        <is>
          <t>Informational/Commercial</t>
        </is>
      </c>
      <c r="E58" t="inlineStr">
        <is>
          <t>TOFU</t>
        </is>
      </c>
      <c r="F58" t="inlineStr">
        <is>
          <t>UAE (generic)</t>
        </is>
      </c>
      <c r="G58" t="inlineStr">
        <is>
          <t>Basmati Rice category</t>
        </is>
      </c>
      <c r="H58" t="inlineStr">
        <is>
          <t>Category</t>
        </is>
      </c>
      <c r="I58">
        <f>IFERROR(VLOOKUP($A58,'Semrush Import'!$A:$D,2,FALSE),"")</f>
        <v/>
      </c>
      <c r="J58">
        <f>IFERROR(VLOOKUP($A58,'Semrush Import'!$A:$D,3,FALSE),"")</f>
        <v/>
      </c>
      <c r="K58">
        <f>IFERROR(VLOOKUP($A58,'Semrush Import'!$A:$D,4,FALSE),"")</f>
        <v/>
      </c>
      <c r="L58">
        <f>IFERROR(VLOOKUP($A58,'KP Import'!$A:$B,2,FALSE),"")</f>
        <v/>
      </c>
      <c r="M58">
        <f>IF(I58="","",ROUND(I58/(J58+10),1))</f>
        <v/>
      </c>
      <c r="N58">
        <f>IF(M58="","",IF(M58&gt;=20,"A - Go first",IF(M58&gt;=5,"B - Next","C - Later")))</f>
        <v/>
      </c>
      <c r="O58" t="inlineStr">
        <is>
          <t>To research</t>
        </is>
      </c>
      <c r="P58" t="inlineStr"/>
    </row>
    <row r="59">
      <c r="A59" t="inlineStr">
        <is>
          <t>buy aged basmati rice online</t>
        </is>
      </c>
      <c r="B59" t="inlineStr">
        <is>
          <t>Transactional</t>
        </is>
      </c>
      <c r="C59" t="inlineStr">
        <is>
          <t>Basmati</t>
        </is>
      </c>
      <c r="D59" t="inlineStr">
        <is>
          <t>Transactional</t>
        </is>
      </c>
      <c r="E59" t="inlineStr">
        <is>
          <t>BOFU</t>
        </is>
      </c>
      <c r="F59" t="inlineStr">
        <is>
          <t>UAE (generic)</t>
        </is>
      </c>
      <c r="G59" t="inlineStr">
        <is>
          <t>Basmati Rice category</t>
        </is>
      </c>
      <c r="H59" t="inlineStr">
        <is>
          <t>Category</t>
        </is>
      </c>
      <c r="I59">
        <f>IFERROR(VLOOKUP($A59,'Semrush Import'!$A:$D,2,FALSE),"")</f>
        <v/>
      </c>
      <c r="J59">
        <f>IFERROR(VLOOKUP($A59,'Semrush Import'!$A:$D,3,FALSE),"")</f>
        <v/>
      </c>
      <c r="K59">
        <f>IFERROR(VLOOKUP($A59,'Semrush Import'!$A:$D,4,FALSE),"")</f>
        <v/>
      </c>
      <c r="L59">
        <f>IFERROR(VLOOKUP($A59,'KP Import'!$A:$B,2,FALSE),"")</f>
        <v/>
      </c>
      <c r="M59">
        <f>IF(I59="","",ROUND(I59/(J59+10),1))</f>
        <v/>
      </c>
      <c r="N59">
        <f>IF(M59="","",IF(M59&gt;=20,"A - Go first",IF(M59&gt;=5,"B - Next","C - Later")))</f>
        <v/>
      </c>
      <c r="O59" t="inlineStr">
        <is>
          <t>To research</t>
        </is>
      </c>
      <c r="P59" t="inlineStr"/>
    </row>
    <row r="60">
      <c r="A60" t="inlineStr">
        <is>
          <t>aged basmati rice price in uae</t>
        </is>
      </c>
      <c r="B60" t="inlineStr">
        <is>
          <t>Price</t>
        </is>
      </c>
      <c r="C60" t="inlineStr">
        <is>
          <t>Basmati</t>
        </is>
      </c>
      <c r="D60" t="inlineStr">
        <is>
          <t>Commercial/Transactional</t>
        </is>
      </c>
      <c r="E60" t="inlineStr">
        <is>
          <t>MOFU</t>
        </is>
      </c>
      <c r="F60" t="inlineStr">
        <is>
          <t>UAE</t>
        </is>
      </c>
      <c r="G60" t="inlineStr">
        <is>
          <t>Basmati Rice category</t>
        </is>
      </c>
      <c r="H60" t="inlineStr">
        <is>
          <t>Category</t>
        </is>
      </c>
      <c r="I60">
        <f>IFERROR(VLOOKUP($A60,'Semrush Import'!$A:$D,2,FALSE),"")</f>
        <v/>
      </c>
      <c r="J60">
        <f>IFERROR(VLOOKUP($A60,'Semrush Import'!$A:$D,3,FALSE),"")</f>
        <v/>
      </c>
      <c r="K60">
        <f>IFERROR(VLOOKUP($A60,'Semrush Import'!$A:$D,4,FALSE),"")</f>
        <v/>
      </c>
      <c r="L60">
        <f>IFERROR(VLOOKUP($A60,'KP Import'!$A:$B,2,FALSE),"")</f>
        <v/>
      </c>
      <c r="M60">
        <f>IF(I60="","",ROUND(I60/(J60+10),1))</f>
        <v/>
      </c>
      <c r="N60">
        <f>IF(M60="","",IF(M60&gt;=20,"A - Go first",IF(M60&gt;=5,"B - Next","C - Later")))</f>
        <v/>
      </c>
      <c r="O60" t="inlineStr">
        <is>
          <t>To research</t>
        </is>
      </c>
      <c r="P60" t="inlineStr"/>
    </row>
    <row r="61">
      <c r="A61" t="inlineStr">
        <is>
          <t>aged basmati rice price in dubai</t>
        </is>
      </c>
      <c r="B61" t="inlineStr">
        <is>
          <t>Price</t>
        </is>
      </c>
      <c r="C61" t="inlineStr">
        <is>
          <t>Basmati</t>
        </is>
      </c>
      <c r="D61" t="inlineStr">
        <is>
          <t>Commercial/Transactional</t>
        </is>
      </c>
      <c r="E61" t="inlineStr">
        <is>
          <t>MOFU</t>
        </is>
      </c>
      <c r="F61" t="inlineStr">
        <is>
          <t>Dubai</t>
        </is>
      </c>
      <c r="G61" t="inlineStr">
        <is>
          <t>Basmati Rice category</t>
        </is>
      </c>
      <c r="H61" t="inlineStr">
        <is>
          <t>Category</t>
        </is>
      </c>
      <c r="I61">
        <f>IFERROR(VLOOKUP($A61,'Semrush Import'!$A:$D,2,FALSE),"")</f>
        <v/>
      </c>
      <c r="J61">
        <f>IFERROR(VLOOKUP($A61,'Semrush Import'!$A:$D,3,FALSE),"")</f>
        <v/>
      </c>
      <c r="K61">
        <f>IFERROR(VLOOKUP($A61,'Semrush Import'!$A:$D,4,FALSE),"")</f>
        <v/>
      </c>
      <c r="L61">
        <f>IFERROR(VLOOKUP($A61,'KP Import'!$A:$B,2,FALSE),"")</f>
        <v/>
      </c>
      <c r="M61">
        <f>IF(I61="","",ROUND(I61/(J61+10),1))</f>
        <v/>
      </c>
      <c r="N61">
        <f>IF(M61="","",IF(M61&gt;=20,"A - Go first",IF(M61&gt;=5,"B - Next","C - Later")))</f>
        <v/>
      </c>
      <c r="O61" t="inlineStr">
        <is>
          <t>To research</t>
        </is>
      </c>
      <c r="P61" t="inlineStr"/>
    </row>
    <row r="62">
      <c r="A62" t="inlineStr">
        <is>
          <t>aged basmati rice online dubai</t>
        </is>
      </c>
      <c r="B62" t="inlineStr">
        <is>
          <t>Transactional</t>
        </is>
      </c>
      <c r="C62" t="inlineStr">
        <is>
          <t>Basmati</t>
        </is>
      </c>
      <c r="D62" t="inlineStr">
        <is>
          <t>Transactional</t>
        </is>
      </c>
      <c r="E62" t="inlineStr">
        <is>
          <t>BOFU</t>
        </is>
      </c>
      <c r="F62" t="inlineStr">
        <is>
          <t>Dubai</t>
        </is>
      </c>
      <c r="G62" t="inlineStr">
        <is>
          <t>Basmati Rice category</t>
        </is>
      </c>
      <c r="H62" t="inlineStr">
        <is>
          <t>Category</t>
        </is>
      </c>
      <c r="I62">
        <f>IFERROR(VLOOKUP($A62,'Semrush Import'!$A:$D,2,FALSE),"")</f>
        <v/>
      </c>
      <c r="J62">
        <f>IFERROR(VLOOKUP($A62,'Semrush Import'!$A:$D,3,FALSE),"")</f>
        <v/>
      </c>
      <c r="K62">
        <f>IFERROR(VLOOKUP($A62,'Semrush Import'!$A:$D,4,FALSE),"")</f>
        <v/>
      </c>
      <c r="L62">
        <f>IFERROR(VLOOKUP($A62,'KP Import'!$A:$B,2,FALSE),"")</f>
        <v/>
      </c>
      <c r="M62">
        <f>IF(I62="","",ROUND(I62/(J62+10),1))</f>
        <v/>
      </c>
      <c r="N62">
        <f>IF(M62="","",IF(M62&gt;=20,"A - Go first",IF(M62&gt;=5,"B - Next","C - Later")))</f>
        <v/>
      </c>
      <c r="O62" t="inlineStr">
        <is>
          <t>To research</t>
        </is>
      </c>
      <c r="P62" t="inlineStr"/>
    </row>
    <row r="63">
      <c r="A63" t="inlineStr">
        <is>
          <t>aged basmati rice wholesale dubai</t>
        </is>
      </c>
      <c r="B63" t="inlineStr">
        <is>
          <t>Wholesale/B2B</t>
        </is>
      </c>
      <c r="C63" t="inlineStr">
        <is>
          <t>Basmati</t>
        </is>
      </c>
      <c r="D63" t="inlineStr">
        <is>
          <t>Transactional (B2B)</t>
        </is>
      </c>
      <c r="E63" t="inlineStr">
        <is>
          <t>BOFU</t>
        </is>
      </c>
      <c r="F63" t="inlineStr">
        <is>
          <t>Dubai</t>
        </is>
      </c>
      <c r="G63" t="inlineStr">
        <is>
          <t>Wholesale landing page</t>
        </is>
      </c>
      <c r="H63" t="inlineStr">
        <is>
          <t>Landing</t>
        </is>
      </c>
      <c r="I63">
        <f>IFERROR(VLOOKUP($A63,'Semrush Import'!$A:$D,2,FALSE),"")</f>
        <v/>
      </c>
      <c r="J63">
        <f>IFERROR(VLOOKUP($A63,'Semrush Import'!$A:$D,3,FALSE),"")</f>
        <v/>
      </c>
      <c r="K63">
        <f>IFERROR(VLOOKUP($A63,'Semrush Import'!$A:$D,4,FALSE),"")</f>
        <v/>
      </c>
      <c r="L63">
        <f>IFERROR(VLOOKUP($A63,'KP Import'!$A:$B,2,FALSE),"")</f>
        <v/>
      </c>
      <c r="M63">
        <f>IF(I63="","",ROUND(I63/(J63+10),1))</f>
        <v/>
      </c>
      <c r="N63">
        <f>IF(M63="","",IF(M63&gt;=20,"A - Go first",IF(M63&gt;=5,"B - Next","C - Later")))</f>
        <v/>
      </c>
      <c r="O63" t="inlineStr">
        <is>
          <t>To research</t>
        </is>
      </c>
      <c r="P63" t="inlineStr"/>
    </row>
    <row r="64">
      <c r="A64" t="inlineStr">
        <is>
          <t>aged basmati rice supplier uae</t>
        </is>
      </c>
      <c r="B64" t="inlineStr">
        <is>
          <t>Wholesale/B2B</t>
        </is>
      </c>
      <c r="C64" t="inlineStr">
        <is>
          <t>Basmati</t>
        </is>
      </c>
      <c r="D64" t="inlineStr">
        <is>
          <t>Transactional (B2B)</t>
        </is>
      </c>
      <c r="E64" t="inlineStr">
        <is>
          <t>BOFU</t>
        </is>
      </c>
      <c r="F64" t="inlineStr">
        <is>
          <t>UAE</t>
        </is>
      </c>
      <c r="G64" t="inlineStr">
        <is>
          <t>Wholesale landing page</t>
        </is>
      </c>
      <c r="H64" t="inlineStr">
        <is>
          <t>Landing</t>
        </is>
      </c>
      <c r="I64">
        <f>IFERROR(VLOOKUP($A64,'Semrush Import'!$A:$D,2,FALSE),"")</f>
        <v/>
      </c>
      <c r="J64">
        <f>IFERROR(VLOOKUP($A64,'Semrush Import'!$A:$D,3,FALSE),"")</f>
        <v/>
      </c>
      <c r="K64">
        <f>IFERROR(VLOOKUP($A64,'Semrush Import'!$A:$D,4,FALSE),"")</f>
        <v/>
      </c>
      <c r="L64">
        <f>IFERROR(VLOOKUP($A64,'KP Import'!$A:$B,2,FALSE),"")</f>
        <v/>
      </c>
      <c r="M64">
        <f>IF(I64="","",ROUND(I64/(J64+10),1))</f>
        <v/>
      </c>
      <c r="N64">
        <f>IF(M64="","",IF(M64&gt;=20,"A - Go first",IF(M64&gt;=5,"B - Next","C - Later")))</f>
        <v/>
      </c>
      <c r="O64" t="inlineStr">
        <is>
          <t>To research</t>
        </is>
      </c>
      <c r="P64" t="inlineStr"/>
    </row>
    <row r="65">
      <c r="A65" t="inlineStr">
        <is>
          <t>extra long grain basmati rice</t>
        </is>
      </c>
      <c r="B65" t="inlineStr">
        <is>
          <t>Core product</t>
        </is>
      </c>
      <c r="C65" t="inlineStr">
        <is>
          <t>Basmati</t>
        </is>
      </c>
      <c r="D65" t="inlineStr">
        <is>
          <t>Informational/Commercial</t>
        </is>
      </c>
      <c r="E65" t="inlineStr">
        <is>
          <t>TOFU</t>
        </is>
      </c>
      <c r="F65" t="inlineStr">
        <is>
          <t>UAE (generic)</t>
        </is>
      </c>
      <c r="G65" t="inlineStr">
        <is>
          <t>Basmati Rice category</t>
        </is>
      </c>
      <c r="H65" t="inlineStr">
        <is>
          <t>Category</t>
        </is>
      </c>
      <c r="I65">
        <f>IFERROR(VLOOKUP($A65,'Semrush Import'!$A:$D,2,FALSE),"")</f>
        <v/>
      </c>
      <c r="J65">
        <f>IFERROR(VLOOKUP($A65,'Semrush Import'!$A:$D,3,FALSE),"")</f>
        <v/>
      </c>
      <c r="K65">
        <f>IFERROR(VLOOKUP($A65,'Semrush Import'!$A:$D,4,FALSE),"")</f>
        <v/>
      </c>
      <c r="L65">
        <f>IFERROR(VLOOKUP($A65,'KP Import'!$A:$B,2,FALSE),"")</f>
        <v/>
      </c>
      <c r="M65">
        <f>IF(I65="","",ROUND(I65/(J65+10),1))</f>
        <v/>
      </c>
      <c r="N65">
        <f>IF(M65="","",IF(M65&gt;=20,"A - Go first",IF(M65&gt;=5,"B - Next","C - Later")))</f>
        <v/>
      </c>
      <c r="O65" t="inlineStr">
        <is>
          <t>To research</t>
        </is>
      </c>
      <c r="P65" t="inlineStr"/>
    </row>
    <row r="66">
      <c r="A66" t="inlineStr">
        <is>
          <t>buy extra long grain basmati rice online</t>
        </is>
      </c>
      <c r="B66" t="inlineStr">
        <is>
          <t>Transactional</t>
        </is>
      </c>
      <c r="C66" t="inlineStr">
        <is>
          <t>Basmati</t>
        </is>
      </c>
      <c r="D66" t="inlineStr">
        <is>
          <t>Transactional</t>
        </is>
      </c>
      <c r="E66" t="inlineStr">
        <is>
          <t>BOFU</t>
        </is>
      </c>
      <c r="F66" t="inlineStr">
        <is>
          <t>UAE (generic)</t>
        </is>
      </c>
      <c r="G66" t="inlineStr">
        <is>
          <t>Basmati Rice category</t>
        </is>
      </c>
      <c r="H66" t="inlineStr">
        <is>
          <t>Category</t>
        </is>
      </c>
      <c r="I66">
        <f>IFERROR(VLOOKUP($A66,'Semrush Import'!$A:$D,2,FALSE),"")</f>
        <v/>
      </c>
      <c r="J66">
        <f>IFERROR(VLOOKUP($A66,'Semrush Import'!$A:$D,3,FALSE),"")</f>
        <v/>
      </c>
      <c r="K66">
        <f>IFERROR(VLOOKUP($A66,'Semrush Import'!$A:$D,4,FALSE),"")</f>
        <v/>
      </c>
      <c r="L66">
        <f>IFERROR(VLOOKUP($A66,'KP Import'!$A:$B,2,FALSE),"")</f>
        <v/>
      </c>
      <c r="M66">
        <f>IF(I66="","",ROUND(I66/(J66+10),1))</f>
        <v/>
      </c>
      <c r="N66">
        <f>IF(M66="","",IF(M66&gt;=20,"A - Go first",IF(M66&gt;=5,"B - Next","C - Later")))</f>
        <v/>
      </c>
      <c r="O66" t="inlineStr">
        <is>
          <t>To research</t>
        </is>
      </c>
      <c r="P66" t="inlineStr"/>
    </row>
    <row r="67">
      <c r="A67" t="inlineStr">
        <is>
          <t>extra long grain basmati rice price in uae</t>
        </is>
      </c>
      <c r="B67" t="inlineStr">
        <is>
          <t>Price</t>
        </is>
      </c>
      <c r="C67" t="inlineStr">
        <is>
          <t>Basmati</t>
        </is>
      </c>
      <c r="D67" t="inlineStr">
        <is>
          <t>Commercial/Transactional</t>
        </is>
      </c>
      <c r="E67" t="inlineStr">
        <is>
          <t>MOFU</t>
        </is>
      </c>
      <c r="F67" t="inlineStr">
        <is>
          <t>UAE</t>
        </is>
      </c>
      <c r="G67" t="inlineStr">
        <is>
          <t>Basmati Rice category</t>
        </is>
      </c>
      <c r="H67" t="inlineStr">
        <is>
          <t>Category</t>
        </is>
      </c>
      <c r="I67">
        <f>IFERROR(VLOOKUP($A67,'Semrush Import'!$A:$D,2,FALSE),"")</f>
        <v/>
      </c>
      <c r="J67">
        <f>IFERROR(VLOOKUP($A67,'Semrush Import'!$A:$D,3,FALSE),"")</f>
        <v/>
      </c>
      <c r="K67">
        <f>IFERROR(VLOOKUP($A67,'Semrush Import'!$A:$D,4,FALSE),"")</f>
        <v/>
      </c>
      <c r="L67">
        <f>IFERROR(VLOOKUP($A67,'KP Import'!$A:$B,2,FALSE),"")</f>
        <v/>
      </c>
      <c r="M67">
        <f>IF(I67="","",ROUND(I67/(J67+10),1))</f>
        <v/>
      </c>
      <c r="N67">
        <f>IF(M67="","",IF(M67&gt;=20,"A - Go first",IF(M67&gt;=5,"B - Next","C - Later")))</f>
        <v/>
      </c>
      <c r="O67" t="inlineStr">
        <is>
          <t>To research</t>
        </is>
      </c>
      <c r="P67" t="inlineStr"/>
    </row>
    <row r="68">
      <c r="A68" t="inlineStr">
        <is>
          <t>extra long grain basmati rice price in dubai</t>
        </is>
      </c>
      <c r="B68" t="inlineStr">
        <is>
          <t>Price</t>
        </is>
      </c>
      <c r="C68" t="inlineStr">
        <is>
          <t>Basmati</t>
        </is>
      </c>
      <c r="D68" t="inlineStr">
        <is>
          <t>Commercial/Transactional</t>
        </is>
      </c>
      <c r="E68" t="inlineStr">
        <is>
          <t>MOFU</t>
        </is>
      </c>
      <c r="F68" t="inlineStr">
        <is>
          <t>Dubai</t>
        </is>
      </c>
      <c r="G68" t="inlineStr">
        <is>
          <t>Basmati Rice category</t>
        </is>
      </c>
      <c r="H68" t="inlineStr">
        <is>
          <t>Category</t>
        </is>
      </c>
      <c r="I68">
        <f>IFERROR(VLOOKUP($A68,'Semrush Import'!$A:$D,2,FALSE),"")</f>
        <v/>
      </c>
      <c r="J68">
        <f>IFERROR(VLOOKUP($A68,'Semrush Import'!$A:$D,3,FALSE),"")</f>
        <v/>
      </c>
      <c r="K68">
        <f>IFERROR(VLOOKUP($A68,'Semrush Import'!$A:$D,4,FALSE),"")</f>
        <v/>
      </c>
      <c r="L68">
        <f>IFERROR(VLOOKUP($A68,'KP Import'!$A:$B,2,FALSE),"")</f>
        <v/>
      </c>
      <c r="M68">
        <f>IF(I68="","",ROUND(I68/(J68+10),1))</f>
        <v/>
      </c>
      <c r="N68">
        <f>IF(M68="","",IF(M68&gt;=20,"A - Go first",IF(M68&gt;=5,"B - Next","C - Later")))</f>
        <v/>
      </c>
      <c r="O68" t="inlineStr">
        <is>
          <t>To research</t>
        </is>
      </c>
      <c r="P68" t="inlineStr"/>
    </row>
    <row r="69">
      <c r="A69" t="inlineStr">
        <is>
          <t>extra long grain basmati rice online dubai</t>
        </is>
      </c>
      <c r="B69" t="inlineStr">
        <is>
          <t>Transactional</t>
        </is>
      </c>
      <c r="C69" t="inlineStr">
        <is>
          <t>Basmati</t>
        </is>
      </c>
      <c r="D69" t="inlineStr">
        <is>
          <t>Transactional</t>
        </is>
      </c>
      <c r="E69" t="inlineStr">
        <is>
          <t>BOFU</t>
        </is>
      </c>
      <c r="F69" t="inlineStr">
        <is>
          <t>Dubai</t>
        </is>
      </c>
      <c r="G69" t="inlineStr">
        <is>
          <t>Basmati Rice category</t>
        </is>
      </c>
      <c r="H69" t="inlineStr">
        <is>
          <t>Category</t>
        </is>
      </c>
      <c r="I69">
        <f>IFERROR(VLOOKUP($A69,'Semrush Import'!$A:$D,2,FALSE),"")</f>
        <v/>
      </c>
      <c r="J69">
        <f>IFERROR(VLOOKUP($A69,'Semrush Import'!$A:$D,3,FALSE),"")</f>
        <v/>
      </c>
      <c r="K69">
        <f>IFERROR(VLOOKUP($A69,'Semrush Import'!$A:$D,4,FALSE),"")</f>
        <v/>
      </c>
      <c r="L69">
        <f>IFERROR(VLOOKUP($A69,'KP Import'!$A:$B,2,FALSE),"")</f>
        <v/>
      </c>
      <c r="M69">
        <f>IF(I69="","",ROUND(I69/(J69+10),1))</f>
        <v/>
      </c>
      <c r="N69">
        <f>IF(M69="","",IF(M69&gt;=20,"A - Go first",IF(M69&gt;=5,"B - Next","C - Later")))</f>
        <v/>
      </c>
      <c r="O69" t="inlineStr">
        <is>
          <t>To research</t>
        </is>
      </c>
      <c r="P69" t="inlineStr"/>
    </row>
    <row r="70">
      <c r="A70" t="inlineStr">
        <is>
          <t>extra long grain basmati rice wholesale dubai</t>
        </is>
      </c>
      <c r="B70" t="inlineStr">
        <is>
          <t>Wholesale/B2B</t>
        </is>
      </c>
      <c r="C70" t="inlineStr">
        <is>
          <t>Basmati</t>
        </is>
      </c>
      <c r="D70" t="inlineStr">
        <is>
          <t>Transactional (B2B)</t>
        </is>
      </c>
      <c r="E70" t="inlineStr">
        <is>
          <t>BOFU</t>
        </is>
      </c>
      <c r="F70" t="inlineStr">
        <is>
          <t>Dubai</t>
        </is>
      </c>
      <c r="G70" t="inlineStr">
        <is>
          <t>Wholesale landing page</t>
        </is>
      </c>
      <c r="H70" t="inlineStr">
        <is>
          <t>Landing</t>
        </is>
      </c>
      <c r="I70">
        <f>IFERROR(VLOOKUP($A70,'Semrush Import'!$A:$D,2,FALSE),"")</f>
        <v/>
      </c>
      <c r="J70">
        <f>IFERROR(VLOOKUP($A70,'Semrush Import'!$A:$D,3,FALSE),"")</f>
        <v/>
      </c>
      <c r="K70">
        <f>IFERROR(VLOOKUP($A70,'Semrush Import'!$A:$D,4,FALSE),"")</f>
        <v/>
      </c>
      <c r="L70">
        <f>IFERROR(VLOOKUP($A70,'KP Import'!$A:$B,2,FALSE),"")</f>
        <v/>
      </c>
      <c r="M70">
        <f>IF(I70="","",ROUND(I70/(J70+10),1))</f>
        <v/>
      </c>
      <c r="N70">
        <f>IF(M70="","",IF(M70&gt;=20,"A - Go first",IF(M70&gt;=5,"B - Next","C - Later")))</f>
        <v/>
      </c>
      <c r="O70" t="inlineStr">
        <is>
          <t>To research</t>
        </is>
      </c>
      <c r="P70" t="inlineStr"/>
    </row>
    <row r="71">
      <c r="A71" t="inlineStr">
        <is>
          <t>extra long grain basmati rice supplier uae</t>
        </is>
      </c>
      <c r="B71" t="inlineStr">
        <is>
          <t>Wholesale/B2B</t>
        </is>
      </c>
      <c r="C71" t="inlineStr">
        <is>
          <t>Basmati</t>
        </is>
      </c>
      <c r="D71" t="inlineStr">
        <is>
          <t>Transactional (B2B)</t>
        </is>
      </c>
      <c r="E71" t="inlineStr">
        <is>
          <t>BOFU</t>
        </is>
      </c>
      <c r="F71" t="inlineStr">
        <is>
          <t>UAE</t>
        </is>
      </c>
      <c r="G71" t="inlineStr">
        <is>
          <t>Wholesale landing page</t>
        </is>
      </c>
      <c r="H71" t="inlineStr">
        <is>
          <t>Landing</t>
        </is>
      </c>
      <c r="I71">
        <f>IFERROR(VLOOKUP($A71,'Semrush Import'!$A:$D,2,FALSE),"")</f>
        <v/>
      </c>
      <c r="J71">
        <f>IFERROR(VLOOKUP($A71,'Semrush Import'!$A:$D,3,FALSE),"")</f>
        <v/>
      </c>
      <c r="K71">
        <f>IFERROR(VLOOKUP($A71,'Semrush Import'!$A:$D,4,FALSE),"")</f>
        <v/>
      </c>
      <c r="L71">
        <f>IFERROR(VLOOKUP($A71,'KP Import'!$A:$B,2,FALSE),"")</f>
        <v/>
      </c>
      <c r="M71">
        <f>IF(I71="","",ROUND(I71/(J71+10),1))</f>
        <v/>
      </c>
      <c r="N71">
        <f>IF(M71="","",IF(M71&gt;=20,"A - Go first",IF(M71&gt;=5,"B - Next","C - Later")))</f>
        <v/>
      </c>
      <c r="O71" t="inlineStr">
        <is>
          <t>To research</t>
        </is>
      </c>
      <c r="P71" t="inlineStr"/>
    </row>
    <row r="72">
      <c r="A72" t="inlineStr">
        <is>
          <t>brown basmati rice</t>
        </is>
      </c>
      <c r="B72" t="inlineStr">
        <is>
          <t>Core product</t>
        </is>
      </c>
      <c r="C72" t="inlineStr">
        <is>
          <t>Basmati</t>
        </is>
      </c>
      <c r="D72" t="inlineStr">
        <is>
          <t>Informational/Commercial</t>
        </is>
      </c>
      <c r="E72" t="inlineStr">
        <is>
          <t>TOFU</t>
        </is>
      </c>
      <c r="F72" t="inlineStr">
        <is>
          <t>UAE (generic)</t>
        </is>
      </c>
      <c r="G72" t="inlineStr">
        <is>
          <t>Brown Rice category</t>
        </is>
      </c>
      <c r="H72" t="inlineStr">
        <is>
          <t>Category</t>
        </is>
      </c>
      <c r="I72">
        <f>IFERROR(VLOOKUP($A72,'Semrush Import'!$A:$D,2,FALSE),"")</f>
        <v/>
      </c>
      <c r="J72">
        <f>IFERROR(VLOOKUP($A72,'Semrush Import'!$A:$D,3,FALSE),"")</f>
        <v/>
      </c>
      <c r="K72">
        <f>IFERROR(VLOOKUP($A72,'Semrush Import'!$A:$D,4,FALSE),"")</f>
        <v/>
      </c>
      <c r="L72">
        <f>IFERROR(VLOOKUP($A72,'KP Import'!$A:$B,2,FALSE),"")</f>
        <v/>
      </c>
      <c r="M72">
        <f>IF(I72="","",ROUND(I72/(J72+10),1))</f>
        <v/>
      </c>
      <c r="N72">
        <f>IF(M72="","",IF(M72&gt;=20,"A - Go first",IF(M72&gt;=5,"B - Next","C - Later")))</f>
        <v/>
      </c>
      <c r="O72" t="inlineStr">
        <is>
          <t>To research</t>
        </is>
      </c>
      <c r="P72" t="inlineStr"/>
    </row>
    <row r="73">
      <c r="A73" t="inlineStr">
        <is>
          <t>buy brown basmati rice online</t>
        </is>
      </c>
      <c r="B73" t="inlineStr">
        <is>
          <t>Transactional</t>
        </is>
      </c>
      <c r="C73" t="inlineStr">
        <is>
          <t>Basmati</t>
        </is>
      </c>
      <c r="D73" t="inlineStr">
        <is>
          <t>Transactional</t>
        </is>
      </c>
      <c r="E73" t="inlineStr">
        <is>
          <t>BOFU</t>
        </is>
      </c>
      <c r="F73" t="inlineStr">
        <is>
          <t>UAE (generic)</t>
        </is>
      </c>
      <c r="G73" t="inlineStr">
        <is>
          <t>Brown Rice category</t>
        </is>
      </c>
      <c r="H73" t="inlineStr">
        <is>
          <t>Category</t>
        </is>
      </c>
      <c r="I73">
        <f>IFERROR(VLOOKUP($A73,'Semrush Import'!$A:$D,2,FALSE),"")</f>
        <v/>
      </c>
      <c r="J73">
        <f>IFERROR(VLOOKUP($A73,'Semrush Import'!$A:$D,3,FALSE),"")</f>
        <v/>
      </c>
      <c r="K73">
        <f>IFERROR(VLOOKUP($A73,'Semrush Import'!$A:$D,4,FALSE),"")</f>
        <v/>
      </c>
      <c r="L73">
        <f>IFERROR(VLOOKUP($A73,'KP Import'!$A:$B,2,FALSE),"")</f>
        <v/>
      </c>
      <c r="M73">
        <f>IF(I73="","",ROUND(I73/(J73+10),1))</f>
        <v/>
      </c>
      <c r="N73">
        <f>IF(M73="","",IF(M73&gt;=20,"A - Go first",IF(M73&gt;=5,"B - Next","C - Later")))</f>
        <v/>
      </c>
      <c r="O73" t="inlineStr">
        <is>
          <t>To research</t>
        </is>
      </c>
      <c r="P73" t="inlineStr"/>
    </row>
    <row r="74">
      <c r="A74" t="inlineStr">
        <is>
          <t>brown basmati rice price in uae</t>
        </is>
      </c>
      <c r="B74" t="inlineStr">
        <is>
          <t>Price</t>
        </is>
      </c>
      <c r="C74" t="inlineStr">
        <is>
          <t>Basmati</t>
        </is>
      </c>
      <c r="D74" t="inlineStr">
        <is>
          <t>Commercial/Transactional</t>
        </is>
      </c>
      <c r="E74" t="inlineStr">
        <is>
          <t>MOFU</t>
        </is>
      </c>
      <c r="F74" t="inlineStr">
        <is>
          <t>UAE</t>
        </is>
      </c>
      <c r="G74" t="inlineStr">
        <is>
          <t>Brown Rice category</t>
        </is>
      </c>
      <c r="H74" t="inlineStr">
        <is>
          <t>Category</t>
        </is>
      </c>
      <c r="I74">
        <f>IFERROR(VLOOKUP($A74,'Semrush Import'!$A:$D,2,FALSE),"")</f>
        <v/>
      </c>
      <c r="J74">
        <f>IFERROR(VLOOKUP($A74,'Semrush Import'!$A:$D,3,FALSE),"")</f>
        <v/>
      </c>
      <c r="K74">
        <f>IFERROR(VLOOKUP($A74,'Semrush Import'!$A:$D,4,FALSE),"")</f>
        <v/>
      </c>
      <c r="L74">
        <f>IFERROR(VLOOKUP($A74,'KP Import'!$A:$B,2,FALSE),"")</f>
        <v/>
      </c>
      <c r="M74">
        <f>IF(I74="","",ROUND(I74/(J74+10),1))</f>
        <v/>
      </c>
      <c r="N74">
        <f>IF(M74="","",IF(M74&gt;=20,"A - Go first",IF(M74&gt;=5,"B - Next","C - Later")))</f>
        <v/>
      </c>
      <c r="O74" t="inlineStr">
        <is>
          <t>To research</t>
        </is>
      </c>
      <c r="P74" t="inlineStr"/>
    </row>
    <row r="75">
      <c r="A75" t="inlineStr">
        <is>
          <t>brown basmati rice price in dubai</t>
        </is>
      </c>
      <c r="B75" t="inlineStr">
        <is>
          <t>Price</t>
        </is>
      </c>
      <c r="C75" t="inlineStr">
        <is>
          <t>Basmati</t>
        </is>
      </c>
      <c r="D75" t="inlineStr">
        <is>
          <t>Commercial/Transactional</t>
        </is>
      </c>
      <c r="E75" t="inlineStr">
        <is>
          <t>MOFU</t>
        </is>
      </c>
      <c r="F75" t="inlineStr">
        <is>
          <t>Dubai</t>
        </is>
      </c>
      <c r="G75" t="inlineStr">
        <is>
          <t>Brown Rice category</t>
        </is>
      </c>
      <c r="H75" t="inlineStr">
        <is>
          <t>Category</t>
        </is>
      </c>
      <c r="I75">
        <f>IFERROR(VLOOKUP($A75,'Semrush Import'!$A:$D,2,FALSE),"")</f>
        <v/>
      </c>
      <c r="J75">
        <f>IFERROR(VLOOKUP($A75,'Semrush Import'!$A:$D,3,FALSE),"")</f>
        <v/>
      </c>
      <c r="K75">
        <f>IFERROR(VLOOKUP($A75,'Semrush Import'!$A:$D,4,FALSE),"")</f>
        <v/>
      </c>
      <c r="L75">
        <f>IFERROR(VLOOKUP($A75,'KP Import'!$A:$B,2,FALSE),"")</f>
        <v/>
      </c>
      <c r="M75">
        <f>IF(I75="","",ROUND(I75/(J75+10),1))</f>
        <v/>
      </c>
      <c r="N75">
        <f>IF(M75="","",IF(M75&gt;=20,"A - Go first",IF(M75&gt;=5,"B - Next","C - Later")))</f>
        <v/>
      </c>
      <c r="O75" t="inlineStr">
        <is>
          <t>To research</t>
        </is>
      </c>
      <c r="P75" t="inlineStr"/>
    </row>
    <row r="76">
      <c r="A76" t="inlineStr">
        <is>
          <t>brown basmati rice online dubai</t>
        </is>
      </c>
      <c r="B76" t="inlineStr">
        <is>
          <t>Transactional</t>
        </is>
      </c>
      <c r="C76" t="inlineStr">
        <is>
          <t>Basmati</t>
        </is>
      </c>
      <c r="D76" t="inlineStr">
        <is>
          <t>Transactional</t>
        </is>
      </c>
      <c r="E76" t="inlineStr">
        <is>
          <t>BOFU</t>
        </is>
      </c>
      <c r="F76" t="inlineStr">
        <is>
          <t>Dubai</t>
        </is>
      </c>
      <c r="G76" t="inlineStr">
        <is>
          <t>Brown Rice category</t>
        </is>
      </c>
      <c r="H76" t="inlineStr">
        <is>
          <t>Category</t>
        </is>
      </c>
      <c r="I76">
        <f>IFERROR(VLOOKUP($A76,'Semrush Import'!$A:$D,2,FALSE),"")</f>
        <v/>
      </c>
      <c r="J76">
        <f>IFERROR(VLOOKUP($A76,'Semrush Import'!$A:$D,3,FALSE),"")</f>
        <v/>
      </c>
      <c r="K76">
        <f>IFERROR(VLOOKUP($A76,'Semrush Import'!$A:$D,4,FALSE),"")</f>
        <v/>
      </c>
      <c r="L76">
        <f>IFERROR(VLOOKUP($A76,'KP Import'!$A:$B,2,FALSE),"")</f>
        <v/>
      </c>
      <c r="M76">
        <f>IF(I76="","",ROUND(I76/(J76+10),1))</f>
        <v/>
      </c>
      <c r="N76">
        <f>IF(M76="","",IF(M76&gt;=20,"A - Go first",IF(M76&gt;=5,"B - Next","C - Later")))</f>
        <v/>
      </c>
      <c r="O76" t="inlineStr">
        <is>
          <t>To research</t>
        </is>
      </c>
      <c r="P76" t="inlineStr"/>
    </row>
    <row r="77">
      <c r="A77" t="inlineStr">
        <is>
          <t>brown basmati rice wholesale dubai</t>
        </is>
      </c>
      <c r="B77" t="inlineStr">
        <is>
          <t>Wholesale/B2B</t>
        </is>
      </c>
      <c r="C77" t="inlineStr">
        <is>
          <t>Basmati</t>
        </is>
      </c>
      <c r="D77" t="inlineStr">
        <is>
          <t>Transactional (B2B)</t>
        </is>
      </c>
      <c r="E77" t="inlineStr">
        <is>
          <t>BOFU</t>
        </is>
      </c>
      <c r="F77" t="inlineStr">
        <is>
          <t>Dubai</t>
        </is>
      </c>
      <c r="G77" t="inlineStr">
        <is>
          <t>Wholesale landing page</t>
        </is>
      </c>
      <c r="H77" t="inlineStr">
        <is>
          <t>Landing</t>
        </is>
      </c>
      <c r="I77">
        <f>IFERROR(VLOOKUP($A77,'Semrush Import'!$A:$D,2,FALSE),"")</f>
        <v/>
      </c>
      <c r="J77">
        <f>IFERROR(VLOOKUP($A77,'Semrush Import'!$A:$D,3,FALSE),"")</f>
        <v/>
      </c>
      <c r="K77">
        <f>IFERROR(VLOOKUP($A77,'Semrush Import'!$A:$D,4,FALSE),"")</f>
        <v/>
      </c>
      <c r="L77">
        <f>IFERROR(VLOOKUP($A77,'KP Import'!$A:$B,2,FALSE),"")</f>
        <v/>
      </c>
      <c r="M77">
        <f>IF(I77="","",ROUND(I77/(J77+10),1))</f>
        <v/>
      </c>
      <c r="N77">
        <f>IF(M77="","",IF(M77&gt;=20,"A - Go first",IF(M77&gt;=5,"B - Next","C - Later")))</f>
        <v/>
      </c>
      <c r="O77" t="inlineStr">
        <is>
          <t>To research</t>
        </is>
      </c>
      <c r="P77" t="inlineStr"/>
    </row>
    <row r="78">
      <c r="A78" t="inlineStr">
        <is>
          <t>brown basmati rice supplier uae</t>
        </is>
      </c>
      <c r="B78" t="inlineStr">
        <is>
          <t>Wholesale/B2B</t>
        </is>
      </c>
      <c r="C78" t="inlineStr">
        <is>
          <t>Basmati</t>
        </is>
      </c>
      <c r="D78" t="inlineStr">
        <is>
          <t>Transactional (B2B)</t>
        </is>
      </c>
      <c r="E78" t="inlineStr">
        <is>
          <t>BOFU</t>
        </is>
      </c>
      <c r="F78" t="inlineStr">
        <is>
          <t>UAE</t>
        </is>
      </c>
      <c r="G78" t="inlineStr">
        <is>
          <t>Wholesale landing page</t>
        </is>
      </c>
      <c r="H78" t="inlineStr">
        <is>
          <t>Landing</t>
        </is>
      </c>
      <c r="I78">
        <f>IFERROR(VLOOKUP($A78,'Semrush Import'!$A:$D,2,FALSE),"")</f>
        <v/>
      </c>
      <c r="J78">
        <f>IFERROR(VLOOKUP($A78,'Semrush Import'!$A:$D,3,FALSE),"")</f>
        <v/>
      </c>
      <c r="K78">
        <f>IFERROR(VLOOKUP($A78,'Semrush Import'!$A:$D,4,FALSE),"")</f>
        <v/>
      </c>
      <c r="L78">
        <f>IFERROR(VLOOKUP($A78,'KP Import'!$A:$B,2,FALSE),"")</f>
        <v/>
      </c>
      <c r="M78">
        <f>IF(I78="","",ROUND(I78/(J78+10),1))</f>
        <v/>
      </c>
      <c r="N78">
        <f>IF(M78="","",IF(M78&gt;=20,"A - Go first",IF(M78&gt;=5,"B - Next","C - Later")))</f>
        <v/>
      </c>
      <c r="O78" t="inlineStr">
        <is>
          <t>To research</t>
        </is>
      </c>
      <c r="P78" t="inlineStr"/>
    </row>
    <row r="79">
      <c r="A79" t="inlineStr">
        <is>
          <t>jasmine rice</t>
        </is>
      </c>
      <c r="B79" t="inlineStr">
        <is>
          <t>Core product</t>
        </is>
      </c>
      <c r="C79" t="inlineStr">
        <is>
          <t>Specialty</t>
        </is>
      </c>
      <c r="D79" t="inlineStr">
        <is>
          <t>Informational/Commercial</t>
        </is>
      </c>
      <c r="E79" t="inlineStr">
        <is>
          <t>TOFU</t>
        </is>
      </c>
      <c r="F79" t="inlineStr">
        <is>
          <t>UAE (generic)</t>
        </is>
      </c>
      <c r="G79" t="inlineStr">
        <is>
          <t>Jasmine Rice product page</t>
        </is>
      </c>
      <c r="H79" t="inlineStr">
        <is>
          <t>Product</t>
        </is>
      </c>
      <c r="I79">
        <f>IFERROR(VLOOKUP($A79,'Semrush Import'!$A:$D,2,FALSE),"")</f>
        <v/>
      </c>
      <c r="J79">
        <f>IFERROR(VLOOKUP($A79,'Semrush Import'!$A:$D,3,FALSE),"")</f>
        <v/>
      </c>
      <c r="K79">
        <f>IFERROR(VLOOKUP($A79,'Semrush Import'!$A:$D,4,FALSE),"")</f>
        <v/>
      </c>
      <c r="L79">
        <f>IFERROR(VLOOKUP($A79,'KP Import'!$A:$B,2,FALSE),"")</f>
        <v/>
      </c>
      <c r="M79">
        <f>IF(I79="","",ROUND(I79/(J79+10),1))</f>
        <v/>
      </c>
      <c r="N79">
        <f>IF(M79="","",IF(M79&gt;=20,"A - Go first",IF(M79&gt;=5,"B - Next","C - Later")))</f>
        <v/>
      </c>
      <c r="O79" t="inlineStr">
        <is>
          <t>To research</t>
        </is>
      </c>
      <c r="P79" t="inlineStr"/>
    </row>
    <row r="80">
      <c r="A80" t="inlineStr">
        <is>
          <t>buy jasmine rice online</t>
        </is>
      </c>
      <c r="B80" t="inlineStr">
        <is>
          <t>Transactional</t>
        </is>
      </c>
      <c r="C80" t="inlineStr">
        <is>
          <t>Specialty</t>
        </is>
      </c>
      <c r="D80" t="inlineStr">
        <is>
          <t>Transactional</t>
        </is>
      </c>
      <c r="E80" t="inlineStr">
        <is>
          <t>BOFU</t>
        </is>
      </c>
      <c r="F80" t="inlineStr">
        <is>
          <t>UAE (generic)</t>
        </is>
      </c>
      <c r="G80" t="inlineStr">
        <is>
          <t>Jasmine Rice product page</t>
        </is>
      </c>
      <c r="H80" t="inlineStr">
        <is>
          <t>Product</t>
        </is>
      </c>
      <c r="I80">
        <f>IFERROR(VLOOKUP($A80,'Semrush Import'!$A:$D,2,FALSE),"")</f>
        <v/>
      </c>
      <c r="J80">
        <f>IFERROR(VLOOKUP($A80,'Semrush Import'!$A:$D,3,FALSE),"")</f>
        <v/>
      </c>
      <c r="K80">
        <f>IFERROR(VLOOKUP($A80,'Semrush Import'!$A:$D,4,FALSE),"")</f>
        <v/>
      </c>
      <c r="L80">
        <f>IFERROR(VLOOKUP($A80,'KP Import'!$A:$B,2,FALSE),"")</f>
        <v/>
      </c>
      <c r="M80">
        <f>IF(I80="","",ROUND(I80/(J80+10),1))</f>
        <v/>
      </c>
      <c r="N80">
        <f>IF(M80="","",IF(M80&gt;=20,"A - Go first",IF(M80&gt;=5,"B - Next","C - Later")))</f>
        <v/>
      </c>
      <c r="O80" t="inlineStr">
        <is>
          <t>To research</t>
        </is>
      </c>
      <c r="P80" t="inlineStr"/>
    </row>
    <row r="81">
      <c r="A81" t="inlineStr">
        <is>
          <t>jasmine rice price in uae</t>
        </is>
      </c>
      <c r="B81" t="inlineStr">
        <is>
          <t>Price</t>
        </is>
      </c>
      <c r="C81" t="inlineStr">
        <is>
          <t>Specialty</t>
        </is>
      </c>
      <c r="D81" t="inlineStr">
        <is>
          <t>Commercial/Transactional</t>
        </is>
      </c>
      <c r="E81" t="inlineStr">
        <is>
          <t>MOFU</t>
        </is>
      </c>
      <c r="F81" t="inlineStr">
        <is>
          <t>UAE</t>
        </is>
      </c>
      <c r="G81" t="inlineStr">
        <is>
          <t>Jasmine Rice product page</t>
        </is>
      </c>
      <c r="H81" t="inlineStr">
        <is>
          <t>Product</t>
        </is>
      </c>
      <c r="I81">
        <f>IFERROR(VLOOKUP($A81,'Semrush Import'!$A:$D,2,FALSE),"")</f>
        <v/>
      </c>
      <c r="J81">
        <f>IFERROR(VLOOKUP($A81,'Semrush Import'!$A:$D,3,FALSE),"")</f>
        <v/>
      </c>
      <c r="K81">
        <f>IFERROR(VLOOKUP($A81,'Semrush Import'!$A:$D,4,FALSE),"")</f>
        <v/>
      </c>
      <c r="L81">
        <f>IFERROR(VLOOKUP($A81,'KP Import'!$A:$B,2,FALSE),"")</f>
        <v/>
      </c>
      <c r="M81">
        <f>IF(I81="","",ROUND(I81/(J81+10),1))</f>
        <v/>
      </c>
      <c r="N81">
        <f>IF(M81="","",IF(M81&gt;=20,"A - Go first",IF(M81&gt;=5,"B - Next","C - Later")))</f>
        <v/>
      </c>
      <c r="O81" t="inlineStr">
        <is>
          <t>To research</t>
        </is>
      </c>
      <c r="P81" t="inlineStr"/>
    </row>
    <row r="82">
      <c r="A82" t="inlineStr">
        <is>
          <t>jasmine rice price in dubai</t>
        </is>
      </c>
      <c r="B82" t="inlineStr">
        <is>
          <t>Price</t>
        </is>
      </c>
      <c r="C82" t="inlineStr">
        <is>
          <t>Specialty</t>
        </is>
      </c>
      <c r="D82" t="inlineStr">
        <is>
          <t>Commercial/Transactional</t>
        </is>
      </c>
      <c r="E82" t="inlineStr">
        <is>
          <t>MOFU</t>
        </is>
      </c>
      <c r="F82" t="inlineStr">
        <is>
          <t>Dubai</t>
        </is>
      </c>
      <c r="G82" t="inlineStr">
        <is>
          <t>Jasmine Rice product page</t>
        </is>
      </c>
      <c r="H82" t="inlineStr">
        <is>
          <t>Product</t>
        </is>
      </c>
      <c r="I82">
        <f>IFERROR(VLOOKUP($A82,'Semrush Import'!$A:$D,2,FALSE),"")</f>
        <v/>
      </c>
      <c r="J82">
        <f>IFERROR(VLOOKUP($A82,'Semrush Import'!$A:$D,3,FALSE),"")</f>
        <v/>
      </c>
      <c r="K82">
        <f>IFERROR(VLOOKUP($A82,'Semrush Import'!$A:$D,4,FALSE),"")</f>
        <v/>
      </c>
      <c r="L82">
        <f>IFERROR(VLOOKUP($A82,'KP Import'!$A:$B,2,FALSE),"")</f>
        <v/>
      </c>
      <c r="M82">
        <f>IF(I82="","",ROUND(I82/(J82+10),1))</f>
        <v/>
      </c>
      <c r="N82">
        <f>IF(M82="","",IF(M82&gt;=20,"A - Go first",IF(M82&gt;=5,"B - Next","C - Later")))</f>
        <v/>
      </c>
      <c r="O82" t="inlineStr">
        <is>
          <t>To research</t>
        </is>
      </c>
      <c r="P82" t="inlineStr"/>
    </row>
    <row r="83">
      <c r="A83" t="inlineStr">
        <is>
          <t>jasmine rice online dubai</t>
        </is>
      </c>
      <c r="B83" t="inlineStr">
        <is>
          <t>Transactional</t>
        </is>
      </c>
      <c r="C83" t="inlineStr">
        <is>
          <t>Specialty</t>
        </is>
      </c>
      <c r="D83" t="inlineStr">
        <is>
          <t>Transactional</t>
        </is>
      </c>
      <c r="E83" t="inlineStr">
        <is>
          <t>BOFU</t>
        </is>
      </c>
      <c r="F83" t="inlineStr">
        <is>
          <t>Dubai</t>
        </is>
      </c>
      <c r="G83" t="inlineStr">
        <is>
          <t>Jasmine Rice product page</t>
        </is>
      </c>
      <c r="H83" t="inlineStr">
        <is>
          <t>Product</t>
        </is>
      </c>
      <c r="I83">
        <f>IFERROR(VLOOKUP($A83,'Semrush Import'!$A:$D,2,FALSE),"")</f>
        <v/>
      </c>
      <c r="J83">
        <f>IFERROR(VLOOKUP($A83,'Semrush Import'!$A:$D,3,FALSE),"")</f>
        <v/>
      </c>
      <c r="K83">
        <f>IFERROR(VLOOKUP($A83,'Semrush Import'!$A:$D,4,FALSE),"")</f>
        <v/>
      </c>
      <c r="L83">
        <f>IFERROR(VLOOKUP($A83,'KP Import'!$A:$B,2,FALSE),"")</f>
        <v/>
      </c>
      <c r="M83">
        <f>IF(I83="","",ROUND(I83/(J83+10),1))</f>
        <v/>
      </c>
      <c r="N83">
        <f>IF(M83="","",IF(M83&gt;=20,"A - Go first",IF(M83&gt;=5,"B - Next","C - Later")))</f>
        <v/>
      </c>
      <c r="O83" t="inlineStr">
        <is>
          <t>To research</t>
        </is>
      </c>
      <c r="P83" t="inlineStr"/>
    </row>
    <row r="84">
      <c r="A84" t="inlineStr">
        <is>
          <t>jasmine rice wholesale dubai</t>
        </is>
      </c>
      <c r="B84" t="inlineStr">
        <is>
          <t>Wholesale/B2B</t>
        </is>
      </c>
      <c r="C84" t="inlineStr">
        <is>
          <t>Specialty</t>
        </is>
      </c>
      <c r="D84" t="inlineStr">
        <is>
          <t>Transactional (B2B)</t>
        </is>
      </c>
      <c r="E84" t="inlineStr">
        <is>
          <t>BOFU</t>
        </is>
      </c>
      <c r="F84" t="inlineStr">
        <is>
          <t>Dubai</t>
        </is>
      </c>
      <c r="G84" t="inlineStr">
        <is>
          <t>Wholesale landing page</t>
        </is>
      </c>
      <c r="H84" t="inlineStr">
        <is>
          <t>Landing</t>
        </is>
      </c>
      <c r="I84">
        <f>IFERROR(VLOOKUP($A84,'Semrush Import'!$A:$D,2,FALSE),"")</f>
        <v/>
      </c>
      <c r="J84">
        <f>IFERROR(VLOOKUP($A84,'Semrush Import'!$A:$D,3,FALSE),"")</f>
        <v/>
      </c>
      <c r="K84">
        <f>IFERROR(VLOOKUP($A84,'Semrush Import'!$A:$D,4,FALSE),"")</f>
        <v/>
      </c>
      <c r="L84">
        <f>IFERROR(VLOOKUP($A84,'KP Import'!$A:$B,2,FALSE),"")</f>
        <v/>
      </c>
      <c r="M84">
        <f>IF(I84="","",ROUND(I84/(J84+10),1))</f>
        <v/>
      </c>
      <c r="N84">
        <f>IF(M84="","",IF(M84&gt;=20,"A - Go first",IF(M84&gt;=5,"B - Next","C - Later")))</f>
        <v/>
      </c>
      <c r="O84" t="inlineStr">
        <is>
          <t>To research</t>
        </is>
      </c>
      <c r="P84" t="inlineStr"/>
    </row>
    <row r="85">
      <c r="A85" t="inlineStr">
        <is>
          <t>jasmine rice supplier uae</t>
        </is>
      </c>
      <c r="B85" t="inlineStr">
        <is>
          <t>Wholesale/B2B</t>
        </is>
      </c>
      <c r="C85" t="inlineStr">
        <is>
          <t>Specialty</t>
        </is>
      </c>
      <c r="D85" t="inlineStr">
        <is>
          <t>Transactional (B2B)</t>
        </is>
      </c>
      <c r="E85" t="inlineStr">
        <is>
          <t>BOFU</t>
        </is>
      </c>
      <c r="F85" t="inlineStr">
        <is>
          <t>UAE</t>
        </is>
      </c>
      <c r="G85" t="inlineStr">
        <is>
          <t>Wholesale landing page</t>
        </is>
      </c>
      <c r="H85" t="inlineStr">
        <is>
          <t>Landing</t>
        </is>
      </c>
      <c r="I85">
        <f>IFERROR(VLOOKUP($A85,'Semrush Import'!$A:$D,2,FALSE),"")</f>
        <v/>
      </c>
      <c r="J85">
        <f>IFERROR(VLOOKUP($A85,'Semrush Import'!$A:$D,3,FALSE),"")</f>
        <v/>
      </c>
      <c r="K85">
        <f>IFERROR(VLOOKUP($A85,'Semrush Import'!$A:$D,4,FALSE),"")</f>
        <v/>
      </c>
      <c r="L85">
        <f>IFERROR(VLOOKUP($A85,'KP Import'!$A:$B,2,FALSE),"")</f>
        <v/>
      </c>
      <c r="M85">
        <f>IF(I85="","",ROUND(I85/(J85+10),1))</f>
        <v/>
      </c>
      <c r="N85">
        <f>IF(M85="","",IF(M85&gt;=20,"A - Go first",IF(M85&gt;=5,"B - Next","C - Later")))</f>
        <v/>
      </c>
      <c r="O85" t="inlineStr">
        <is>
          <t>To research</t>
        </is>
      </c>
      <c r="P85" t="inlineStr"/>
    </row>
    <row r="86">
      <c r="A86" t="inlineStr">
        <is>
          <t>thai jasmine rice</t>
        </is>
      </c>
      <c r="B86" t="inlineStr">
        <is>
          <t>Core product</t>
        </is>
      </c>
      <c r="C86" t="inlineStr">
        <is>
          <t>Specialty</t>
        </is>
      </c>
      <c r="D86" t="inlineStr">
        <is>
          <t>Informational/Commercial</t>
        </is>
      </c>
      <c r="E86" t="inlineStr">
        <is>
          <t>TOFU</t>
        </is>
      </c>
      <c r="F86" t="inlineStr">
        <is>
          <t>UAE (generic)</t>
        </is>
      </c>
      <c r="G86" t="inlineStr">
        <is>
          <t>Jasmine Rice product page</t>
        </is>
      </c>
      <c r="H86" t="inlineStr">
        <is>
          <t>Product</t>
        </is>
      </c>
      <c r="I86">
        <f>IFERROR(VLOOKUP($A86,'Semrush Import'!$A:$D,2,FALSE),"")</f>
        <v/>
      </c>
      <c r="J86">
        <f>IFERROR(VLOOKUP($A86,'Semrush Import'!$A:$D,3,FALSE),"")</f>
        <v/>
      </c>
      <c r="K86">
        <f>IFERROR(VLOOKUP($A86,'Semrush Import'!$A:$D,4,FALSE),"")</f>
        <v/>
      </c>
      <c r="L86">
        <f>IFERROR(VLOOKUP($A86,'KP Import'!$A:$B,2,FALSE),"")</f>
        <v/>
      </c>
      <c r="M86">
        <f>IF(I86="","",ROUND(I86/(J86+10),1))</f>
        <v/>
      </c>
      <c r="N86">
        <f>IF(M86="","",IF(M86&gt;=20,"A - Go first",IF(M86&gt;=5,"B - Next","C - Later")))</f>
        <v/>
      </c>
      <c r="O86" t="inlineStr">
        <is>
          <t>To research</t>
        </is>
      </c>
      <c r="P86" t="inlineStr"/>
    </row>
    <row r="87">
      <c r="A87" t="inlineStr">
        <is>
          <t>buy thai jasmine rice online</t>
        </is>
      </c>
      <c r="B87" t="inlineStr">
        <is>
          <t>Transactional</t>
        </is>
      </c>
      <c r="C87" t="inlineStr">
        <is>
          <t>Specialty</t>
        </is>
      </c>
      <c r="D87" t="inlineStr">
        <is>
          <t>Transactional</t>
        </is>
      </c>
      <c r="E87" t="inlineStr">
        <is>
          <t>BOFU</t>
        </is>
      </c>
      <c r="F87" t="inlineStr">
        <is>
          <t>UAE (generic)</t>
        </is>
      </c>
      <c r="G87" t="inlineStr">
        <is>
          <t>Jasmine Rice product page</t>
        </is>
      </c>
      <c r="H87" t="inlineStr">
        <is>
          <t>Product</t>
        </is>
      </c>
      <c r="I87">
        <f>IFERROR(VLOOKUP($A87,'Semrush Import'!$A:$D,2,FALSE),"")</f>
        <v/>
      </c>
      <c r="J87">
        <f>IFERROR(VLOOKUP($A87,'Semrush Import'!$A:$D,3,FALSE),"")</f>
        <v/>
      </c>
      <c r="K87">
        <f>IFERROR(VLOOKUP($A87,'Semrush Import'!$A:$D,4,FALSE),"")</f>
        <v/>
      </c>
      <c r="L87">
        <f>IFERROR(VLOOKUP($A87,'KP Import'!$A:$B,2,FALSE),"")</f>
        <v/>
      </c>
      <c r="M87">
        <f>IF(I87="","",ROUND(I87/(J87+10),1))</f>
        <v/>
      </c>
      <c r="N87">
        <f>IF(M87="","",IF(M87&gt;=20,"A - Go first",IF(M87&gt;=5,"B - Next","C - Later")))</f>
        <v/>
      </c>
      <c r="O87" t="inlineStr">
        <is>
          <t>To research</t>
        </is>
      </c>
      <c r="P87" t="inlineStr"/>
    </row>
    <row r="88">
      <c r="A88" t="inlineStr">
        <is>
          <t>thai jasmine rice price in uae</t>
        </is>
      </c>
      <c r="B88" t="inlineStr">
        <is>
          <t>Price</t>
        </is>
      </c>
      <c r="C88" t="inlineStr">
        <is>
          <t>Specialty</t>
        </is>
      </c>
      <c r="D88" t="inlineStr">
        <is>
          <t>Commercial/Transactional</t>
        </is>
      </c>
      <c r="E88" t="inlineStr">
        <is>
          <t>MOFU</t>
        </is>
      </c>
      <c r="F88" t="inlineStr">
        <is>
          <t>UAE</t>
        </is>
      </c>
      <c r="G88" t="inlineStr">
        <is>
          <t>Jasmine Rice product page</t>
        </is>
      </c>
      <c r="H88" t="inlineStr">
        <is>
          <t>Product</t>
        </is>
      </c>
      <c r="I88">
        <f>IFERROR(VLOOKUP($A88,'Semrush Import'!$A:$D,2,FALSE),"")</f>
        <v/>
      </c>
      <c r="J88">
        <f>IFERROR(VLOOKUP($A88,'Semrush Import'!$A:$D,3,FALSE),"")</f>
        <v/>
      </c>
      <c r="K88">
        <f>IFERROR(VLOOKUP($A88,'Semrush Import'!$A:$D,4,FALSE),"")</f>
        <v/>
      </c>
      <c r="L88">
        <f>IFERROR(VLOOKUP($A88,'KP Import'!$A:$B,2,FALSE),"")</f>
        <v/>
      </c>
      <c r="M88">
        <f>IF(I88="","",ROUND(I88/(J88+10),1))</f>
        <v/>
      </c>
      <c r="N88">
        <f>IF(M88="","",IF(M88&gt;=20,"A - Go first",IF(M88&gt;=5,"B - Next","C - Later")))</f>
        <v/>
      </c>
      <c r="O88" t="inlineStr">
        <is>
          <t>To research</t>
        </is>
      </c>
      <c r="P88" t="inlineStr"/>
    </row>
    <row r="89">
      <c r="A89" t="inlineStr">
        <is>
          <t>thai jasmine rice price in dubai</t>
        </is>
      </c>
      <c r="B89" t="inlineStr">
        <is>
          <t>Price</t>
        </is>
      </c>
      <c r="C89" t="inlineStr">
        <is>
          <t>Specialty</t>
        </is>
      </c>
      <c r="D89" t="inlineStr">
        <is>
          <t>Commercial/Transactional</t>
        </is>
      </c>
      <c r="E89" t="inlineStr">
        <is>
          <t>MOFU</t>
        </is>
      </c>
      <c r="F89" t="inlineStr">
        <is>
          <t>Dubai</t>
        </is>
      </c>
      <c r="G89" t="inlineStr">
        <is>
          <t>Jasmine Rice product page</t>
        </is>
      </c>
      <c r="H89" t="inlineStr">
        <is>
          <t>Product</t>
        </is>
      </c>
      <c r="I89">
        <f>IFERROR(VLOOKUP($A89,'Semrush Import'!$A:$D,2,FALSE),"")</f>
        <v/>
      </c>
      <c r="J89">
        <f>IFERROR(VLOOKUP($A89,'Semrush Import'!$A:$D,3,FALSE),"")</f>
        <v/>
      </c>
      <c r="K89">
        <f>IFERROR(VLOOKUP($A89,'Semrush Import'!$A:$D,4,FALSE),"")</f>
        <v/>
      </c>
      <c r="L89">
        <f>IFERROR(VLOOKUP($A89,'KP Import'!$A:$B,2,FALSE),"")</f>
        <v/>
      </c>
      <c r="M89">
        <f>IF(I89="","",ROUND(I89/(J89+10),1))</f>
        <v/>
      </c>
      <c r="N89">
        <f>IF(M89="","",IF(M89&gt;=20,"A - Go first",IF(M89&gt;=5,"B - Next","C - Later")))</f>
        <v/>
      </c>
      <c r="O89" t="inlineStr">
        <is>
          <t>To research</t>
        </is>
      </c>
      <c r="P89" t="inlineStr"/>
    </row>
    <row r="90">
      <c r="A90" t="inlineStr">
        <is>
          <t>thai jasmine rice online dubai</t>
        </is>
      </c>
      <c r="B90" t="inlineStr">
        <is>
          <t>Transactional</t>
        </is>
      </c>
      <c r="C90" t="inlineStr">
        <is>
          <t>Specialty</t>
        </is>
      </c>
      <c r="D90" t="inlineStr">
        <is>
          <t>Transactional</t>
        </is>
      </c>
      <c r="E90" t="inlineStr">
        <is>
          <t>BOFU</t>
        </is>
      </c>
      <c r="F90" t="inlineStr">
        <is>
          <t>Dubai</t>
        </is>
      </c>
      <c r="G90" t="inlineStr">
        <is>
          <t>Jasmine Rice product page</t>
        </is>
      </c>
      <c r="H90" t="inlineStr">
        <is>
          <t>Product</t>
        </is>
      </c>
      <c r="I90">
        <f>IFERROR(VLOOKUP($A90,'Semrush Import'!$A:$D,2,FALSE),"")</f>
        <v/>
      </c>
      <c r="J90">
        <f>IFERROR(VLOOKUP($A90,'Semrush Import'!$A:$D,3,FALSE),"")</f>
        <v/>
      </c>
      <c r="K90">
        <f>IFERROR(VLOOKUP($A90,'Semrush Import'!$A:$D,4,FALSE),"")</f>
        <v/>
      </c>
      <c r="L90">
        <f>IFERROR(VLOOKUP($A90,'KP Import'!$A:$B,2,FALSE),"")</f>
        <v/>
      </c>
      <c r="M90">
        <f>IF(I90="","",ROUND(I90/(J90+10),1))</f>
        <v/>
      </c>
      <c r="N90">
        <f>IF(M90="","",IF(M90&gt;=20,"A - Go first",IF(M90&gt;=5,"B - Next","C - Later")))</f>
        <v/>
      </c>
      <c r="O90" t="inlineStr">
        <is>
          <t>To research</t>
        </is>
      </c>
      <c r="P90" t="inlineStr"/>
    </row>
    <row r="91">
      <c r="A91" t="inlineStr">
        <is>
          <t>thai jasmine rice wholesale dubai</t>
        </is>
      </c>
      <c r="B91" t="inlineStr">
        <is>
          <t>Wholesale/B2B</t>
        </is>
      </c>
      <c r="C91" t="inlineStr">
        <is>
          <t>Specialty</t>
        </is>
      </c>
      <c r="D91" t="inlineStr">
        <is>
          <t>Transactional (B2B)</t>
        </is>
      </c>
      <c r="E91" t="inlineStr">
        <is>
          <t>BOFU</t>
        </is>
      </c>
      <c r="F91" t="inlineStr">
        <is>
          <t>Dubai</t>
        </is>
      </c>
      <c r="G91" t="inlineStr">
        <is>
          <t>Wholesale landing page</t>
        </is>
      </c>
      <c r="H91" t="inlineStr">
        <is>
          <t>Landing</t>
        </is>
      </c>
      <c r="I91">
        <f>IFERROR(VLOOKUP($A91,'Semrush Import'!$A:$D,2,FALSE),"")</f>
        <v/>
      </c>
      <c r="J91">
        <f>IFERROR(VLOOKUP($A91,'Semrush Import'!$A:$D,3,FALSE),"")</f>
        <v/>
      </c>
      <c r="K91">
        <f>IFERROR(VLOOKUP($A91,'Semrush Import'!$A:$D,4,FALSE),"")</f>
        <v/>
      </c>
      <c r="L91">
        <f>IFERROR(VLOOKUP($A91,'KP Import'!$A:$B,2,FALSE),"")</f>
        <v/>
      </c>
      <c r="M91">
        <f>IF(I91="","",ROUND(I91/(J91+10),1))</f>
        <v/>
      </c>
      <c r="N91">
        <f>IF(M91="","",IF(M91&gt;=20,"A - Go first",IF(M91&gt;=5,"B - Next","C - Later")))</f>
        <v/>
      </c>
      <c r="O91" t="inlineStr">
        <is>
          <t>To research</t>
        </is>
      </c>
      <c r="P91" t="inlineStr"/>
    </row>
    <row r="92">
      <c r="A92" t="inlineStr">
        <is>
          <t>thai jasmine rice supplier uae</t>
        </is>
      </c>
      <c r="B92" t="inlineStr">
        <is>
          <t>Wholesale/B2B</t>
        </is>
      </c>
      <c r="C92" t="inlineStr">
        <is>
          <t>Specialty</t>
        </is>
      </c>
      <c r="D92" t="inlineStr">
        <is>
          <t>Transactional (B2B)</t>
        </is>
      </c>
      <c r="E92" t="inlineStr">
        <is>
          <t>BOFU</t>
        </is>
      </c>
      <c r="F92" t="inlineStr">
        <is>
          <t>UAE</t>
        </is>
      </c>
      <c r="G92" t="inlineStr">
        <is>
          <t>Wholesale landing page</t>
        </is>
      </c>
      <c r="H92" t="inlineStr">
        <is>
          <t>Landing</t>
        </is>
      </c>
      <c r="I92">
        <f>IFERROR(VLOOKUP($A92,'Semrush Import'!$A:$D,2,FALSE),"")</f>
        <v/>
      </c>
      <c r="J92">
        <f>IFERROR(VLOOKUP($A92,'Semrush Import'!$A:$D,3,FALSE),"")</f>
        <v/>
      </c>
      <c r="K92">
        <f>IFERROR(VLOOKUP($A92,'Semrush Import'!$A:$D,4,FALSE),"")</f>
        <v/>
      </c>
      <c r="L92">
        <f>IFERROR(VLOOKUP($A92,'KP Import'!$A:$B,2,FALSE),"")</f>
        <v/>
      </c>
      <c r="M92">
        <f>IF(I92="","",ROUND(I92/(J92+10),1))</f>
        <v/>
      </c>
      <c r="N92">
        <f>IF(M92="","",IF(M92&gt;=20,"A - Go first",IF(M92&gt;=5,"B - Next","C - Later")))</f>
        <v/>
      </c>
      <c r="O92" t="inlineStr">
        <is>
          <t>To research</t>
        </is>
      </c>
      <c r="P92" t="inlineStr"/>
    </row>
    <row r="93">
      <c r="A93" t="inlineStr">
        <is>
          <t>sona masoori rice</t>
        </is>
      </c>
      <c r="B93" t="inlineStr">
        <is>
          <t>Core product</t>
        </is>
      </c>
      <c r="C93" t="inlineStr">
        <is>
          <t>South Indian</t>
        </is>
      </c>
      <c r="D93" t="inlineStr">
        <is>
          <t>Informational/Commercial</t>
        </is>
      </c>
      <c r="E93" t="inlineStr">
        <is>
          <t>TOFU</t>
        </is>
      </c>
      <c r="F93" t="inlineStr">
        <is>
          <t>UAE (generic)</t>
        </is>
      </c>
      <c r="G93" t="inlineStr">
        <is>
          <t>Sona Masoori product page</t>
        </is>
      </c>
      <c r="H93" t="inlineStr">
        <is>
          <t>Product</t>
        </is>
      </c>
      <c r="I93">
        <f>IFERROR(VLOOKUP($A93,'Semrush Import'!$A:$D,2,FALSE),"")</f>
        <v/>
      </c>
      <c r="J93">
        <f>IFERROR(VLOOKUP($A93,'Semrush Import'!$A:$D,3,FALSE),"")</f>
        <v/>
      </c>
      <c r="K93">
        <f>IFERROR(VLOOKUP($A93,'Semrush Import'!$A:$D,4,FALSE),"")</f>
        <v/>
      </c>
      <c r="L93">
        <f>IFERROR(VLOOKUP($A93,'KP Import'!$A:$B,2,FALSE),"")</f>
        <v/>
      </c>
      <c r="M93">
        <f>IF(I93="","",ROUND(I93/(J93+10),1))</f>
        <v/>
      </c>
      <c r="N93">
        <f>IF(M93="","",IF(M93&gt;=20,"A - Go first",IF(M93&gt;=5,"B - Next","C - Later")))</f>
        <v/>
      </c>
      <c r="O93" t="inlineStr">
        <is>
          <t>To research</t>
        </is>
      </c>
      <c r="P93" t="inlineStr"/>
    </row>
    <row r="94">
      <c r="A94" t="inlineStr">
        <is>
          <t>buy sona masoori rice online</t>
        </is>
      </c>
      <c r="B94" t="inlineStr">
        <is>
          <t>Transactional</t>
        </is>
      </c>
      <c r="C94" t="inlineStr">
        <is>
          <t>South Indian</t>
        </is>
      </c>
      <c r="D94" t="inlineStr">
        <is>
          <t>Transactional</t>
        </is>
      </c>
      <c r="E94" t="inlineStr">
        <is>
          <t>BOFU</t>
        </is>
      </c>
      <c r="F94" t="inlineStr">
        <is>
          <t>UAE (generic)</t>
        </is>
      </c>
      <c r="G94" t="inlineStr">
        <is>
          <t>Sona Masoori product page</t>
        </is>
      </c>
      <c r="H94" t="inlineStr">
        <is>
          <t>Product</t>
        </is>
      </c>
      <c r="I94">
        <f>IFERROR(VLOOKUP($A94,'Semrush Import'!$A:$D,2,FALSE),"")</f>
        <v/>
      </c>
      <c r="J94">
        <f>IFERROR(VLOOKUP($A94,'Semrush Import'!$A:$D,3,FALSE),"")</f>
        <v/>
      </c>
      <c r="K94">
        <f>IFERROR(VLOOKUP($A94,'Semrush Import'!$A:$D,4,FALSE),"")</f>
        <v/>
      </c>
      <c r="L94">
        <f>IFERROR(VLOOKUP($A94,'KP Import'!$A:$B,2,FALSE),"")</f>
        <v/>
      </c>
      <c r="M94">
        <f>IF(I94="","",ROUND(I94/(J94+10),1))</f>
        <v/>
      </c>
      <c r="N94">
        <f>IF(M94="","",IF(M94&gt;=20,"A - Go first",IF(M94&gt;=5,"B - Next","C - Later")))</f>
        <v/>
      </c>
      <c r="O94" t="inlineStr">
        <is>
          <t>To research</t>
        </is>
      </c>
      <c r="P94" t="inlineStr"/>
    </row>
    <row r="95">
      <c r="A95" t="inlineStr">
        <is>
          <t>sona masoori rice price in uae</t>
        </is>
      </c>
      <c r="B95" t="inlineStr">
        <is>
          <t>Price</t>
        </is>
      </c>
      <c r="C95" t="inlineStr">
        <is>
          <t>South Indian</t>
        </is>
      </c>
      <c r="D95" t="inlineStr">
        <is>
          <t>Commercial/Transactional</t>
        </is>
      </c>
      <c r="E95" t="inlineStr">
        <is>
          <t>MOFU</t>
        </is>
      </c>
      <c r="F95" t="inlineStr">
        <is>
          <t>UAE</t>
        </is>
      </c>
      <c r="G95" t="inlineStr">
        <is>
          <t>Sona Masoori product page</t>
        </is>
      </c>
      <c r="H95" t="inlineStr">
        <is>
          <t>Product</t>
        </is>
      </c>
      <c r="I95">
        <f>IFERROR(VLOOKUP($A95,'Semrush Import'!$A:$D,2,FALSE),"")</f>
        <v/>
      </c>
      <c r="J95">
        <f>IFERROR(VLOOKUP($A95,'Semrush Import'!$A:$D,3,FALSE),"")</f>
        <v/>
      </c>
      <c r="K95">
        <f>IFERROR(VLOOKUP($A95,'Semrush Import'!$A:$D,4,FALSE),"")</f>
        <v/>
      </c>
      <c r="L95">
        <f>IFERROR(VLOOKUP($A95,'KP Import'!$A:$B,2,FALSE),"")</f>
        <v/>
      </c>
      <c r="M95">
        <f>IF(I95="","",ROUND(I95/(J95+10),1))</f>
        <v/>
      </c>
      <c r="N95">
        <f>IF(M95="","",IF(M95&gt;=20,"A - Go first",IF(M95&gt;=5,"B - Next","C - Later")))</f>
        <v/>
      </c>
      <c r="O95" t="inlineStr">
        <is>
          <t>To research</t>
        </is>
      </c>
      <c r="P95" t="inlineStr"/>
    </row>
    <row r="96">
      <c r="A96" t="inlineStr">
        <is>
          <t>sona masoori rice price in dubai</t>
        </is>
      </c>
      <c r="B96" t="inlineStr">
        <is>
          <t>Price</t>
        </is>
      </c>
      <c r="C96" t="inlineStr">
        <is>
          <t>South Indian</t>
        </is>
      </c>
      <c r="D96" t="inlineStr">
        <is>
          <t>Commercial/Transactional</t>
        </is>
      </c>
      <c r="E96" t="inlineStr">
        <is>
          <t>MOFU</t>
        </is>
      </c>
      <c r="F96" t="inlineStr">
        <is>
          <t>Dubai</t>
        </is>
      </c>
      <c r="G96" t="inlineStr">
        <is>
          <t>Sona Masoori product page</t>
        </is>
      </c>
      <c r="H96" t="inlineStr">
        <is>
          <t>Product</t>
        </is>
      </c>
      <c r="I96">
        <f>IFERROR(VLOOKUP($A96,'Semrush Import'!$A:$D,2,FALSE),"")</f>
        <v/>
      </c>
      <c r="J96">
        <f>IFERROR(VLOOKUP($A96,'Semrush Import'!$A:$D,3,FALSE),"")</f>
        <v/>
      </c>
      <c r="K96">
        <f>IFERROR(VLOOKUP($A96,'Semrush Import'!$A:$D,4,FALSE),"")</f>
        <v/>
      </c>
      <c r="L96">
        <f>IFERROR(VLOOKUP($A96,'KP Import'!$A:$B,2,FALSE),"")</f>
        <v/>
      </c>
      <c r="M96">
        <f>IF(I96="","",ROUND(I96/(J96+10),1))</f>
        <v/>
      </c>
      <c r="N96">
        <f>IF(M96="","",IF(M96&gt;=20,"A - Go first",IF(M96&gt;=5,"B - Next","C - Later")))</f>
        <v/>
      </c>
      <c r="O96" t="inlineStr">
        <is>
          <t>To research</t>
        </is>
      </c>
      <c r="P96" t="inlineStr"/>
    </row>
    <row r="97">
      <c r="A97" t="inlineStr">
        <is>
          <t>sona masoori rice online dubai</t>
        </is>
      </c>
      <c r="B97" t="inlineStr">
        <is>
          <t>Transactional</t>
        </is>
      </c>
      <c r="C97" t="inlineStr">
        <is>
          <t>South Indian</t>
        </is>
      </c>
      <c r="D97" t="inlineStr">
        <is>
          <t>Transactional</t>
        </is>
      </c>
      <c r="E97" t="inlineStr">
        <is>
          <t>BOFU</t>
        </is>
      </c>
      <c r="F97" t="inlineStr">
        <is>
          <t>Dubai</t>
        </is>
      </c>
      <c r="G97" t="inlineStr">
        <is>
          <t>Sona Masoori product page</t>
        </is>
      </c>
      <c r="H97" t="inlineStr">
        <is>
          <t>Product</t>
        </is>
      </c>
      <c r="I97">
        <f>IFERROR(VLOOKUP($A97,'Semrush Import'!$A:$D,2,FALSE),"")</f>
        <v/>
      </c>
      <c r="J97">
        <f>IFERROR(VLOOKUP($A97,'Semrush Import'!$A:$D,3,FALSE),"")</f>
        <v/>
      </c>
      <c r="K97">
        <f>IFERROR(VLOOKUP($A97,'Semrush Import'!$A:$D,4,FALSE),"")</f>
        <v/>
      </c>
      <c r="L97">
        <f>IFERROR(VLOOKUP($A97,'KP Import'!$A:$B,2,FALSE),"")</f>
        <v/>
      </c>
      <c r="M97">
        <f>IF(I97="","",ROUND(I97/(J97+10),1))</f>
        <v/>
      </c>
      <c r="N97">
        <f>IF(M97="","",IF(M97&gt;=20,"A - Go first",IF(M97&gt;=5,"B - Next","C - Later")))</f>
        <v/>
      </c>
      <c r="O97" t="inlineStr">
        <is>
          <t>To research</t>
        </is>
      </c>
      <c r="P97" t="inlineStr"/>
    </row>
    <row r="98">
      <c r="A98" t="inlineStr">
        <is>
          <t>sona masoori rice wholesale dubai</t>
        </is>
      </c>
      <c r="B98" t="inlineStr">
        <is>
          <t>Wholesale/B2B</t>
        </is>
      </c>
      <c r="C98" t="inlineStr">
        <is>
          <t>South Indian</t>
        </is>
      </c>
      <c r="D98" t="inlineStr">
        <is>
          <t>Transactional (B2B)</t>
        </is>
      </c>
      <c r="E98" t="inlineStr">
        <is>
          <t>BOFU</t>
        </is>
      </c>
      <c r="F98" t="inlineStr">
        <is>
          <t>Dubai</t>
        </is>
      </c>
      <c r="G98" t="inlineStr">
        <is>
          <t>Wholesale landing page</t>
        </is>
      </c>
      <c r="H98" t="inlineStr">
        <is>
          <t>Landing</t>
        </is>
      </c>
      <c r="I98">
        <f>IFERROR(VLOOKUP($A98,'Semrush Import'!$A:$D,2,FALSE),"")</f>
        <v/>
      </c>
      <c r="J98">
        <f>IFERROR(VLOOKUP($A98,'Semrush Import'!$A:$D,3,FALSE),"")</f>
        <v/>
      </c>
      <c r="K98">
        <f>IFERROR(VLOOKUP($A98,'Semrush Import'!$A:$D,4,FALSE),"")</f>
        <v/>
      </c>
      <c r="L98">
        <f>IFERROR(VLOOKUP($A98,'KP Import'!$A:$B,2,FALSE),"")</f>
        <v/>
      </c>
      <c r="M98">
        <f>IF(I98="","",ROUND(I98/(J98+10),1))</f>
        <v/>
      </c>
      <c r="N98">
        <f>IF(M98="","",IF(M98&gt;=20,"A - Go first",IF(M98&gt;=5,"B - Next","C - Later")))</f>
        <v/>
      </c>
      <c r="O98" t="inlineStr">
        <is>
          <t>To research</t>
        </is>
      </c>
      <c r="P98" t="inlineStr"/>
    </row>
    <row r="99">
      <c r="A99" t="inlineStr">
        <is>
          <t>sona masoori rice supplier uae</t>
        </is>
      </c>
      <c r="B99" t="inlineStr">
        <is>
          <t>Wholesale/B2B</t>
        </is>
      </c>
      <c r="C99" t="inlineStr">
        <is>
          <t>South Indian</t>
        </is>
      </c>
      <c r="D99" t="inlineStr">
        <is>
          <t>Transactional (B2B)</t>
        </is>
      </c>
      <c r="E99" t="inlineStr">
        <is>
          <t>BOFU</t>
        </is>
      </c>
      <c r="F99" t="inlineStr">
        <is>
          <t>UAE</t>
        </is>
      </c>
      <c r="G99" t="inlineStr">
        <is>
          <t>Wholesale landing page</t>
        </is>
      </c>
      <c r="H99" t="inlineStr">
        <is>
          <t>Landing</t>
        </is>
      </c>
      <c r="I99">
        <f>IFERROR(VLOOKUP($A99,'Semrush Import'!$A:$D,2,FALSE),"")</f>
        <v/>
      </c>
      <c r="J99">
        <f>IFERROR(VLOOKUP($A99,'Semrush Import'!$A:$D,3,FALSE),"")</f>
        <v/>
      </c>
      <c r="K99">
        <f>IFERROR(VLOOKUP($A99,'Semrush Import'!$A:$D,4,FALSE),"")</f>
        <v/>
      </c>
      <c r="L99">
        <f>IFERROR(VLOOKUP($A99,'KP Import'!$A:$B,2,FALSE),"")</f>
        <v/>
      </c>
      <c r="M99">
        <f>IF(I99="","",ROUND(I99/(J99+10),1))</f>
        <v/>
      </c>
      <c r="N99">
        <f>IF(M99="","",IF(M99&gt;=20,"A - Go first",IF(M99&gt;=5,"B - Next","C - Later")))</f>
        <v/>
      </c>
      <c r="O99" t="inlineStr">
        <is>
          <t>To research</t>
        </is>
      </c>
      <c r="P99" t="inlineStr"/>
    </row>
    <row r="100">
      <c r="A100" t="inlineStr">
        <is>
          <t>ponni rice</t>
        </is>
      </c>
      <c r="B100" t="inlineStr">
        <is>
          <t>Core product</t>
        </is>
      </c>
      <c r="C100" t="inlineStr">
        <is>
          <t>South Indian</t>
        </is>
      </c>
      <c r="D100" t="inlineStr">
        <is>
          <t>Informational/Commercial</t>
        </is>
      </c>
      <c r="E100" t="inlineStr">
        <is>
          <t>TOFU</t>
        </is>
      </c>
      <c r="F100" t="inlineStr">
        <is>
          <t>UAE (generic)</t>
        </is>
      </c>
      <c r="G100" t="inlineStr">
        <is>
          <t>Ponni / South Indian Rice page</t>
        </is>
      </c>
      <c r="H100" t="inlineStr">
        <is>
          <t>Landing/Blog</t>
        </is>
      </c>
      <c r="I100">
        <f>IFERROR(VLOOKUP($A100,'Semrush Import'!$A:$D,2,FALSE),"")</f>
        <v/>
      </c>
      <c r="J100">
        <f>IFERROR(VLOOKUP($A100,'Semrush Import'!$A:$D,3,FALSE),"")</f>
        <v/>
      </c>
      <c r="K100">
        <f>IFERROR(VLOOKUP($A100,'Semrush Import'!$A:$D,4,FALSE),"")</f>
        <v/>
      </c>
      <c r="L100">
        <f>IFERROR(VLOOKUP($A100,'KP Import'!$A:$B,2,FALSE),"")</f>
        <v/>
      </c>
      <c r="M100">
        <f>IF(I100="","",ROUND(I100/(J100+10),1))</f>
        <v/>
      </c>
      <c r="N100">
        <f>IF(M100="","",IF(M100&gt;=20,"A - Go first",IF(M100&gt;=5,"B - Next","C - Later")))</f>
        <v/>
      </c>
      <c r="O100" t="inlineStr">
        <is>
          <t>To research</t>
        </is>
      </c>
      <c r="P100" t="inlineStr"/>
    </row>
    <row r="101">
      <c r="A101" t="inlineStr">
        <is>
          <t>buy ponni rice online</t>
        </is>
      </c>
      <c r="B101" t="inlineStr">
        <is>
          <t>Transactional</t>
        </is>
      </c>
      <c r="C101" t="inlineStr">
        <is>
          <t>South Indian</t>
        </is>
      </c>
      <c r="D101" t="inlineStr">
        <is>
          <t>Transactional</t>
        </is>
      </c>
      <c r="E101" t="inlineStr">
        <is>
          <t>BOFU</t>
        </is>
      </c>
      <c r="F101" t="inlineStr">
        <is>
          <t>UAE (generic)</t>
        </is>
      </c>
      <c r="G101" t="inlineStr">
        <is>
          <t>Ponni / South Indian Rice page</t>
        </is>
      </c>
      <c r="H101" t="inlineStr">
        <is>
          <t>Landing/Blog</t>
        </is>
      </c>
      <c r="I101">
        <f>IFERROR(VLOOKUP($A101,'Semrush Import'!$A:$D,2,FALSE),"")</f>
        <v/>
      </c>
      <c r="J101">
        <f>IFERROR(VLOOKUP($A101,'Semrush Import'!$A:$D,3,FALSE),"")</f>
        <v/>
      </c>
      <c r="K101">
        <f>IFERROR(VLOOKUP($A101,'Semrush Import'!$A:$D,4,FALSE),"")</f>
        <v/>
      </c>
      <c r="L101">
        <f>IFERROR(VLOOKUP($A101,'KP Import'!$A:$B,2,FALSE),"")</f>
        <v/>
      </c>
      <c r="M101">
        <f>IF(I101="","",ROUND(I101/(J101+10),1))</f>
        <v/>
      </c>
      <c r="N101">
        <f>IF(M101="","",IF(M101&gt;=20,"A - Go first",IF(M101&gt;=5,"B - Next","C - Later")))</f>
        <v/>
      </c>
      <c r="O101" t="inlineStr">
        <is>
          <t>To research</t>
        </is>
      </c>
      <c r="P101" t="inlineStr"/>
    </row>
    <row r="102">
      <c r="A102" t="inlineStr">
        <is>
          <t>ponni rice price in uae</t>
        </is>
      </c>
      <c r="B102" t="inlineStr">
        <is>
          <t>Price</t>
        </is>
      </c>
      <c r="C102" t="inlineStr">
        <is>
          <t>South Indian</t>
        </is>
      </c>
      <c r="D102" t="inlineStr">
        <is>
          <t>Commercial/Transactional</t>
        </is>
      </c>
      <c r="E102" t="inlineStr">
        <is>
          <t>MOFU</t>
        </is>
      </c>
      <c r="F102" t="inlineStr">
        <is>
          <t>UAE</t>
        </is>
      </c>
      <c r="G102" t="inlineStr">
        <is>
          <t>Ponni / South Indian Rice page</t>
        </is>
      </c>
      <c r="H102" t="inlineStr">
        <is>
          <t>Landing/Blog</t>
        </is>
      </c>
      <c r="I102">
        <f>IFERROR(VLOOKUP($A102,'Semrush Import'!$A:$D,2,FALSE),"")</f>
        <v/>
      </c>
      <c r="J102">
        <f>IFERROR(VLOOKUP($A102,'Semrush Import'!$A:$D,3,FALSE),"")</f>
        <v/>
      </c>
      <c r="K102">
        <f>IFERROR(VLOOKUP($A102,'Semrush Import'!$A:$D,4,FALSE),"")</f>
        <v/>
      </c>
      <c r="L102">
        <f>IFERROR(VLOOKUP($A102,'KP Import'!$A:$B,2,FALSE),"")</f>
        <v/>
      </c>
      <c r="M102">
        <f>IF(I102="","",ROUND(I102/(J102+10),1))</f>
        <v/>
      </c>
      <c r="N102">
        <f>IF(M102="","",IF(M102&gt;=20,"A - Go first",IF(M102&gt;=5,"B - Next","C - Later")))</f>
        <v/>
      </c>
      <c r="O102" t="inlineStr">
        <is>
          <t>To research</t>
        </is>
      </c>
      <c r="P102" t="inlineStr"/>
    </row>
    <row r="103">
      <c r="A103" t="inlineStr">
        <is>
          <t>ponni rice price in dubai</t>
        </is>
      </c>
      <c r="B103" t="inlineStr">
        <is>
          <t>Price</t>
        </is>
      </c>
      <c r="C103" t="inlineStr">
        <is>
          <t>South Indian</t>
        </is>
      </c>
      <c r="D103" t="inlineStr">
        <is>
          <t>Commercial/Transactional</t>
        </is>
      </c>
      <c r="E103" t="inlineStr">
        <is>
          <t>MOFU</t>
        </is>
      </c>
      <c r="F103" t="inlineStr">
        <is>
          <t>Dubai</t>
        </is>
      </c>
      <c r="G103" t="inlineStr">
        <is>
          <t>Ponni / South Indian Rice page</t>
        </is>
      </c>
      <c r="H103" t="inlineStr">
        <is>
          <t>Landing/Blog</t>
        </is>
      </c>
      <c r="I103">
        <f>IFERROR(VLOOKUP($A103,'Semrush Import'!$A:$D,2,FALSE),"")</f>
        <v/>
      </c>
      <c r="J103">
        <f>IFERROR(VLOOKUP($A103,'Semrush Import'!$A:$D,3,FALSE),"")</f>
        <v/>
      </c>
      <c r="K103">
        <f>IFERROR(VLOOKUP($A103,'Semrush Import'!$A:$D,4,FALSE),"")</f>
        <v/>
      </c>
      <c r="L103">
        <f>IFERROR(VLOOKUP($A103,'KP Import'!$A:$B,2,FALSE),"")</f>
        <v/>
      </c>
      <c r="M103">
        <f>IF(I103="","",ROUND(I103/(J103+10),1))</f>
        <v/>
      </c>
      <c r="N103">
        <f>IF(M103="","",IF(M103&gt;=20,"A - Go first",IF(M103&gt;=5,"B - Next","C - Later")))</f>
        <v/>
      </c>
      <c r="O103" t="inlineStr">
        <is>
          <t>To research</t>
        </is>
      </c>
      <c r="P103" t="inlineStr"/>
    </row>
    <row r="104">
      <c r="A104" t="inlineStr">
        <is>
          <t>ponni rice online dubai</t>
        </is>
      </c>
      <c r="B104" t="inlineStr">
        <is>
          <t>Transactional</t>
        </is>
      </c>
      <c r="C104" t="inlineStr">
        <is>
          <t>South Indian</t>
        </is>
      </c>
      <c r="D104" t="inlineStr">
        <is>
          <t>Transactional</t>
        </is>
      </c>
      <c r="E104" t="inlineStr">
        <is>
          <t>BOFU</t>
        </is>
      </c>
      <c r="F104" t="inlineStr">
        <is>
          <t>Dubai</t>
        </is>
      </c>
      <c r="G104" t="inlineStr">
        <is>
          <t>Ponni / South Indian Rice page</t>
        </is>
      </c>
      <c r="H104" t="inlineStr">
        <is>
          <t>Landing/Blog</t>
        </is>
      </c>
      <c r="I104">
        <f>IFERROR(VLOOKUP($A104,'Semrush Import'!$A:$D,2,FALSE),"")</f>
        <v/>
      </c>
      <c r="J104">
        <f>IFERROR(VLOOKUP($A104,'Semrush Import'!$A:$D,3,FALSE),"")</f>
        <v/>
      </c>
      <c r="K104">
        <f>IFERROR(VLOOKUP($A104,'Semrush Import'!$A:$D,4,FALSE),"")</f>
        <v/>
      </c>
      <c r="L104">
        <f>IFERROR(VLOOKUP($A104,'KP Import'!$A:$B,2,FALSE),"")</f>
        <v/>
      </c>
      <c r="M104">
        <f>IF(I104="","",ROUND(I104/(J104+10),1))</f>
        <v/>
      </c>
      <c r="N104">
        <f>IF(M104="","",IF(M104&gt;=20,"A - Go first",IF(M104&gt;=5,"B - Next","C - Later")))</f>
        <v/>
      </c>
      <c r="O104" t="inlineStr">
        <is>
          <t>To research</t>
        </is>
      </c>
      <c r="P104" t="inlineStr"/>
    </row>
    <row r="105">
      <c r="A105" t="inlineStr">
        <is>
          <t>ponni rice wholesale dubai</t>
        </is>
      </c>
      <c r="B105" t="inlineStr">
        <is>
          <t>Wholesale/B2B</t>
        </is>
      </c>
      <c r="C105" t="inlineStr">
        <is>
          <t>South Indian</t>
        </is>
      </c>
      <c r="D105" t="inlineStr">
        <is>
          <t>Transactional (B2B)</t>
        </is>
      </c>
      <c r="E105" t="inlineStr">
        <is>
          <t>BOFU</t>
        </is>
      </c>
      <c r="F105" t="inlineStr">
        <is>
          <t>Dubai</t>
        </is>
      </c>
      <c r="G105" t="inlineStr">
        <is>
          <t>Wholesale landing page</t>
        </is>
      </c>
      <c r="H105" t="inlineStr">
        <is>
          <t>Landing</t>
        </is>
      </c>
      <c r="I105">
        <f>IFERROR(VLOOKUP($A105,'Semrush Import'!$A:$D,2,FALSE),"")</f>
        <v/>
      </c>
      <c r="J105">
        <f>IFERROR(VLOOKUP($A105,'Semrush Import'!$A:$D,3,FALSE),"")</f>
        <v/>
      </c>
      <c r="K105">
        <f>IFERROR(VLOOKUP($A105,'Semrush Import'!$A:$D,4,FALSE),"")</f>
        <v/>
      </c>
      <c r="L105">
        <f>IFERROR(VLOOKUP($A105,'KP Import'!$A:$B,2,FALSE),"")</f>
        <v/>
      </c>
      <c r="M105">
        <f>IF(I105="","",ROUND(I105/(J105+10),1))</f>
        <v/>
      </c>
      <c r="N105">
        <f>IF(M105="","",IF(M105&gt;=20,"A - Go first",IF(M105&gt;=5,"B - Next","C - Later")))</f>
        <v/>
      </c>
      <c r="O105" t="inlineStr">
        <is>
          <t>To research</t>
        </is>
      </c>
      <c r="P105" t="inlineStr"/>
    </row>
    <row r="106">
      <c r="A106" t="inlineStr">
        <is>
          <t>ponni rice supplier uae</t>
        </is>
      </c>
      <c r="B106" t="inlineStr">
        <is>
          <t>Wholesale/B2B</t>
        </is>
      </c>
      <c r="C106" t="inlineStr">
        <is>
          <t>South Indian</t>
        </is>
      </c>
      <c r="D106" t="inlineStr">
        <is>
          <t>Transactional (B2B)</t>
        </is>
      </c>
      <c r="E106" t="inlineStr">
        <is>
          <t>BOFU</t>
        </is>
      </c>
      <c r="F106" t="inlineStr">
        <is>
          <t>UAE</t>
        </is>
      </c>
      <c r="G106" t="inlineStr">
        <is>
          <t>Wholesale landing page</t>
        </is>
      </c>
      <c r="H106" t="inlineStr">
        <is>
          <t>Landing</t>
        </is>
      </c>
      <c r="I106">
        <f>IFERROR(VLOOKUP($A106,'Semrush Import'!$A:$D,2,FALSE),"")</f>
        <v/>
      </c>
      <c r="J106">
        <f>IFERROR(VLOOKUP($A106,'Semrush Import'!$A:$D,3,FALSE),"")</f>
        <v/>
      </c>
      <c r="K106">
        <f>IFERROR(VLOOKUP($A106,'Semrush Import'!$A:$D,4,FALSE),"")</f>
        <v/>
      </c>
      <c r="L106">
        <f>IFERROR(VLOOKUP($A106,'KP Import'!$A:$B,2,FALSE),"")</f>
        <v/>
      </c>
      <c r="M106">
        <f>IF(I106="","",ROUND(I106/(J106+10),1))</f>
        <v/>
      </c>
      <c r="N106">
        <f>IF(M106="","",IF(M106&gt;=20,"A - Go first",IF(M106&gt;=5,"B - Next","C - Later")))</f>
        <v/>
      </c>
      <c r="O106" t="inlineStr">
        <is>
          <t>To research</t>
        </is>
      </c>
      <c r="P106" t="inlineStr"/>
    </row>
    <row r="107">
      <c r="A107" t="inlineStr">
        <is>
          <t>matta rice</t>
        </is>
      </c>
      <c r="B107" t="inlineStr">
        <is>
          <t>Core product</t>
        </is>
      </c>
      <c r="C107" t="inlineStr">
        <is>
          <t>South Indian</t>
        </is>
      </c>
      <c r="D107" t="inlineStr">
        <is>
          <t>Informational/Commercial</t>
        </is>
      </c>
      <c r="E107" t="inlineStr">
        <is>
          <t>TOFU</t>
        </is>
      </c>
      <c r="F107" t="inlineStr">
        <is>
          <t>UAE (generic)</t>
        </is>
      </c>
      <c r="G107" t="inlineStr">
        <is>
          <t>Matta Rice product page</t>
        </is>
      </c>
      <c r="H107" t="inlineStr">
        <is>
          <t>Product</t>
        </is>
      </c>
      <c r="I107">
        <f>IFERROR(VLOOKUP($A107,'Semrush Import'!$A:$D,2,FALSE),"")</f>
        <v/>
      </c>
      <c r="J107">
        <f>IFERROR(VLOOKUP($A107,'Semrush Import'!$A:$D,3,FALSE),"")</f>
        <v/>
      </c>
      <c r="K107">
        <f>IFERROR(VLOOKUP($A107,'Semrush Import'!$A:$D,4,FALSE),"")</f>
        <v/>
      </c>
      <c r="L107">
        <f>IFERROR(VLOOKUP($A107,'KP Import'!$A:$B,2,FALSE),"")</f>
        <v/>
      </c>
      <c r="M107">
        <f>IF(I107="","",ROUND(I107/(J107+10),1))</f>
        <v/>
      </c>
      <c r="N107">
        <f>IF(M107="","",IF(M107&gt;=20,"A - Go first",IF(M107&gt;=5,"B - Next","C - Later")))</f>
        <v/>
      </c>
      <c r="O107" t="inlineStr">
        <is>
          <t>To research</t>
        </is>
      </c>
      <c r="P107" t="inlineStr"/>
    </row>
    <row r="108">
      <c r="A108" t="inlineStr">
        <is>
          <t>buy matta rice online</t>
        </is>
      </c>
      <c r="B108" t="inlineStr">
        <is>
          <t>Transactional</t>
        </is>
      </c>
      <c r="C108" t="inlineStr">
        <is>
          <t>South Indian</t>
        </is>
      </c>
      <c r="D108" t="inlineStr">
        <is>
          <t>Transactional</t>
        </is>
      </c>
      <c r="E108" t="inlineStr">
        <is>
          <t>BOFU</t>
        </is>
      </c>
      <c r="F108" t="inlineStr">
        <is>
          <t>UAE (generic)</t>
        </is>
      </c>
      <c r="G108" t="inlineStr">
        <is>
          <t>Matta Rice product page</t>
        </is>
      </c>
      <c r="H108" t="inlineStr">
        <is>
          <t>Product</t>
        </is>
      </c>
      <c r="I108">
        <f>IFERROR(VLOOKUP($A108,'Semrush Import'!$A:$D,2,FALSE),"")</f>
        <v/>
      </c>
      <c r="J108">
        <f>IFERROR(VLOOKUP($A108,'Semrush Import'!$A:$D,3,FALSE),"")</f>
        <v/>
      </c>
      <c r="K108">
        <f>IFERROR(VLOOKUP($A108,'Semrush Import'!$A:$D,4,FALSE),"")</f>
        <v/>
      </c>
      <c r="L108">
        <f>IFERROR(VLOOKUP($A108,'KP Import'!$A:$B,2,FALSE),"")</f>
        <v/>
      </c>
      <c r="M108">
        <f>IF(I108="","",ROUND(I108/(J108+10),1))</f>
        <v/>
      </c>
      <c r="N108">
        <f>IF(M108="","",IF(M108&gt;=20,"A - Go first",IF(M108&gt;=5,"B - Next","C - Later")))</f>
        <v/>
      </c>
      <c r="O108" t="inlineStr">
        <is>
          <t>To research</t>
        </is>
      </c>
      <c r="P108" t="inlineStr"/>
    </row>
    <row r="109">
      <c r="A109" t="inlineStr">
        <is>
          <t>matta rice price in uae</t>
        </is>
      </c>
      <c r="B109" t="inlineStr">
        <is>
          <t>Price</t>
        </is>
      </c>
      <c r="C109" t="inlineStr">
        <is>
          <t>South Indian</t>
        </is>
      </c>
      <c r="D109" t="inlineStr">
        <is>
          <t>Commercial/Transactional</t>
        </is>
      </c>
      <c r="E109" t="inlineStr">
        <is>
          <t>MOFU</t>
        </is>
      </c>
      <c r="F109" t="inlineStr">
        <is>
          <t>UAE</t>
        </is>
      </c>
      <c r="G109" t="inlineStr">
        <is>
          <t>Matta Rice product page</t>
        </is>
      </c>
      <c r="H109" t="inlineStr">
        <is>
          <t>Product</t>
        </is>
      </c>
      <c r="I109">
        <f>IFERROR(VLOOKUP($A109,'Semrush Import'!$A:$D,2,FALSE),"")</f>
        <v/>
      </c>
      <c r="J109">
        <f>IFERROR(VLOOKUP($A109,'Semrush Import'!$A:$D,3,FALSE),"")</f>
        <v/>
      </c>
      <c r="K109">
        <f>IFERROR(VLOOKUP($A109,'Semrush Import'!$A:$D,4,FALSE),"")</f>
        <v/>
      </c>
      <c r="L109">
        <f>IFERROR(VLOOKUP($A109,'KP Import'!$A:$B,2,FALSE),"")</f>
        <v/>
      </c>
      <c r="M109">
        <f>IF(I109="","",ROUND(I109/(J109+10),1))</f>
        <v/>
      </c>
      <c r="N109">
        <f>IF(M109="","",IF(M109&gt;=20,"A - Go first",IF(M109&gt;=5,"B - Next","C - Later")))</f>
        <v/>
      </c>
      <c r="O109" t="inlineStr">
        <is>
          <t>To research</t>
        </is>
      </c>
      <c r="P109" t="inlineStr"/>
    </row>
    <row r="110">
      <c r="A110" t="inlineStr">
        <is>
          <t>matta rice price in dubai</t>
        </is>
      </c>
      <c r="B110" t="inlineStr">
        <is>
          <t>Price</t>
        </is>
      </c>
      <c r="C110" t="inlineStr">
        <is>
          <t>South Indian</t>
        </is>
      </c>
      <c r="D110" t="inlineStr">
        <is>
          <t>Commercial/Transactional</t>
        </is>
      </c>
      <c r="E110" t="inlineStr">
        <is>
          <t>MOFU</t>
        </is>
      </c>
      <c r="F110" t="inlineStr">
        <is>
          <t>Dubai</t>
        </is>
      </c>
      <c r="G110" t="inlineStr">
        <is>
          <t>Matta Rice product page</t>
        </is>
      </c>
      <c r="H110" t="inlineStr">
        <is>
          <t>Product</t>
        </is>
      </c>
      <c r="I110">
        <f>IFERROR(VLOOKUP($A110,'Semrush Import'!$A:$D,2,FALSE),"")</f>
        <v/>
      </c>
      <c r="J110">
        <f>IFERROR(VLOOKUP($A110,'Semrush Import'!$A:$D,3,FALSE),"")</f>
        <v/>
      </c>
      <c r="K110">
        <f>IFERROR(VLOOKUP($A110,'Semrush Import'!$A:$D,4,FALSE),"")</f>
        <v/>
      </c>
      <c r="L110">
        <f>IFERROR(VLOOKUP($A110,'KP Import'!$A:$B,2,FALSE),"")</f>
        <v/>
      </c>
      <c r="M110">
        <f>IF(I110="","",ROUND(I110/(J110+10),1))</f>
        <v/>
      </c>
      <c r="N110">
        <f>IF(M110="","",IF(M110&gt;=20,"A - Go first",IF(M110&gt;=5,"B - Next","C - Later")))</f>
        <v/>
      </c>
      <c r="O110" t="inlineStr">
        <is>
          <t>To research</t>
        </is>
      </c>
      <c r="P110" t="inlineStr"/>
    </row>
    <row r="111">
      <c r="A111" t="inlineStr">
        <is>
          <t>matta rice online dubai</t>
        </is>
      </c>
      <c r="B111" t="inlineStr">
        <is>
          <t>Transactional</t>
        </is>
      </c>
      <c r="C111" t="inlineStr">
        <is>
          <t>South Indian</t>
        </is>
      </c>
      <c r="D111" t="inlineStr">
        <is>
          <t>Transactional</t>
        </is>
      </c>
      <c r="E111" t="inlineStr">
        <is>
          <t>BOFU</t>
        </is>
      </c>
      <c r="F111" t="inlineStr">
        <is>
          <t>Dubai</t>
        </is>
      </c>
      <c r="G111" t="inlineStr">
        <is>
          <t>Matta Rice product page</t>
        </is>
      </c>
      <c r="H111" t="inlineStr">
        <is>
          <t>Product</t>
        </is>
      </c>
      <c r="I111">
        <f>IFERROR(VLOOKUP($A111,'Semrush Import'!$A:$D,2,FALSE),"")</f>
        <v/>
      </c>
      <c r="J111">
        <f>IFERROR(VLOOKUP($A111,'Semrush Import'!$A:$D,3,FALSE),"")</f>
        <v/>
      </c>
      <c r="K111">
        <f>IFERROR(VLOOKUP($A111,'Semrush Import'!$A:$D,4,FALSE),"")</f>
        <v/>
      </c>
      <c r="L111">
        <f>IFERROR(VLOOKUP($A111,'KP Import'!$A:$B,2,FALSE),"")</f>
        <v/>
      </c>
      <c r="M111">
        <f>IF(I111="","",ROUND(I111/(J111+10),1))</f>
        <v/>
      </c>
      <c r="N111">
        <f>IF(M111="","",IF(M111&gt;=20,"A - Go first",IF(M111&gt;=5,"B - Next","C - Later")))</f>
        <v/>
      </c>
      <c r="O111" t="inlineStr">
        <is>
          <t>To research</t>
        </is>
      </c>
      <c r="P111" t="inlineStr"/>
    </row>
    <row r="112">
      <c r="A112" t="inlineStr">
        <is>
          <t>matta rice wholesale dubai</t>
        </is>
      </c>
      <c r="B112" t="inlineStr">
        <is>
          <t>Wholesale/B2B</t>
        </is>
      </c>
      <c r="C112" t="inlineStr">
        <is>
          <t>South Indian</t>
        </is>
      </c>
      <c r="D112" t="inlineStr">
        <is>
          <t>Transactional (B2B)</t>
        </is>
      </c>
      <c r="E112" t="inlineStr">
        <is>
          <t>BOFU</t>
        </is>
      </c>
      <c r="F112" t="inlineStr">
        <is>
          <t>Dubai</t>
        </is>
      </c>
      <c r="G112" t="inlineStr">
        <is>
          <t>Wholesale landing page</t>
        </is>
      </c>
      <c r="H112" t="inlineStr">
        <is>
          <t>Landing</t>
        </is>
      </c>
      <c r="I112">
        <f>IFERROR(VLOOKUP($A112,'Semrush Import'!$A:$D,2,FALSE),"")</f>
        <v/>
      </c>
      <c r="J112">
        <f>IFERROR(VLOOKUP($A112,'Semrush Import'!$A:$D,3,FALSE),"")</f>
        <v/>
      </c>
      <c r="K112">
        <f>IFERROR(VLOOKUP($A112,'Semrush Import'!$A:$D,4,FALSE),"")</f>
        <v/>
      </c>
      <c r="L112">
        <f>IFERROR(VLOOKUP($A112,'KP Import'!$A:$B,2,FALSE),"")</f>
        <v/>
      </c>
      <c r="M112">
        <f>IF(I112="","",ROUND(I112/(J112+10),1))</f>
        <v/>
      </c>
      <c r="N112">
        <f>IF(M112="","",IF(M112&gt;=20,"A - Go first",IF(M112&gt;=5,"B - Next","C - Later")))</f>
        <v/>
      </c>
      <c r="O112" t="inlineStr">
        <is>
          <t>To research</t>
        </is>
      </c>
      <c r="P112" t="inlineStr"/>
    </row>
    <row r="113">
      <c r="A113" t="inlineStr">
        <is>
          <t>matta rice supplier uae</t>
        </is>
      </c>
      <c r="B113" t="inlineStr">
        <is>
          <t>Wholesale/B2B</t>
        </is>
      </c>
      <c r="C113" t="inlineStr">
        <is>
          <t>South Indian</t>
        </is>
      </c>
      <c r="D113" t="inlineStr">
        <is>
          <t>Transactional (B2B)</t>
        </is>
      </c>
      <c r="E113" t="inlineStr">
        <is>
          <t>BOFU</t>
        </is>
      </c>
      <c r="F113" t="inlineStr">
        <is>
          <t>UAE</t>
        </is>
      </c>
      <c r="G113" t="inlineStr">
        <is>
          <t>Wholesale landing page</t>
        </is>
      </c>
      <c r="H113" t="inlineStr">
        <is>
          <t>Landing</t>
        </is>
      </c>
      <c r="I113">
        <f>IFERROR(VLOOKUP($A113,'Semrush Import'!$A:$D,2,FALSE),"")</f>
        <v/>
      </c>
      <c r="J113">
        <f>IFERROR(VLOOKUP($A113,'Semrush Import'!$A:$D,3,FALSE),"")</f>
        <v/>
      </c>
      <c r="K113">
        <f>IFERROR(VLOOKUP($A113,'Semrush Import'!$A:$D,4,FALSE),"")</f>
        <v/>
      </c>
      <c r="L113">
        <f>IFERROR(VLOOKUP($A113,'KP Import'!$A:$B,2,FALSE),"")</f>
        <v/>
      </c>
      <c r="M113">
        <f>IF(I113="","",ROUND(I113/(J113+10),1))</f>
        <v/>
      </c>
      <c r="N113">
        <f>IF(M113="","",IF(M113&gt;=20,"A - Go first",IF(M113&gt;=5,"B - Next","C - Later")))</f>
        <v/>
      </c>
      <c r="O113" t="inlineStr">
        <is>
          <t>To research</t>
        </is>
      </c>
      <c r="P113" t="inlineStr"/>
    </row>
    <row r="114">
      <c r="A114" t="inlineStr">
        <is>
          <t>kerala matta rice</t>
        </is>
      </c>
      <c r="B114" t="inlineStr">
        <is>
          <t>Core product</t>
        </is>
      </c>
      <c r="C114" t="inlineStr">
        <is>
          <t>South Indian</t>
        </is>
      </c>
      <c r="D114" t="inlineStr">
        <is>
          <t>Informational/Commercial</t>
        </is>
      </c>
      <c r="E114" t="inlineStr">
        <is>
          <t>TOFU</t>
        </is>
      </c>
      <c r="F114" t="inlineStr">
        <is>
          <t>UAE (generic)</t>
        </is>
      </c>
      <c r="G114" t="inlineStr">
        <is>
          <t>Matta Rice product page</t>
        </is>
      </c>
      <c r="H114" t="inlineStr">
        <is>
          <t>Product</t>
        </is>
      </c>
      <c r="I114">
        <f>IFERROR(VLOOKUP($A114,'Semrush Import'!$A:$D,2,FALSE),"")</f>
        <v/>
      </c>
      <c r="J114">
        <f>IFERROR(VLOOKUP($A114,'Semrush Import'!$A:$D,3,FALSE),"")</f>
        <v/>
      </c>
      <c r="K114">
        <f>IFERROR(VLOOKUP($A114,'Semrush Import'!$A:$D,4,FALSE),"")</f>
        <v/>
      </c>
      <c r="L114">
        <f>IFERROR(VLOOKUP($A114,'KP Import'!$A:$B,2,FALSE),"")</f>
        <v/>
      </c>
      <c r="M114">
        <f>IF(I114="","",ROUND(I114/(J114+10),1))</f>
        <v/>
      </c>
      <c r="N114">
        <f>IF(M114="","",IF(M114&gt;=20,"A - Go first",IF(M114&gt;=5,"B - Next","C - Later")))</f>
        <v/>
      </c>
      <c r="O114" t="inlineStr">
        <is>
          <t>To research</t>
        </is>
      </c>
      <c r="P114" t="inlineStr"/>
    </row>
    <row r="115">
      <c r="A115" t="inlineStr">
        <is>
          <t>buy kerala matta rice online</t>
        </is>
      </c>
      <c r="B115" t="inlineStr">
        <is>
          <t>Transactional</t>
        </is>
      </c>
      <c r="C115" t="inlineStr">
        <is>
          <t>South Indian</t>
        </is>
      </c>
      <c r="D115" t="inlineStr">
        <is>
          <t>Transactional</t>
        </is>
      </c>
      <c r="E115" t="inlineStr">
        <is>
          <t>BOFU</t>
        </is>
      </c>
      <c r="F115" t="inlineStr">
        <is>
          <t>UAE (generic)</t>
        </is>
      </c>
      <c r="G115" t="inlineStr">
        <is>
          <t>Matta Rice product page</t>
        </is>
      </c>
      <c r="H115" t="inlineStr">
        <is>
          <t>Product</t>
        </is>
      </c>
      <c r="I115">
        <f>IFERROR(VLOOKUP($A115,'Semrush Import'!$A:$D,2,FALSE),"")</f>
        <v/>
      </c>
      <c r="J115">
        <f>IFERROR(VLOOKUP($A115,'Semrush Import'!$A:$D,3,FALSE),"")</f>
        <v/>
      </c>
      <c r="K115">
        <f>IFERROR(VLOOKUP($A115,'Semrush Import'!$A:$D,4,FALSE),"")</f>
        <v/>
      </c>
      <c r="L115">
        <f>IFERROR(VLOOKUP($A115,'KP Import'!$A:$B,2,FALSE),"")</f>
        <v/>
      </c>
      <c r="M115">
        <f>IF(I115="","",ROUND(I115/(J115+10),1))</f>
        <v/>
      </c>
      <c r="N115">
        <f>IF(M115="","",IF(M115&gt;=20,"A - Go first",IF(M115&gt;=5,"B - Next","C - Later")))</f>
        <v/>
      </c>
      <c r="O115" t="inlineStr">
        <is>
          <t>To research</t>
        </is>
      </c>
      <c r="P115" t="inlineStr"/>
    </row>
    <row r="116">
      <c r="A116" t="inlineStr">
        <is>
          <t>kerala matta rice price in uae</t>
        </is>
      </c>
      <c r="B116" t="inlineStr">
        <is>
          <t>Price</t>
        </is>
      </c>
      <c r="C116" t="inlineStr">
        <is>
          <t>South Indian</t>
        </is>
      </c>
      <c r="D116" t="inlineStr">
        <is>
          <t>Commercial/Transactional</t>
        </is>
      </c>
      <c r="E116" t="inlineStr">
        <is>
          <t>MOFU</t>
        </is>
      </c>
      <c r="F116" t="inlineStr">
        <is>
          <t>UAE</t>
        </is>
      </c>
      <c r="G116" t="inlineStr">
        <is>
          <t>Matta Rice product page</t>
        </is>
      </c>
      <c r="H116" t="inlineStr">
        <is>
          <t>Product</t>
        </is>
      </c>
      <c r="I116">
        <f>IFERROR(VLOOKUP($A116,'Semrush Import'!$A:$D,2,FALSE),"")</f>
        <v/>
      </c>
      <c r="J116">
        <f>IFERROR(VLOOKUP($A116,'Semrush Import'!$A:$D,3,FALSE),"")</f>
        <v/>
      </c>
      <c r="K116">
        <f>IFERROR(VLOOKUP($A116,'Semrush Import'!$A:$D,4,FALSE),"")</f>
        <v/>
      </c>
      <c r="L116">
        <f>IFERROR(VLOOKUP($A116,'KP Import'!$A:$B,2,FALSE),"")</f>
        <v/>
      </c>
      <c r="M116">
        <f>IF(I116="","",ROUND(I116/(J116+10),1))</f>
        <v/>
      </c>
      <c r="N116">
        <f>IF(M116="","",IF(M116&gt;=20,"A - Go first",IF(M116&gt;=5,"B - Next","C - Later")))</f>
        <v/>
      </c>
      <c r="O116" t="inlineStr">
        <is>
          <t>To research</t>
        </is>
      </c>
      <c r="P116" t="inlineStr"/>
    </row>
    <row r="117">
      <c r="A117" t="inlineStr">
        <is>
          <t>kerala matta rice price in dubai</t>
        </is>
      </c>
      <c r="B117" t="inlineStr">
        <is>
          <t>Price</t>
        </is>
      </c>
      <c r="C117" t="inlineStr">
        <is>
          <t>South Indian</t>
        </is>
      </c>
      <c r="D117" t="inlineStr">
        <is>
          <t>Commercial/Transactional</t>
        </is>
      </c>
      <c r="E117" t="inlineStr">
        <is>
          <t>MOFU</t>
        </is>
      </c>
      <c r="F117" t="inlineStr">
        <is>
          <t>Dubai</t>
        </is>
      </c>
      <c r="G117" t="inlineStr">
        <is>
          <t>Matta Rice product page</t>
        </is>
      </c>
      <c r="H117" t="inlineStr">
        <is>
          <t>Product</t>
        </is>
      </c>
      <c r="I117">
        <f>IFERROR(VLOOKUP($A117,'Semrush Import'!$A:$D,2,FALSE),"")</f>
        <v/>
      </c>
      <c r="J117">
        <f>IFERROR(VLOOKUP($A117,'Semrush Import'!$A:$D,3,FALSE),"")</f>
        <v/>
      </c>
      <c r="K117">
        <f>IFERROR(VLOOKUP($A117,'Semrush Import'!$A:$D,4,FALSE),"")</f>
        <v/>
      </c>
      <c r="L117">
        <f>IFERROR(VLOOKUP($A117,'KP Import'!$A:$B,2,FALSE),"")</f>
        <v/>
      </c>
      <c r="M117">
        <f>IF(I117="","",ROUND(I117/(J117+10),1))</f>
        <v/>
      </c>
      <c r="N117">
        <f>IF(M117="","",IF(M117&gt;=20,"A - Go first",IF(M117&gt;=5,"B - Next","C - Later")))</f>
        <v/>
      </c>
      <c r="O117" t="inlineStr">
        <is>
          <t>To research</t>
        </is>
      </c>
      <c r="P117" t="inlineStr"/>
    </row>
    <row r="118">
      <c r="A118" t="inlineStr">
        <is>
          <t>kerala matta rice online dubai</t>
        </is>
      </c>
      <c r="B118" t="inlineStr">
        <is>
          <t>Transactional</t>
        </is>
      </c>
      <c r="C118" t="inlineStr">
        <is>
          <t>South Indian</t>
        </is>
      </c>
      <c r="D118" t="inlineStr">
        <is>
          <t>Transactional</t>
        </is>
      </c>
      <c r="E118" t="inlineStr">
        <is>
          <t>BOFU</t>
        </is>
      </c>
      <c r="F118" t="inlineStr">
        <is>
          <t>Dubai</t>
        </is>
      </c>
      <c r="G118" t="inlineStr">
        <is>
          <t>Matta Rice product page</t>
        </is>
      </c>
      <c r="H118" t="inlineStr">
        <is>
          <t>Product</t>
        </is>
      </c>
      <c r="I118">
        <f>IFERROR(VLOOKUP($A118,'Semrush Import'!$A:$D,2,FALSE),"")</f>
        <v/>
      </c>
      <c r="J118">
        <f>IFERROR(VLOOKUP($A118,'Semrush Import'!$A:$D,3,FALSE),"")</f>
        <v/>
      </c>
      <c r="K118">
        <f>IFERROR(VLOOKUP($A118,'Semrush Import'!$A:$D,4,FALSE),"")</f>
        <v/>
      </c>
      <c r="L118">
        <f>IFERROR(VLOOKUP($A118,'KP Import'!$A:$B,2,FALSE),"")</f>
        <v/>
      </c>
      <c r="M118">
        <f>IF(I118="","",ROUND(I118/(J118+10),1))</f>
        <v/>
      </c>
      <c r="N118">
        <f>IF(M118="","",IF(M118&gt;=20,"A - Go first",IF(M118&gt;=5,"B - Next","C - Later")))</f>
        <v/>
      </c>
      <c r="O118" t="inlineStr">
        <is>
          <t>To research</t>
        </is>
      </c>
      <c r="P118" t="inlineStr"/>
    </row>
    <row r="119">
      <c r="A119" t="inlineStr">
        <is>
          <t>kerala matta rice wholesale dubai</t>
        </is>
      </c>
      <c r="B119" t="inlineStr">
        <is>
          <t>Wholesale/B2B</t>
        </is>
      </c>
      <c r="C119" t="inlineStr">
        <is>
          <t>South Indian</t>
        </is>
      </c>
      <c r="D119" t="inlineStr">
        <is>
          <t>Transactional (B2B)</t>
        </is>
      </c>
      <c r="E119" t="inlineStr">
        <is>
          <t>BOFU</t>
        </is>
      </c>
      <c r="F119" t="inlineStr">
        <is>
          <t>Dubai</t>
        </is>
      </c>
      <c r="G119" t="inlineStr">
        <is>
          <t>Wholesale landing page</t>
        </is>
      </c>
      <c r="H119" t="inlineStr">
        <is>
          <t>Landing</t>
        </is>
      </c>
      <c r="I119">
        <f>IFERROR(VLOOKUP($A119,'Semrush Import'!$A:$D,2,FALSE),"")</f>
        <v/>
      </c>
      <c r="J119">
        <f>IFERROR(VLOOKUP($A119,'Semrush Import'!$A:$D,3,FALSE),"")</f>
        <v/>
      </c>
      <c r="K119">
        <f>IFERROR(VLOOKUP($A119,'Semrush Import'!$A:$D,4,FALSE),"")</f>
        <v/>
      </c>
      <c r="L119">
        <f>IFERROR(VLOOKUP($A119,'KP Import'!$A:$B,2,FALSE),"")</f>
        <v/>
      </c>
      <c r="M119">
        <f>IF(I119="","",ROUND(I119/(J119+10),1))</f>
        <v/>
      </c>
      <c r="N119">
        <f>IF(M119="","",IF(M119&gt;=20,"A - Go first",IF(M119&gt;=5,"B - Next","C - Later")))</f>
        <v/>
      </c>
      <c r="O119" t="inlineStr">
        <is>
          <t>To research</t>
        </is>
      </c>
      <c r="P119" t="inlineStr"/>
    </row>
    <row r="120">
      <c r="A120" t="inlineStr">
        <is>
          <t>kerala matta rice supplier uae</t>
        </is>
      </c>
      <c r="B120" t="inlineStr">
        <is>
          <t>Wholesale/B2B</t>
        </is>
      </c>
      <c r="C120" t="inlineStr">
        <is>
          <t>South Indian</t>
        </is>
      </c>
      <c r="D120" t="inlineStr">
        <is>
          <t>Transactional (B2B)</t>
        </is>
      </c>
      <c r="E120" t="inlineStr">
        <is>
          <t>BOFU</t>
        </is>
      </c>
      <c r="F120" t="inlineStr">
        <is>
          <t>UAE</t>
        </is>
      </c>
      <c r="G120" t="inlineStr">
        <is>
          <t>Wholesale landing page</t>
        </is>
      </c>
      <c r="H120" t="inlineStr">
        <is>
          <t>Landing</t>
        </is>
      </c>
      <c r="I120">
        <f>IFERROR(VLOOKUP($A120,'Semrush Import'!$A:$D,2,FALSE),"")</f>
        <v/>
      </c>
      <c r="J120">
        <f>IFERROR(VLOOKUP($A120,'Semrush Import'!$A:$D,3,FALSE),"")</f>
        <v/>
      </c>
      <c r="K120">
        <f>IFERROR(VLOOKUP($A120,'Semrush Import'!$A:$D,4,FALSE),"")</f>
        <v/>
      </c>
      <c r="L120">
        <f>IFERROR(VLOOKUP($A120,'KP Import'!$A:$B,2,FALSE),"")</f>
        <v/>
      </c>
      <c r="M120">
        <f>IF(I120="","",ROUND(I120/(J120+10),1))</f>
        <v/>
      </c>
      <c r="N120">
        <f>IF(M120="","",IF(M120&gt;=20,"A - Go first",IF(M120&gt;=5,"B - Next","C - Later")))</f>
        <v/>
      </c>
      <c r="O120" t="inlineStr">
        <is>
          <t>To research</t>
        </is>
      </c>
      <c r="P120" t="inlineStr"/>
    </row>
    <row r="121">
      <c r="A121" t="inlineStr">
        <is>
          <t>idli rice</t>
        </is>
      </c>
      <c r="B121" t="inlineStr">
        <is>
          <t>Core product</t>
        </is>
      </c>
      <c r="C121" t="inlineStr">
        <is>
          <t>South Indian</t>
        </is>
      </c>
      <c r="D121" t="inlineStr">
        <is>
          <t>Informational/Commercial</t>
        </is>
      </c>
      <c r="E121" t="inlineStr">
        <is>
          <t>TOFU</t>
        </is>
      </c>
      <c r="F121" t="inlineStr">
        <is>
          <t>UAE (generic)</t>
        </is>
      </c>
      <c r="G121" t="inlineStr">
        <is>
          <t>Idli Rice product page</t>
        </is>
      </c>
      <c r="H121" t="inlineStr">
        <is>
          <t>Product</t>
        </is>
      </c>
      <c r="I121">
        <f>IFERROR(VLOOKUP($A121,'Semrush Import'!$A:$D,2,FALSE),"")</f>
        <v/>
      </c>
      <c r="J121">
        <f>IFERROR(VLOOKUP($A121,'Semrush Import'!$A:$D,3,FALSE),"")</f>
        <v/>
      </c>
      <c r="K121">
        <f>IFERROR(VLOOKUP($A121,'Semrush Import'!$A:$D,4,FALSE),"")</f>
        <v/>
      </c>
      <c r="L121">
        <f>IFERROR(VLOOKUP($A121,'KP Import'!$A:$B,2,FALSE),"")</f>
        <v/>
      </c>
      <c r="M121">
        <f>IF(I121="","",ROUND(I121/(J121+10),1))</f>
        <v/>
      </c>
      <c r="N121">
        <f>IF(M121="","",IF(M121&gt;=20,"A - Go first",IF(M121&gt;=5,"B - Next","C - Later")))</f>
        <v/>
      </c>
      <c r="O121" t="inlineStr">
        <is>
          <t>To research</t>
        </is>
      </c>
      <c r="P121" t="inlineStr"/>
    </row>
    <row r="122">
      <c r="A122" t="inlineStr">
        <is>
          <t>buy idli rice online</t>
        </is>
      </c>
      <c r="B122" t="inlineStr">
        <is>
          <t>Transactional</t>
        </is>
      </c>
      <c r="C122" t="inlineStr">
        <is>
          <t>South Indian</t>
        </is>
      </c>
      <c r="D122" t="inlineStr">
        <is>
          <t>Transactional</t>
        </is>
      </c>
      <c r="E122" t="inlineStr">
        <is>
          <t>BOFU</t>
        </is>
      </c>
      <c r="F122" t="inlineStr">
        <is>
          <t>UAE (generic)</t>
        </is>
      </c>
      <c r="G122" t="inlineStr">
        <is>
          <t>Idli Rice product page</t>
        </is>
      </c>
      <c r="H122" t="inlineStr">
        <is>
          <t>Product</t>
        </is>
      </c>
      <c r="I122">
        <f>IFERROR(VLOOKUP($A122,'Semrush Import'!$A:$D,2,FALSE),"")</f>
        <v/>
      </c>
      <c r="J122">
        <f>IFERROR(VLOOKUP($A122,'Semrush Import'!$A:$D,3,FALSE),"")</f>
        <v/>
      </c>
      <c r="K122">
        <f>IFERROR(VLOOKUP($A122,'Semrush Import'!$A:$D,4,FALSE),"")</f>
        <v/>
      </c>
      <c r="L122">
        <f>IFERROR(VLOOKUP($A122,'KP Import'!$A:$B,2,FALSE),"")</f>
        <v/>
      </c>
      <c r="M122">
        <f>IF(I122="","",ROUND(I122/(J122+10),1))</f>
        <v/>
      </c>
      <c r="N122">
        <f>IF(M122="","",IF(M122&gt;=20,"A - Go first",IF(M122&gt;=5,"B - Next","C - Later")))</f>
        <v/>
      </c>
      <c r="O122" t="inlineStr">
        <is>
          <t>To research</t>
        </is>
      </c>
      <c r="P122" t="inlineStr"/>
    </row>
    <row r="123">
      <c r="A123" t="inlineStr">
        <is>
          <t>idli rice price in uae</t>
        </is>
      </c>
      <c r="B123" t="inlineStr">
        <is>
          <t>Price</t>
        </is>
      </c>
      <c r="C123" t="inlineStr">
        <is>
          <t>South Indian</t>
        </is>
      </c>
      <c r="D123" t="inlineStr">
        <is>
          <t>Commercial/Transactional</t>
        </is>
      </c>
      <c r="E123" t="inlineStr">
        <is>
          <t>MOFU</t>
        </is>
      </c>
      <c r="F123" t="inlineStr">
        <is>
          <t>UAE</t>
        </is>
      </c>
      <c r="G123" t="inlineStr">
        <is>
          <t>Idli Rice product page</t>
        </is>
      </c>
      <c r="H123" t="inlineStr">
        <is>
          <t>Product</t>
        </is>
      </c>
      <c r="I123">
        <f>IFERROR(VLOOKUP($A123,'Semrush Import'!$A:$D,2,FALSE),"")</f>
        <v/>
      </c>
      <c r="J123">
        <f>IFERROR(VLOOKUP($A123,'Semrush Import'!$A:$D,3,FALSE),"")</f>
        <v/>
      </c>
      <c r="K123">
        <f>IFERROR(VLOOKUP($A123,'Semrush Import'!$A:$D,4,FALSE),"")</f>
        <v/>
      </c>
      <c r="L123">
        <f>IFERROR(VLOOKUP($A123,'KP Import'!$A:$B,2,FALSE),"")</f>
        <v/>
      </c>
      <c r="M123">
        <f>IF(I123="","",ROUND(I123/(J123+10),1))</f>
        <v/>
      </c>
      <c r="N123">
        <f>IF(M123="","",IF(M123&gt;=20,"A - Go first",IF(M123&gt;=5,"B - Next","C - Later")))</f>
        <v/>
      </c>
      <c r="O123" t="inlineStr">
        <is>
          <t>To research</t>
        </is>
      </c>
      <c r="P123" t="inlineStr"/>
    </row>
    <row r="124">
      <c r="A124" t="inlineStr">
        <is>
          <t>idli rice price in dubai</t>
        </is>
      </c>
      <c r="B124" t="inlineStr">
        <is>
          <t>Price</t>
        </is>
      </c>
      <c r="C124" t="inlineStr">
        <is>
          <t>South Indian</t>
        </is>
      </c>
      <c r="D124" t="inlineStr">
        <is>
          <t>Commercial/Transactional</t>
        </is>
      </c>
      <c r="E124" t="inlineStr">
        <is>
          <t>MOFU</t>
        </is>
      </c>
      <c r="F124" t="inlineStr">
        <is>
          <t>Dubai</t>
        </is>
      </c>
      <c r="G124" t="inlineStr">
        <is>
          <t>Idli Rice product page</t>
        </is>
      </c>
      <c r="H124" t="inlineStr">
        <is>
          <t>Product</t>
        </is>
      </c>
      <c r="I124">
        <f>IFERROR(VLOOKUP($A124,'Semrush Import'!$A:$D,2,FALSE),"")</f>
        <v/>
      </c>
      <c r="J124">
        <f>IFERROR(VLOOKUP($A124,'Semrush Import'!$A:$D,3,FALSE),"")</f>
        <v/>
      </c>
      <c r="K124">
        <f>IFERROR(VLOOKUP($A124,'Semrush Import'!$A:$D,4,FALSE),"")</f>
        <v/>
      </c>
      <c r="L124">
        <f>IFERROR(VLOOKUP($A124,'KP Import'!$A:$B,2,FALSE),"")</f>
        <v/>
      </c>
      <c r="M124">
        <f>IF(I124="","",ROUND(I124/(J124+10),1))</f>
        <v/>
      </c>
      <c r="N124">
        <f>IF(M124="","",IF(M124&gt;=20,"A - Go first",IF(M124&gt;=5,"B - Next","C - Later")))</f>
        <v/>
      </c>
      <c r="O124" t="inlineStr">
        <is>
          <t>To research</t>
        </is>
      </c>
      <c r="P124" t="inlineStr"/>
    </row>
    <row r="125">
      <c r="A125" t="inlineStr">
        <is>
          <t>idli rice online dubai</t>
        </is>
      </c>
      <c r="B125" t="inlineStr">
        <is>
          <t>Transactional</t>
        </is>
      </c>
      <c r="C125" t="inlineStr">
        <is>
          <t>South Indian</t>
        </is>
      </c>
      <c r="D125" t="inlineStr">
        <is>
          <t>Transactional</t>
        </is>
      </c>
      <c r="E125" t="inlineStr">
        <is>
          <t>BOFU</t>
        </is>
      </c>
      <c r="F125" t="inlineStr">
        <is>
          <t>Dubai</t>
        </is>
      </c>
      <c r="G125" t="inlineStr">
        <is>
          <t>Idli Rice product page</t>
        </is>
      </c>
      <c r="H125" t="inlineStr">
        <is>
          <t>Product</t>
        </is>
      </c>
      <c r="I125">
        <f>IFERROR(VLOOKUP($A125,'Semrush Import'!$A:$D,2,FALSE),"")</f>
        <v/>
      </c>
      <c r="J125">
        <f>IFERROR(VLOOKUP($A125,'Semrush Import'!$A:$D,3,FALSE),"")</f>
        <v/>
      </c>
      <c r="K125">
        <f>IFERROR(VLOOKUP($A125,'Semrush Import'!$A:$D,4,FALSE),"")</f>
        <v/>
      </c>
      <c r="L125">
        <f>IFERROR(VLOOKUP($A125,'KP Import'!$A:$B,2,FALSE),"")</f>
        <v/>
      </c>
      <c r="M125">
        <f>IF(I125="","",ROUND(I125/(J125+10),1))</f>
        <v/>
      </c>
      <c r="N125">
        <f>IF(M125="","",IF(M125&gt;=20,"A - Go first",IF(M125&gt;=5,"B - Next","C - Later")))</f>
        <v/>
      </c>
      <c r="O125" t="inlineStr">
        <is>
          <t>To research</t>
        </is>
      </c>
      <c r="P125" t="inlineStr"/>
    </row>
    <row r="126">
      <c r="A126" t="inlineStr">
        <is>
          <t>idli rice wholesale dubai</t>
        </is>
      </c>
      <c r="B126" t="inlineStr">
        <is>
          <t>Wholesale/B2B</t>
        </is>
      </c>
      <c r="C126" t="inlineStr">
        <is>
          <t>South Indian</t>
        </is>
      </c>
      <c r="D126" t="inlineStr">
        <is>
          <t>Transactional (B2B)</t>
        </is>
      </c>
      <c r="E126" t="inlineStr">
        <is>
          <t>BOFU</t>
        </is>
      </c>
      <c r="F126" t="inlineStr">
        <is>
          <t>Dubai</t>
        </is>
      </c>
      <c r="G126" t="inlineStr">
        <is>
          <t>Wholesale landing page</t>
        </is>
      </c>
      <c r="H126" t="inlineStr">
        <is>
          <t>Landing</t>
        </is>
      </c>
      <c r="I126">
        <f>IFERROR(VLOOKUP($A126,'Semrush Import'!$A:$D,2,FALSE),"")</f>
        <v/>
      </c>
      <c r="J126">
        <f>IFERROR(VLOOKUP($A126,'Semrush Import'!$A:$D,3,FALSE),"")</f>
        <v/>
      </c>
      <c r="K126">
        <f>IFERROR(VLOOKUP($A126,'Semrush Import'!$A:$D,4,FALSE),"")</f>
        <v/>
      </c>
      <c r="L126">
        <f>IFERROR(VLOOKUP($A126,'KP Import'!$A:$B,2,FALSE),"")</f>
        <v/>
      </c>
      <c r="M126">
        <f>IF(I126="","",ROUND(I126/(J126+10),1))</f>
        <v/>
      </c>
      <c r="N126">
        <f>IF(M126="","",IF(M126&gt;=20,"A - Go first",IF(M126&gt;=5,"B - Next","C - Later")))</f>
        <v/>
      </c>
      <c r="O126" t="inlineStr">
        <is>
          <t>To research</t>
        </is>
      </c>
      <c r="P126" t="inlineStr"/>
    </row>
    <row r="127">
      <c r="A127" t="inlineStr">
        <is>
          <t>idli rice supplier uae</t>
        </is>
      </c>
      <c r="B127" t="inlineStr">
        <is>
          <t>Wholesale/B2B</t>
        </is>
      </c>
      <c r="C127" t="inlineStr">
        <is>
          <t>South Indian</t>
        </is>
      </c>
      <c r="D127" t="inlineStr">
        <is>
          <t>Transactional (B2B)</t>
        </is>
      </c>
      <c r="E127" t="inlineStr">
        <is>
          <t>BOFU</t>
        </is>
      </c>
      <c r="F127" t="inlineStr">
        <is>
          <t>UAE</t>
        </is>
      </c>
      <c r="G127" t="inlineStr">
        <is>
          <t>Wholesale landing page</t>
        </is>
      </c>
      <c r="H127" t="inlineStr">
        <is>
          <t>Landing</t>
        </is>
      </c>
      <c r="I127">
        <f>IFERROR(VLOOKUP($A127,'Semrush Import'!$A:$D,2,FALSE),"")</f>
        <v/>
      </c>
      <c r="J127">
        <f>IFERROR(VLOOKUP($A127,'Semrush Import'!$A:$D,3,FALSE),"")</f>
        <v/>
      </c>
      <c r="K127">
        <f>IFERROR(VLOOKUP($A127,'Semrush Import'!$A:$D,4,FALSE),"")</f>
        <v/>
      </c>
      <c r="L127">
        <f>IFERROR(VLOOKUP($A127,'KP Import'!$A:$B,2,FALSE),"")</f>
        <v/>
      </c>
      <c r="M127">
        <f>IF(I127="","",ROUND(I127/(J127+10),1))</f>
        <v/>
      </c>
      <c r="N127">
        <f>IF(M127="","",IF(M127&gt;=20,"A - Go first",IF(M127&gt;=5,"B - Next","C - Later")))</f>
        <v/>
      </c>
      <c r="O127" t="inlineStr">
        <is>
          <t>To research</t>
        </is>
      </c>
      <c r="P127" t="inlineStr"/>
    </row>
    <row r="128">
      <c r="A128" t="inlineStr">
        <is>
          <t>raw rice</t>
        </is>
      </c>
      <c r="B128" t="inlineStr">
        <is>
          <t>Core product</t>
        </is>
      </c>
      <c r="C128" t="inlineStr">
        <is>
          <t>Indian staple</t>
        </is>
      </c>
      <c r="D128" t="inlineStr">
        <is>
          <t>Informational/Commercial</t>
        </is>
      </c>
      <c r="E128" t="inlineStr">
        <is>
          <t>TOFU</t>
        </is>
      </c>
      <c r="F128" t="inlineStr">
        <is>
          <t>UAE (generic)</t>
        </is>
      </c>
      <c r="G128" t="inlineStr">
        <is>
          <t>Non-Basmati Rice category</t>
        </is>
      </c>
      <c r="H128" t="inlineStr">
        <is>
          <t>Category</t>
        </is>
      </c>
      <c r="I128">
        <f>IFERROR(VLOOKUP($A128,'Semrush Import'!$A:$D,2,FALSE),"")</f>
        <v/>
      </c>
      <c r="J128">
        <f>IFERROR(VLOOKUP($A128,'Semrush Import'!$A:$D,3,FALSE),"")</f>
        <v/>
      </c>
      <c r="K128">
        <f>IFERROR(VLOOKUP($A128,'Semrush Import'!$A:$D,4,FALSE),"")</f>
        <v/>
      </c>
      <c r="L128">
        <f>IFERROR(VLOOKUP($A128,'KP Import'!$A:$B,2,FALSE),"")</f>
        <v/>
      </c>
      <c r="M128">
        <f>IF(I128="","",ROUND(I128/(J128+10),1))</f>
        <v/>
      </c>
      <c r="N128">
        <f>IF(M128="","",IF(M128&gt;=20,"A - Go first",IF(M128&gt;=5,"B - Next","C - Later")))</f>
        <v/>
      </c>
      <c r="O128" t="inlineStr">
        <is>
          <t>To research</t>
        </is>
      </c>
      <c r="P128" t="inlineStr"/>
    </row>
    <row r="129">
      <c r="A129" t="inlineStr">
        <is>
          <t>buy raw rice online</t>
        </is>
      </c>
      <c r="B129" t="inlineStr">
        <is>
          <t>Transactional</t>
        </is>
      </c>
      <c r="C129" t="inlineStr">
        <is>
          <t>Indian staple</t>
        </is>
      </c>
      <c r="D129" t="inlineStr">
        <is>
          <t>Transactional</t>
        </is>
      </c>
      <c r="E129" t="inlineStr">
        <is>
          <t>BOFU</t>
        </is>
      </c>
      <c r="F129" t="inlineStr">
        <is>
          <t>UAE (generic)</t>
        </is>
      </c>
      <c r="G129" t="inlineStr">
        <is>
          <t>Non-Basmati Rice category</t>
        </is>
      </c>
      <c r="H129" t="inlineStr">
        <is>
          <t>Category</t>
        </is>
      </c>
      <c r="I129">
        <f>IFERROR(VLOOKUP($A129,'Semrush Import'!$A:$D,2,FALSE),"")</f>
        <v/>
      </c>
      <c r="J129">
        <f>IFERROR(VLOOKUP($A129,'Semrush Import'!$A:$D,3,FALSE),"")</f>
        <v/>
      </c>
      <c r="K129">
        <f>IFERROR(VLOOKUP($A129,'Semrush Import'!$A:$D,4,FALSE),"")</f>
        <v/>
      </c>
      <c r="L129">
        <f>IFERROR(VLOOKUP($A129,'KP Import'!$A:$B,2,FALSE),"")</f>
        <v/>
      </c>
      <c r="M129">
        <f>IF(I129="","",ROUND(I129/(J129+10),1))</f>
        <v/>
      </c>
      <c r="N129">
        <f>IF(M129="","",IF(M129&gt;=20,"A - Go first",IF(M129&gt;=5,"B - Next","C - Later")))</f>
        <v/>
      </c>
      <c r="O129" t="inlineStr">
        <is>
          <t>To research</t>
        </is>
      </c>
      <c r="P129" t="inlineStr"/>
    </row>
    <row r="130">
      <c r="A130" t="inlineStr">
        <is>
          <t>raw rice price in uae</t>
        </is>
      </c>
      <c r="B130" t="inlineStr">
        <is>
          <t>Price</t>
        </is>
      </c>
      <c r="C130" t="inlineStr">
        <is>
          <t>Indian staple</t>
        </is>
      </c>
      <c r="D130" t="inlineStr">
        <is>
          <t>Commercial/Transactional</t>
        </is>
      </c>
      <c r="E130" t="inlineStr">
        <is>
          <t>MOFU</t>
        </is>
      </c>
      <c r="F130" t="inlineStr">
        <is>
          <t>UAE</t>
        </is>
      </c>
      <c r="G130" t="inlineStr">
        <is>
          <t>Non-Basmati Rice category</t>
        </is>
      </c>
      <c r="H130" t="inlineStr">
        <is>
          <t>Category</t>
        </is>
      </c>
      <c r="I130">
        <f>IFERROR(VLOOKUP($A130,'Semrush Import'!$A:$D,2,FALSE),"")</f>
        <v/>
      </c>
      <c r="J130">
        <f>IFERROR(VLOOKUP($A130,'Semrush Import'!$A:$D,3,FALSE),"")</f>
        <v/>
      </c>
      <c r="K130">
        <f>IFERROR(VLOOKUP($A130,'Semrush Import'!$A:$D,4,FALSE),"")</f>
        <v/>
      </c>
      <c r="L130">
        <f>IFERROR(VLOOKUP($A130,'KP Import'!$A:$B,2,FALSE),"")</f>
        <v/>
      </c>
      <c r="M130">
        <f>IF(I130="","",ROUND(I130/(J130+10),1))</f>
        <v/>
      </c>
      <c r="N130">
        <f>IF(M130="","",IF(M130&gt;=20,"A - Go first",IF(M130&gt;=5,"B - Next","C - Later")))</f>
        <v/>
      </c>
      <c r="O130" t="inlineStr">
        <is>
          <t>To research</t>
        </is>
      </c>
      <c r="P130" t="inlineStr"/>
    </row>
    <row r="131">
      <c r="A131" t="inlineStr">
        <is>
          <t>raw rice price in dubai</t>
        </is>
      </c>
      <c r="B131" t="inlineStr">
        <is>
          <t>Price</t>
        </is>
      </c>
      <c r="C131" t="inlineStr">
        <is>
          <t>Indian staple</t>
        </is>
      </c>
      <c r="D131" t="inlineStr">
        <is>
          <t>Commercial/Transactional</t>
        </is>
      </c>
      <c r="E131" t="inlineStr">
        <is>
          <t>MOFU</t>
        </is>
      </c>
      <c r="F131" t="inlineStr">
        <is>
          <t>Dubai</t>
        </is>
      </c>
      <c r="G131" t="inlineStr">
        <is>
          <t>Non-Basmati Rice category</t>
        </is>
      </c>
      <c r="H131" t="inlineStr">
        <is>
          <t>Category</t>
        </is>
      </c>
      <c r="I131">
        <f>IFERROR(VLOOKUP($A131,'Semrush Import'!$A:$D,2,FALSE),"")</f>
        <v/>
      </c>
      <c r="J131">
        <f>IFERROR(VLOOKUP($A131,'Semrush Import'!$A:$D,3,FALSE),"")</f>
        <v/>
      </c>
      <c r="K131">
        <f>IFERROR(VLOOKUP($A131,'Semrush Import'!$A:$D,4,FALSE),"")</f>
        <v/>
      </c>
      <c r="L131">
        <f>IFERROR(VLOOKUP($A131,'KP Import'!$A:$B,2,FALSE),"")</f>
        <v/>
      </c>
      <c r="M131">
        <f>IF(I131="","",ROUND(I131/(J131+10),1))</f>
        <v/>
      </c>
      <c r="N131">
        <f>IF(M131="","",IF(M131&gt;=20,"A - Go first",IF(M131&gt;=5,"B - Next","C - Later")))</f>
        <v/>
      </c>
      <c r="O131" t="inlineStr">
        <is>
          <t>To research</t>
        </is>
      </c>
      <c r="P131" t="inlineStr"/>
    </row>
    <row r="132">
      <c r="A132" t="inlineStr">
        <is>
          <t>raw rice online dubai</t>
        </is>
      </c>
      <c r="B132" t="inlineStr">
        <is>
          <t>Transactional</t>
        </is>
      </c>
      <c r="C132" t="inlineStr">
        <is>
          <t>Indian staple</t>
        </is>
      </c>
      <c r="D132" t="inlineStr">
        <is>
          <t>Transactional</t>
        </is>
      </c>
      <c r="E132" t="inlineStr">
        <is>
          <t>BOFU</t>
        </is>
      </c>
      <c r="F132" t="inlineStr">
        <is>
          <t>Dubai</t>
        </is>
      </c>
      <c r="G132" t="inlineStr">
        <is>
          <t>Non-Basmati Rice category</t>
        </is>
      </c>
      <c r="H132" t="inlineStr">
        <is>
          <t>Category</t>
        </is>
      </c>
      <c r="I132">
        <f>IFERROR(VLOOKUP($A132,'Semrush Import'!$A:$D,2,FALSE),"")</f>
        <v/>
      </c>
      <c r="J132">
        <f>IFERROR(VLOOKUP($A132,'Semrush Import'!$A:$D,3,FALSE),"")</f>
        <v/>
      </c>
      <c r="K132">
        <f>IFERROR(VLOOKUP($A132,'Semrush Import'!$A:$D,4,FALSE),"")</f>
        <v/>
      </c>
      <c r="L132">
        <f>IFERROR(VLOOKUP($A132,'KP Import'!$A:$B,2,FALSE),"")</f>
        <v/>
      </c>
      <c r="M132">
        <f>IF(I132="","",ROUND(I132/(J132+10),1))</f>
        <v/>
      </c>
      <c r="N132">
        <f>IF(M132="","",IF(M132&gt;=20,"A - Go first",IF(M132&gt;=5,"B - Next","C - Later")))</f>
        <v/>
      </c>
      <c r="O132" t="inlineStr">
        <is>
          <t>To research</t>
        </is>
      </c>
      <c r="P132" t="inlineStr"/>
    </row>
    <row r="133">
      <c r="A133" t="inlineStr">
        <is>
          <t>raw rice wholesale dubai</t>
        </is>
      </c>
      <c r="B133" t="inlineStr">
        <is>
          <t>Wholesale/B2B</t>
        </is>
      </c>
      <c r="C133" t="inlineStr">
        <is>
          <t>Indian staple</t>
        </is>
      </c>
      <c r="D133" t="inlineStr">
        <is>
          <t>Transactional (B2B)</t>
        </is>
      </c>
      <c r="E133" t="inlineStr">
        <is>
          <t>BOFU</t>
        </is>
      </c>
      <c r="F133" t="inlineStr">
        <is>
          <t>Dubai</t>
        </is>
      </c>
      <c r="G133" t="inlineStr">
        <is>
          <t>Wholesale landing page</t>
        </is>
      </c>
      <c r="H133" t="inlineStr">
        <is>
          <t>Landing</t>
        </is>
      </c>
      <c r="I133">
        <f>IFERROR(VLOOKUP($A133,'Semrush Import'!$A:$D,2,FALSE),"")</f>
        <v/>
      </c>
      <c r="J133">
        <f>IFERROR(VLOOKUP($A133,'Semrush Import'!$A:$D,3,FALSE),"")</f>
        <v/>
      </c>
      <c r="K133">
        <f>IFERROR(VLOOKUP($A133,'Semrush Import'!$A:$D,4,FALSE),"")</f>
        <v/>
      </c>
      <c r="L133">
        <f>IFERROR(VLOOKUP($A133,'KP Import'!$A:$B,2,FALSE),"")</f>
        <v/>
      </c>
      <c r="M133">
        <f>IF(I133="","",ROUND(I133/(J133+10),1))</f>
        <v/>
      </c>
      <c r="N133">
        <f>IF(M133="","",IF(M133&gt;=20,"A - Go first",IF(M133&gt;=5,"B - Next","C - Later")))</f>
        <v/>
      </c>
      <c r="O133" t="inlineStr">
        <is>
          <t>To research</t>
        </is>
      </c>
      <c r="P133" t="inlineStr"/>
    </row>
    <row r="134">
      <c r="A134" t="inlineStr">
        <is>
          <t>raw rice supplier uae</t>
        </is>
      </c>
      <c r="B134" t="inlineStr">
        <is>
          <t>Wholesale/B2B</t>
        </is>
      </c>
      <c r="C134" t="inlineStr">
        <is>
          <t>Indian staple</t>
        </is>
      </c>
      <c r="D134" t="inlineStr">
        <is>
          <t>Transactional (B2B)</t>
        </is>
      </c>
      <c r="E134" t="inlineStr">
        <is>
          <t>BOFU</t>
        </is>
      </c>
      <c r="F134" t="inlineStr">
        <is>
          <t>UAE</t>
        </is>
      </c>
      <c r="G134" t="inlineStr">
        <is>
          <t>Wholesale landing page</t>
        </is>
      </c>
      <c r="H134" t="inlineStr">
        <is>
          <t>Landing</t>
        </is>
      </c>
      <c r="I134">
        <f>IFERROR(VLOOKUP($A134,'Semrush Import'!$A:$D,2,FALSE),"")</f>
        <v/>
      </c>
      <c r="J134">
        <f>IFERROR(VLOOKUP($A134,'Semrush Import'!$A:$D,3,FALSE),"")</f>
        <v/>
      </c>
      <c r="K134">
        <f>IFERROR(VLOOKUP($A134,'Semrush Import'!$A:$D,4,FALSE),"")</f>
        <v/>
      </c>
      <c r="L134">
        <f>IFERROR(VLOOKUP($A134,'KP Import'!$A:$B,2,FALSE),"")</f>
        <v/>
      </c>
      <c r="M134">
        <f>IF(I134="","",ROUND(I134/(J134+10),1))</f>
        <v/>
      </c>
      <c r="N134">
        <f>IF(M134="","",IF(M134&gt;=20,"A - Go first",IF(M134&gt;=5,"B - Next","C - Later")))</f>
        <v/>
      </c>
      <c r="O134" t="inlineStr">
        <is>
          <t>To research</t>
        </is>
      </c>
      <c r="P134" t="inlineStr"/>
    </row>
    <row r="135">
      <c r="A135" t="inlineStr">
        <is>
          <t>parboiled rice</t>
        </is>
      </c>
      <c r="B135" t="inlineStr">
        <is>
          <t>Core product</t>
        </is>
      </c>
      <c r="C135" t="inlineStr">
        <is>
          <t>Indian staple</t>
        </is>
      </c>
      <c r="D135" t="inlineStr">
        <is>
          <t>Informational/Commercial</t>
        </is>
      </c>
      <c r="E135" t="inlineStr">
        <is>
          <t>TOFU</t>
        </is>
      </c>
      <c r="F135" t="inlineStr">
        <is>
          <t>UAE (generic)</t>
        </is>
      </c>
      <c r="G135" t="inlineStr">
        <is>
          <t>Non-Basmati Rice category</t>
        </is>
      </c>
      <c r="H135" t="inlineStr">
        <is>
          <t>Category</t>
        </is>
      </c>
      <c r="I135">
        <f>IFERROR(VLOOKUP($A135,'Semrush Import'!$A:$D,2,FALSE),"")</f>
        <v/>
      </c>
      <c r="J135">
        <f>IFERROR(VLOOKUP($A135,'Semrush Import'!$A:$D,3,FALSE),"")</f>
        <v/>
      </c>
      <c r="K135">
        <f>IFERROR(VLOOKUP($A135,'Semrush Import'!$A:$D,4,FALSE),"")</f>
        <v/>
      </c>
      <c r="L135">
        <f>IFERROR(VLOOKUP($A135,'KP Import'!$A:$B,2,FALSE),"")</f>
        <v/>
      </c>
      <c r="M135">
        <f>IF(I135="","",ROUND(I135/(J135+10),1))</f>
        <v/>
      </c>
      <c r="N135">
        <f>IF(M135="","",IF(M135&gt;=20,"A - Go first",IF(M135&gt;=5,"B - Next","C - Later")))</f>
        <v/>
      </c>
      <c r="O135" t="inlineStr">
        <is>
          <t>To research</t>
        </is>
      </c>
      <c r="P135" t="inlineStr"/>
    </row>
    <row r="136">
      <c r="A136" t="inlineStr">
        <is>
          <t>buy parboiled rice online</t>
        </is>
      </c>
      <c r="B136" t="inlineStr">
        <is>
          <t>Transactional</t>
        </is>
      </c>
      <c r="C136" t="inlineStr">
        <is>
          <t>Indian staple</t>
        </is>
      </c>
      <c r="D136" t="inlineStr">
        <is>
          <t>Transactional</t>
        </is>
      </c>
      <c r="E136" t="inlineStr">
        <is>
          <t>BOFU</t>
        </is>
      </c>
      <c r="F136" t="inlineStr">
        <is>
          <t>UAE (generic)</t>
        </is>
      </c>
      <c r="G136" t="inlineStr">
        <is>
          <t>Non-Basmati Rice category</t>
        </is>
      </c>
      <c r="H136" t="inlineStr">
        <is>
          <t>Category</t>
        </is>
      </c>
      <c r="I136">
        <f>IFERROR(VLOOKUP($A136,'Semrush Import'!$A:$D,2,FALSE),"")</f>
        <v/>
      </c>
      <c r="J136">
        <f>IFERROR(VLOOKUP($A136,'Semrush Import'!$A:$D,3,FALSE),"")</f>
        <v/>
      </c>
      <c r="K136">
        <f>IFERROR(VLOOKUP($A136,'Semrush Import'!$A:$D,4,FALSE),"")</f>
        <v/>
      </c>
      <c r="L136">
        <f>IFERROR(VLOOKUP($A136,'KP Import'!$A:$B,2,FALSE),"")</f>
        <v/>
      </c>
      <c r="M136">
        <f>IF(I136="","",ROUND(I136/(J136+10),1))</f>
        <v/>
      </c>
      <c r="N136">
        <f>IF(M136="","",IF(M136&gt;=20,"A - Go first",IF(M136&gt;=5,"B - Next","C - Later")))</f>
        <v/>
      </c>
      <c r="O136" t="inlineStr">
        <is>
          <t>To research</t>
        </is>
      </c>
      <c r="P136" t="inlineStr"/>
    </row>
    <row r="137">
      <c r="A137" t="inlineStr">
        <is>
          <t>parboiled rice price in uae</t>
        </is>
      </c>
      <c r="B137" t="inlineStr">
        <is>
          <t>Price</t>
        </is>
      </c>
      <c r="C137" t="inlineStr">
        <is>
          <t>Indian staple</t>
        </is>
      </c>
      <c r="D137" t="inlineStr">
        <is>
          <t>Commercial/Transactional</t>
        </is>
      </c>
      <c r="E137" t="inlineStr">
        <is>
          <t>MOFU</t>
        </is>
      </c>
      <c r="F137" t="inlineStr">
        <is>
          <t>UAE</t>
        </is>
      </c>
      <c r="G137" t="inlineStr">
        <is>
          <t>Non-Basmati Rice category</t>
        </is>
      </c>
      <c r="H137" t="inlineStr">
        <is>
          <t>Category</t>
        </is>
      </c>
      <c r="I137">
        <f>IFERROR(VLOOKUP($A137,'Semrush Import'!$A:$D,2,FALSE),"")</f>
        <v/>
      </c>
      <c r="J137">
        <f>IFERROR(VLOOKUP($A137,'Semrush Import'!$A:$D,3,FALSE),"")</f>
        <v/>
      </c>
      <c r="K137">
        <f>IFERROR(VLOOKUP($A137,'Semrush Import'!$A:$D,4,FALSE),"")</f>
        <v/>
      </c>
      <c r="L137">
        <f>IFERROR(VLOOKUP($A137,'KP Import'!$A:$B,2,FALSE),"")</f>
        <v/>
      </c>
      <c r="M137">
        <f>IF(I137="","",ROUND(I137/(J137+10),1))</f>
        <v/>
      </c>
      <c r="N137">
        <f>IF(M137="","",IF(M137&gt;=20,"A - Go first",IF(M137&gt;=5,"B - Next","C - Later")))</f>
        <v/>
      </c>
      <c r="O137" t="inlineStr">
        <is>
          <t>To research</t>
        </is>
      </c>
      <c r="P137" t="inlineStr"/>
    </row>
    <row r="138">
      <c r="A138" t="inlineStr">
        <is>
          <t>parboiled rice price in dubai</t>
        </is>
      </c>
      <c r="B138" t="inlineStr">
        <is>
          <t>Price</t>
        </is>
      </c>
      <c r="C138" t="inlineStr">
        <is>
          <t>Indian staple</t>
        </is>
      </c>
      <c r="D138" t="inlineStr">
        <is>
          <t>Commercial/Transactional</t>
        </is>
      </c>
      <c r="E138" t="inlineStr">
        <is>
          <t>MOFU</t>
        </is>
      </c>
      <c r="F138" t="inlineStr">
        <is>
          <t>Dubai</t>
        </is>
      </c>
      <c r="G138" t="inlineStr">
        <is>
          <t>Non-Basmati Rice category</t>
        </is>
      </c>
      <c r="H138" t="inlineStr">
        <is>
          <t>Category</t>
        </is>
      </c>
      <c r="I138">
        <f>IFERROR(VLOOKUP($A138,'Semrush Import'!$A:$D,2,FALSE),"")</f>
        <v/>
      </c>
      <c r="J138">
        <f>IFERROR(VLOOKUP($A138,'Semrush Import'!$A:$D,3,FALSE),"")</f>
        <v/>
      </c>
      <c r="K138">
        <f>IFERROR(VLOOKUP($A138,'Semrush Import'!$A:$D,4,FALSE),"")</f>
        <v/>
      </c>
      <c r="L138">
        <f>IFERROR(VLOOKUP($A138,'KP Import'!$A:$B,2,FALSE),"")</f>
        <v/>
      </c>
      <c r="M138">
        <f>IF(I138="","",ROUND(I138/(J138+10),1))</f>
        <v/>
      </c>
      <c r="N138">
        <f>IF(M138="","",IF(M138&gt;=20,"A - Go first",IF(M138&gt;=5,"B - Next","C - Later")))</f>
        <v/>
      </c>
      <c r="O138" t="inlineStr">
        <is>
          <t>To research</t>
        </is>
      </c>
      <c r="P138" t="inlineStr"/>
    </row>
    <row r="139">
      <c r="A139" t="inlineStr">
        <is>
          <t>parboiled rice online dubai</t>
        </is>
      </c>
      <c r="B139" t="inlineStr">
        <is>
          <t>Transactional</t>
        </is>
      </c>
      <c r="C139" t="inlineStr">
        <is>
          <t>Indian staple</t>
        </is>
      </c>
      <c r="D139" t="inlineStr">
        <is>
          <t>Transactional</t>
        </is>
      </c>
      <c r="E139" t="inlineStr">
        <is>
          <t>BOFU</t>
        </is>
      </c>
      <c r="F139" t="inlineStr">
        <is>
          <t>Dubai</t>
        </is>
      </c>
      <c r="G139" t="inlineStr">
        <is>
          <t>Non-Basmati Rice category</t>
        </is>
      </c>
      <c r="H139" t="inlineStr">
        <is>
          <t>Category</t>
        </is>
      </c>
      <c r="I139">
        <f>IFERROR(VLOOKUP($A139,'Semrush Import'!$A:$D,2,FALSE),"")</f>
        <v/>
      </c>
      <c r="J139">
        <f>IFERROR(VLOOKUP($A139,'Semrush Import'!$A:$D,3,FALSE),"")</f>
        <v/>
      </c>
      <c r="K139">
        <f>IFERROR(VLOOKUP($A139,'Semrush Import'!$A:$D,4,FALSE),"")</f>
        <v/>
      </c>
      <c r="L139">
        <f>IFERROR(VLOOKUP($A139,'KP Import'!$A:$B,2,FALSE),"")</f>
        <v/>
      </c>
      <c r="M139">
        <f>IF(I139="","",ROUND(I139/(J139+10),1))</f>
        <v/>
      </c>
      <c r="N139">
        <f>IF(M139="","",IF(M139&gt;=20,"A - Go first",IF(M139&gt;=5,"B - Next","C - Later")))</f>
        <v/>
      </c>
      <c r="O139" t="inlineStr">
        <is>
          <t>To research</t>
        </is>
      </c>
      <c r="P139" t="inlineStr"/>
    </row>
    <row r="140">
      <c r="A140" t="inlineStr">
        <is>
          <t>parboiled rice wholesale dubai</t>
        </is>
      </c>
      <c r="B140" t="inlineStr">
        <is>
          <t>Wholesale/B2B</t>
        </is>
      </c>
      <c r="C140" t="inlineStr">
        <is>
          <t>Indian staple</t>
        </is>
      </c>
      <c r="D140" t="inlineStr">
        <is>
          <t>Transactional (B2B)</t>
        </is>
      </c>
      <c r="E140" t="inlineStr">
        <is>
          <t>BOFU</t>
        </is>
      </c>
      <c r="F140" t="inlineStr">
        <is>
          <t>Dubai</t>
        </is>
      </c>
      <c r="G140" t="inlineStr">
        <is>
          <t>Wholesale landing page</t>
        </is>
      </c>
      <c r="H140" t="inlineStr">
        <is>
          <t>Landing</t>
        </is>
      </c>
      <c r="I140">
        <f>IFERROR(VLOOKUP($A140,'Semrush Import'!$A:$D,2,FALSE),"")</f>
        <v/>
      </c>
      <c r="J140">
        <f>IFERROR(VLOOKUP($A140,'Semrush Import'!$A:$D,3,FALSE),"")</f>
        <v/>
      </c>
      <c r="K140">
        <f>IFERROR(VLOOKUP($A140,'Semrush Import'!$A:$D,4,FALSE),"")</f>
        <v/>
      </c>
      <c r="L140">
        <f>IFERROR(VLOOKUP($A140,'KP Import'!$A:$B,2,FALSE),"")</f>
        <v/>
      </c>
      <c r="M140">
        <f>IF(I140="","",ROUND(I140/(J140+10),1))</f>
        <v/>
      </c>
      <c r="N140">
        <f>IF(M140="","",IF(M140&gt;=20,"A - Go first",IF(M140&gt;=5,"B - Next","C - Later")))</f>
        <v/>
      </c>
      <c r="O140" t="inlineStr">
        <is>
          <t>To research</t>
        </is>
      </c>
      <c r="P140" t="inlineStr"/>
    </row>
    <row r="141">
      <c r="A141" t="inlineStr">
        <is>
          <t>parboiled rice supplier uae</t>
        </is>
      </c>
      <c r="B141" t="inlineStr">
        <is>
          <t>Wholesale/B2B</t>
        </is>
      </c>
      <c r="C141" t="inlineStr">
        <is>
          <t>Indian staple</t>
        </is>
      </c>
      <c r="D141" t="inlineStr">
        <is>
          <t>Transactional (B2B)</t>
        </is>
      </c>
      <c r="E141" t="inlineStr">
        <is>
          <t>BOFU</t>
        </is>
      </c>
      <c r="F141" t="inlineStr">
        <is>
          <t>UAE</t>
        </is>
      </c>
      <c r="G141" t="inlineStr">
        <is>
          <t>Wholesale landing page</t>
        </is>
      </c>
      <c r="H141" t="inlineStr">
        <is>
          <t>Landing</t>
        </is>
      </c>
      <c r="I141">
        <f>IFERROR(VLOOKUP($A141,'Semrush Import'!$A:$D,2,FALSE),"")</f>
        <v/>
      </c>
      <c r="J141">
        <f>IFERROR(VLOOKUP($A141,'Semrush Import'!$A:$D,3,FALSE),"")</f>
        <v/>
      </c>
      <c r="K141">
        <f>IFERROR(VLOOKUP($A141,'Semrush Import'!$A:$D,4,FALSE),"")</f>
        <v/>
      </c>
      <c r="L141">
        <f>IFERROR(VLOOKUP($A141,'KP Import'!$A:$B,2,FALSE),"")</f>
        <v/>
      </c>
      <c r="M141">
        <f>IF(I141="","",ROUND(I141/(J141+10),1))</f>
        <v/>
      </c>
      <c r="N141">
        <f>IF(M141="","",IF(M141&gt;=20,"A - Go first",IF(M141&gt;=5,"B - Next","C - Later")))</f>
        <v/>
      </c>
      <c r="O141" t="inlineStr">
        <is>
          <t>To research</t>
        </is>
      </c>
      <c r="P141" t="inlineStr"/>
    </row>
    <row r="142">
      <c r="A142" t="inlineStr">
        <is>
          <t>long grain white rice</t>
        </is>
      </c>
      <c r="B142" t="inlineStr">
        <is>
          <t>Core product</t>
        </is>
      </c>
      <c r="C142" t="inlineStr">
        <is>
          <t>Non-Basmati</t>
        </is>
      </c>
      <c r="D142" t="inlineStr">
        <is>
          <t>Informational/Commercial</t>
        </is>
      </c>
      <c r="E142" t="inlineStr">
        <is>
          <t>TOFU</t>
        </is>
      </c>
      <c r="F142" t="inlineStr">
        <is>
          <t>UAE (generic)</t>
        </is>
      </c>
      <c r="G142" t="inlineStr">
        <is>
          <t>Non-Basmati Rice category</t>
        </is>
      </c>
      <c r="H142" t="inlineStr">
        <is>
          <t>Category</t>
        </is>
      </c>
      <c r="I142">
        <f>IFERROR(VLOOKUP($A142,'Semrush Import'!$A:$D,2,FALSE),"")</f>
        <v/>
      </c>
      <c r="J142">
        <f>IFERROR(VLOOKUP($A142,'Semrush Import'!$A:$D,3,FALSE),"")</f>
        <v/>
      </c>
      <c r="K142">
        <f>IFERROR(VLOOKUP($A142,'Semrush Import'!$A:$D,4,FALSE),"")</f>
        <v/>
      </c>
      <c r="L142">
        <f>IFERROR(VLOOKUP($A142,'KP Import'!$A:$B,2,FALSE),"")</f>
        <v/>
      </c>
      <c r="M142">
        <f>IF(I142="","",ROUND(I142/(J142+10),1))</f>
        <v/>
      </c>
      <c r="N142">
        <f>IF(M142="","",IF(M142&gt;=20,"A - Go first",IF(M142&gt;=5,"B - Next","C - Later")))</f>
        <v/>
      </c>
      <c r="O142" t="inlineStr">
        <is>
          <t>To research</t>
        </is>
      </c>
      <c r="P142" t="inlineStr"/>
    </row>
    <row r="143">
      <c r="A143" t="inlineStr">
        <is>
          <t>buy long grain white rice online</t>
        </is>
      </c>
      <c r="B143" t="inlineStr">
        <is>
          <t>Transactional</t>
        </is>
      </c>
      <c r="C143" t="inlineStr">
        <is>
          <t>Non-Basmati</t>
        </is>
      </c>
      <c r="D143" t="inlineStr">
        <is>
          <t>Transactional</t>
        </is>
      </c>
      <c r="E143" t="inlineStr">
        <is>
          <t>BOFU</t>
        </is>
      </c>
      <c r="F143" t="inlineStr">
        <is>
          <t>UAE (generic)</t>
        </is>
      </c>
      <c r="G143" t="inlineStr">
        <is>
          <t>Non-Basmati Rice category</t>
        </is>
      </c>
      <c r="H143" t="inlineStr">
        <is>
          <t>Category</t>
        </is>
      </c>
      <c r="I143">
        <f>IFERROR(VLOOKUP($A143,'Semrush Import'!$A:$D,2,FALSE),"")</f>
        <v/>
      </c>
      <c r="J143">
        <f>IFERROR(VLOOKUP($A143,'Semrush Import'!$A:$D,3,FALSE),"")</f>
        <v/>
      </c>
      <c r="K143">
        <f>IFERROR(VLOOKUP($A143,'Semrush Import'!$A:$D,4,FALSE),"")</f>
        <v/>
      </c>
      <c r="L143">
        <f>IFERROR(VLOOKUP($A143,'KP Import'!$A:$B,2,FALSE),"")</f>
        <v/>
      </c>
      <c r="M143">
        <f>IF(I143="","",ROUND(I143/(J143+10),1))</f>
        <v/>
      </c>
      <c r="N143">
        <f>IF(M143="","",IF(M143&gt;=20,"A - Go first",IF(M143&gt;=5,"B - Next","C - Later")))</f>
        <v/>
      </c>
      <c r="O143" t="inlineStr">
        <is>
          <t>To research</t>
        </is>
      </c>
      <c r="P143" t="inlineStr"/>
    </row>
    <row r="144">
      <c r="A144" t="inlineStr">
        <is>
          <t>long grain white rice price in uae</t>
        </is>
      </c>
      <c r="B144" t="inlineStr">
        <is>
          <t>Price</t>
        </is>
      </c>
      <c r="C144" t="inlineStr">
        <is>
          <t>Non-Basmati</t>
        </is>
      </c>
      <c r="D144" t="inlineStr">
        <is>
          <t>Commercial/Transactional</t>
        </is>
      </c>
      <c r="E144" t="inlineStr">
        <is>
          <t>MOFU</t>
        </is>
      </c>
      <c r="F144" t="inlineStr">
        <is>
          <t>UAE</t>
        </is>
      </c>
      <c r="G144" t="inlineStr">
        <is>
          <t>Non-Basmati Rice category</t>
        </is>
      </c>
      <c r="H144" t="inlineStr">
        <is>
          <t>Category</t>
        </is>
      </c>
      <c r="I144">
        <f>IFERROR(VLOOKUP($A144,'Semrush Import'!$A:$D,2,FALSE),"")</f>
        <v/>
      </c>
      <c r="J144">
        <f>IFERROR(VLOOKUP($A144,'Semrush Import'!$A:$D,3,FALSE),"")</f>
        <v/>
      </c>
      <c r="K144">
        <f>IFERROR(VLOOKUP($A144,'Semrush Import'!$A:$D,4,FALSE),"")</f>
        <v/>
      </c>
      <c r="L144">
        <f>IFERROR(VLOOKUP($A144,'KP Import'!$A:$B,2,FALSE),"")</f>
        <v/>
      </c>
      <c r="M144">
        <f>IF(I144="","",ROUND(I144/(J144+10),1))</f>
        <v/>
      </c>
      <c r="N144">
        <f>IF(M144="","",IF(M144&gt;=20,"A - Go first",IF(M144&gt;=5,"B - Next","C - Later")))</f>
        <v/>
      </c>
      <c r="O144" t="inlineStr">
        <is>
          <t>To research</t>
        </is>
      </c>
      <c r="P144" t="inlineStr"/>
    </row>
    <row r="145">
      <c r="A145" t="inlineStr">
        <is>
          <t>long grain white rice price in dubai</t>
        </is>
      </c>
      <c r="B145" t="inlineStr">
        <is>
          <t>Price</t>
        </is>
      </c>
      <c r="C145" t="inlineStr">
        <is>
          <t>Non-Basmati</t>
        </is>
      </c>
      <c r="D145" t="inlineStr">
        <is>
          <t>Commercial/Transactional</t>
        </is>
      </c>
      <c r="E145" t="inlineStr">
        <is>
          <t>MOFU</t>
        </is>
      </c>
      <c r="F145" t="inlineStr">
        <is>
          <t>Dubai</t>
        </is>
      </c>
      <c r="G145" t="inlineStr">
        <is>
          <t>Non-Basmati Rice category</t>
        </is>
      </c>
      <c r="H145" t="inlineStr">
        <is>
          <t>Category</t>
        </is>
      </c>
      <c r="I145">
        <f>IFERROR(VLOOKUP($A145,'Semrush Import'!$A:$D,2,FALSE),"")</f>
        <v/>
      </c>
      <c r="J145">
        <f>IFERROR(VLOOKUP($A145,'Semrush Import'!$A:$D,3,FALSE),"")</f>
        <v/>
      </c>
      <c r="K145">
        <f>IFERROR(VLOOKUP($A145,'Semrush Import'!$A:$D,4,FALSE),"")</f>
        <v/>
      </c>
      <c r="L145">
        <f>IFERROR(VLOOKUP($A145,'KP Import'!$A:$B,2,FALSE),"")</f>
        <v/>
      </c>
      <c r="M145">
        <f>IF(I145="","",ROUND(I145/(J145+10),1))</f>
        <v/>
      </c>
      <c r="N145">
        <f>IF(M145="","",IF(M145&gt;=20,"A - Go first",IF(M145&gt;=5,"B - Next","C - Later")))</f>
        <v/>
      </c>
      <c r="O145" t="inlineStr">
        <is>
          <t>To research</t>
        </is>
      </c>
      <c r="P145" t="inlineStr"/>
    </row>
    <row r="146">
      <c r="A146" t="inlineStr">
        <is>
          <t>long grain white rice online dubai</t>
        </is>
      </c>
      <c r="B146" t="inlineStr">
        <is>
          <t>Transactional</t>
        </is>
      </c>
      <c r="C146" t="inlineStr">
        <is>
          <t>Non-Basmati</t>
        </is>
      </c>
      <c r="D146" t="inlineStr">
        <is>
          <t>Transactional</t>
        </is>
      </c>
      <c r="E146" t="inlineStr">
        <is>
          <t>BOFU</t>
        </is>
      </c>
      <c r="F146" t="inlineStr">
        <is>
          <t>Dubai</t>
        </is>
      </c>
      <c r="G146" t="inlineStr">
        <is>
          <t>Non-Basmati Rice category</t>
        </is>
      </c>
      <c r="H146" t="inlineStr">
        <is>
          <t>Category</t>
        </is>
      </c>
      <c r="I146">
        <f>IFERROR(VLOOKUP($A146,'Semrush Import'!$A:$D,2,FALSE),"")</f>
        <v/>
      </c>
      <c r="J146">
        <f>IFERROR(VLOOKUP($A146,'Semrush Import'!$A:$D,3,FALSE),"")</f>
        <v/>
      </c>
      <c r="K146">
        <f>IFERROR(VLOOKUP($A146,'Semrush Import'!$A:$D,4,FALSE),"")</f>
        <v/>
      </c>
      <c r="L146">
        <f>IFERROR(VLOOKUP($A146,'KP Import'!$A:$B,2,FALSE),"")</f>
        <v/>
      </c>
      <c r="M146">
        <f>IF(I146="","",ROUND(I146/(J146+10),1))</f>
        <v/>
      </c>
      <c r="N146">
        <f>IF(M146="","",IF(M146&gt;=20,"A - Go first",IF(M146&gt;=5,"B - Next","C - Later")))</f>
        <v/>
      </c>
      <c r="O146" t="inlineStr">
        <is>
          <t>To research</t>
        </is>
      </c>
      <c r="P146" t="inlineStr"/>
    </row>
    <row r="147">
      <c r="A147" t="inlineStr">
        <is>
          <t>long grain white rice wholesale dubai</t>
        </is>
      </c>
      <c r="B147" t="inlineStr">
        <is>
          <t>Wholesale/B2B</t>
        </is>
      </c>
      <c r="C147" t="inlineStr">
        <is>
          <t>Non-Basmati</t>
        </is>
      </c>
      <c r="D147" t="inlineStr">
        <is>
          <t>Transactional (B2B)</t>
        </is>
      </c>
      <c r="E147" t="inlineStr">
        <is>
          <t>BOFU</t>
        </is>
      </c>
      <c r="F147" t="inlineStr">
        <is>
          <t>Dubai</t>
        </is>
      </c>
      <c r="G147" t="inlineStr">
        <is>
          <t>Wholesale landing page</t>
        </is>
      </c>
      <c r="H147" t="inlineStr">
        <is>
          <t>Landing</t>
        </is>
      </c>
      <c r="I147">
        <f>IFERROR(VLOOKUP($A147,'Semrush Import'!$A:$D,2,FALSE),"")</f>
        <v/>
      </c>
      <c r="J147">
        <f>IFERROR(VLOOKUP($A147,'Semrush Import'!$A:$D,3,FALSE),"")</f>
        <v/>
      </c>
      <c r="K147">
        <f>IFERROR(VLOOKUP($A147,'Semrush Import'!$A:$D,4,FALSE),"")</f>
        <v/>
      </c>
      <c r="L147">
        <f>IFERROR(VLOOKUP($A147,'KP Import'!$A:$B,2,FALSE),"")</f>
        <v/>
      </c>
      <c r="M147">
        <f>IF(I147="","",ROUND(I147/(J147+10),1))</f>
        <v/>
      </c>
      <c r="N147">
        <f>IF(M147="","",IF(M147&gt;=20,"A - Go first",IF(M147&gt;=5,"B - Next","C - Later")))</f>
        <v/>
      </c>
      <c r="O147" t="inlineStr">
        <is>
          <t>To research</t>
        </is>
      </c>
      <c r="P147" t="inlineStr"/>
    </row>
    <row r="148">
      <c r="A148" t="inlineStr">
        <is>
          <t>long grain white rice supplier uae</t>
        </is>
      </c>
      <c r="B148" t="inlineStr">
        <is>
          <t>Wholesale/B2B</t>
        </is>
      </c>
      <c r="C148" t="inlineStr">
        <is>
          <t>Non-Basmati</t>
        </is>
      </c>
      <c r="D148" t="inlineStr">
        <is>
          <t>Transactional (B2B)</t>
        </is>
      </c>
      <c r="E148" t="inlineStr">
        <is>
          <t>BOFU</t>
        </is>
      </c>
      <c r="F148" t="inlineStr">
        <is>
          <t>UAE</t>
        </is>
      </c>
      <c r="G148" t="inlineStr">
        <is>
          <t>Wholesale landing page</t>
        </is>
      </c>
      <c r="H148" t="inlineStr">
        <is>
          <t>Landing</t>
        </is>
      </c>
      <c r="I148">
        <f>IFERROR(VLOOKUP($A148,'Semrush Import'!$A:$D,2,FALSE),"")</f>
        <v/>
      </c>
      <c r="J148">
        <f>IFERROR(VLOOKUP($A148,'Semrush Import'!$A:$D,3,FALSE),"")</f>
        <v/>
      </c>
      <c r="K148">
        <f>IFERROR(VLOOKUP($A148,'Semrush Import'!$A:$D,4,FALSE),"")</f>
        <v/>
      </c>
      <c r="L148">
        <f>IFERROR(VLOOKUP($A148,'KP Import'!$A:$B,2,FALSE),"")</f>
        <v/>
      </c>
      <c r="M148">
        <f>IF(I148="","",ROUND(I148/(J148+10),1))</f>
        <v/>
      </c>
      <c r="N148">
        <f>IF(M148="","",IF(M148&gt;=20,"A - Go first",IF(M148&gt;=5,"B - Next","C - Later")))</f>
        <v/>
      </c>
      <c r="O148" t="inlineStr">
        <is>
          <t>To research</t>
        </is>
      </c>
      <c r="P148" t="inlineStr"/>
    </row>
    <row r="149">
      <c r="A149" t="inlineStr">
        <is>
          <t>medium grain rice</t>
        </is>
      </c>
      <c r="B149" t="inlineStr">
        <is>
          <t>Core product</t>
        </is>
      </c>
      <c r="C149" t="inlineStr">
        <is>
          <t>Non-Basmati</t>
        </is>
      </c>
      <c r="D149" t="inlineStr">
        <is>
          <t>Informational/Commercial</t>
        </is>
      </c>
      <c r="E149" t="inlineStr">
        <is>
          <t>TOFU</t>
        </is>
      </c>
      <c r="F149" t="inlineStr">
        <is>
          <t>UAE (generic)</t>
        </is>
      </c>
      <c r="G149" t="inlineStr">
        <is>
          <t>Non-Basmati Rice category</t>
        </is>
      </c>
      <c r="H149" t="inlineStr">
        <is>
          <t>Category</t>
        </is>
      </c>
      <c r="I149">
        <f>IFERROR(VLOOKUP($A149,'Semrush Import'!$A:$D,2,FALSE),"")</f>
        <v/>
      </c>
      <c r="J149">
        <f>IFERROR(VLOOKUP($A149,'Semrush Import'!$A:$D,3,FALSE),"")</f>
        <v/>
      </c>
      <c r="K149">
        <f>IFERROR(VLOOKUP($A149,'Semrush Import'!$A:$D,4,FALSE),"")</f>
        <v/>
      </c>
      <c r="L149">
        <f>IFERROR(VLOOKUP($A149,'KP Import'!$A:$B,2,FALSE),"")</f>
        <v/>
      </c>
      <c r="M149">
        <f>IF(I149="","",ROUND(I149/(J149+10),1))</f>
        <v/>
      </c>
      <c r="N149">
        <f>IF(M149="","",IF(M149&gt;=20,"A - Go first",IF(M149&gt;=5,"B - Next","C - Later")))</f>
        <v/>
      </c>
      <c r="O149" t="inlineStr">
        <is>
          <t>To research</t>
        </is>
      </c>
      <c r="P149" t="inlineStr"/>
    </row>
    <row r="150">
      <c r="A150" t="inlineStr">
        <is>
          <t>buy medium grain rice online</t>
        </is>
      </c>
      <c r="B150" t="inlineStr">
        <is>
          <t>Transactional</t>
        </is>
      </c>
      <c r="C150" t="inlineStr">
        <is>
          <t>Non-Basmati</t>
        </is>
      </c>
      <c r="D150" t="inlineStr">
        <is>
          <t>Transactional</t>
        </is>
      </c>
      <c r="E150" t="inlineStr">
        <is>
          <t>BOFU</t>
        </is>
      </c>
      <c r="F150" t="inlineStr">
        <is>
          <t>UAE (generic)</t>
        </is>
      </c>
      <c r="G150" t="inlineStr">
        <is>
          <t>Non-Basmati Rice category</t>
        </is>
      </c>
      <c r="H150" t="inlineStr">
        <is>
          <t>Category</t>
        </is>
      </c>
      <c r="I150">
        <f>IFERROR(VLOOKUP($A150,'Semrush Import'!$A:$D,2,FALSE),"")</f>
        <v/>
      </c>
      <c r="J150">
        <f>IFERROR(VLOOKUP($A150,'Semrush Import'!$A:$D,3,FALSE),"")</f>
        <v/>
      </c>
      <c r="K150">
        <f>IFERROR(VLOOKUP($A150,'Semrush Import'!$A:$D,4,FALSE),"")</f>
        <v/>
      </c>
      <c r="L150">
        <f>IFERROR(VLOOKUP($A150,'KP Import'!$A:$B,2,FALSE),"")</f>
        <v/>
      </c>
      <c r="M150">
        <f>IF(I150="","",ROUND(I150/(J150+10),1))</f>
        <v/>
      </c>
      <c r="N150">
        <f>IF(M150="","",IF(M150&gt;=20,"A - Go first",IF(M150&gt;=5,"B - Next","C - Later")))</f>
        <v/>
      </c>
      <c r="O150" t="inlineStr">
        <is>
          <t>To research</t>
        </is>
      </c>
      <c r="P150" t="inlineStr"/>
    </row>
    <row r="151">
      <c r="A151" t="inlineStr">
        <is>
          <t>medium grain rice price in uae</t>
        </is>
      </c>
      <c r="B151" t="inlineStr">
        <is>
          <t>Price</t>
        </is>
      </c>
      <c r="C151" t="inlineStr">
        <is>
          <t>Non-Basmati</t>
        </is>
      </c>
      <c r="D151" t="inlineStr">
        <is>
          <t>Commercial/Transactional</t>
        </is>
      </c>
      <c r="E151" t="inlineStr">
        <is>
          <t>MOFU</t>
        </is>
      </c>
      <c r="F151" t="inlineStr">
        <is>
          <t>UAE</t>
        </is>
      </c>
      <c r="G151" t="inlineStr">
        <is>
          <t>Non-Basmati Rice category</t>
        </is>
      </c>
      <c r="H151" t="inlineStr">
        <is>
          <t>Category</t>
        </is>
      </c>
      <c r="I151">
        <f>IFERROR(VLOOKUP($A151,'Semrush Import'!$A:$D,2,FALSE),"")</f>
        <v/>
      </c>
      <c r="J151">
        <f>IFERROR(VLOOKUP($A151,'Semrush Import'!$A:$D,3,FALSE),"")</f>
        <v/>
      </c>
      <c r="K151">
        <f>IFERROR(VLOOKUP($A151,'Semrush Import'!$A:$D,4,FALSE),"")</f>
        <v/>
      </c>
      <c r="L151">
        <f>IFERROR(VLOOKUP($A151,'KP Import'!$A:$B,2,FALSE),"")</f>
        <v/>
      </c>
      <c r="M151">
        <f>IF(I151="","",ROUND(I151/(J151+10),1))</f>
        <v/>
      </c>
      <c r="N151">
        <f>IF(M151="","",IF(M151&gt;=20,"A - Go first",IF(M151&gt;=5,"B - Next","C - Later")))</f>
        <v/>
      </c>
      <c r="O151" t="inlineStr">
        <is>
          <t>To research</t>
        </is>
      </c>
      <c r="P151" t="inlineStr"/>
    </row>
    <row r="152">
      <c r="A152" t="inlineStr">
        <is>
          <t>medium grain rice price in dubai</t>
        </is>
      </c>
      <c r="B152" t="inlineStr">
        <is>
          <t>Price</t>
        </is>
      </c>
      <c r="C152" t="inlineStr">
        <is>
          <t>Non-Basmati</t>
        </is>
      </c>
      <c r="D152" t="inlineStr">
        <is>
          <t>Commercial/Transactional</t>
        </is>
      </c>
      <c r="E152" t="inlineStr">
        <is>
          <t>MOFU</t>
        </is>
      </c>
      <c r="F152" t="inlineStr">
        <is>
          <t>Dubai</t>
        </is>
      </c>
      <c r="G152" t="inlineStr">
        <is>
          <t>Non-Basmati Rice category</t>
        </is>
      </c>
      <c r="H152" t="inlineStr">
        <is>
          <t>Category</t>
        </is>
      </c>
      <c r="I152">
        <f>IFERROR(VLOOKUP($A152,'Semrush Import'!$A:$D,2,FALSE),"")</f>
        <v/>
      </c>
      <c r="J152">
        <f>IFERROR(VLOOKUP($A152,'Semrush Import'!$A:$D,3,FALSE),"")</f>
        <v/>
      </c>
      <c r="K152">
        <f>IFERROR(VLOOKUP($A152,'Semrush Import'!$A:$D,4,FALSE),"")</f>
        <v/>
      </c>
      <c r="L152">
        <f>IFERROR(VLOOKUP($A152,'KP Import'!$A:$B,2,FALSE),"")</f>
        <v/>
      </c>
      <c r="M152">
        <f>IF(I152="","",ROUND(I152/(J152+10),1))</f>
        <v/>
      </c>
      <c r="N152">
        <f>IF(M152="","",IF(M152&gt;=20,"A - Go first",IF(M152&gt;=5,"B - Next","C - Later")))</f>
        <v/>
      </c>
      <c r="O152" t="inlineStr">
        <is>
          <t>To research</t>
        </is>
      </c>
      <c r="P152" t="inlineStr"/>
    </row>
    <row r="153">
      <c r="A153" t="inlineStr">
        <is>
          <t>medium grain rice online dubai</t>
        </is>
      </c>
      <c r="B153" t="inlineStr">
        <is>
          <t>Transactional</t>
        </is>
      </c>
      <c r="C153" t="inlineStr">
        <is>
          <t>Non-Basmati</t>
        </is>
      </c>
      <c r="D153" t="inlineStr">
        <is>
          <t>Transactional</t>
        </is>
      </c>
      <c r="E153" t="inlineStr">
        <is>
          <t>BOFU</t>
        </is>
      </c>
      <c r="F153" t="inlineStr">
        <is>
          <t>Dubai</t>
        </is>
      </c>
      <c r="G153" t="inlineStr">
        <is>
          <t>Non-Basmati Rice category</t>
        </is>
      </c>
      <c r="H153" t="inlineStr">
        <is>
          <t>Category</t>
        </is>
      </c>
      <c r="I153">
        <f>IFERROR(VLOOKUP($A153,'Semrush Import'!$A:$D,2,FALSE),"")</f>
        <v/>
      </c>
      <c r="J153">
        <f>IFERROR(VLOOKUP($A153,'Semrush Import'!$A:$D,3,FALSE),"")</f>
        <v/>
      </c>
      <c r="K153">
        <f>IFERROR(VLOOKUP($A153,'Semrush Import'!$A:$D,4,FALSE),"")</f>
        <v/>
      </c>
      <c r="L153">
        <f>IFERROR(VLOOKUP($A153,'KP Import'!$A:$B,2,FALSE),"")</f>
        <v/>
      </c>
      <c r="M153">
        <f>IF(I153="","",ROUND(I153/(J153+10),1))</f>
        <v/>
      </c>
      <c r="N153">
        <f>IF(M153="","",IF(M153&gt;=20,"A - Go first",IF(M153&gt;=5,"B - Next","C - Later")))</f>
        <v/>
      </c>
      <c r="O153" t="inlineStr">
        <is>
          <t>To research</t>
        </is>
      </c>
      <c r="P153" t="inlineStr"/>
    </row>
    <row r="154">
      <c r="A154" t="inlineStr">
        <is>
          <t>medium grain rice wholesale dubai</t>
        </is>
      </c>
      <c r="B154" t="inlineStr">
        <is>
          <t>Wholesale/B2B</t>
        </is>
      </c>
      <c r="C154" t="inlineStr">
        <is>
          <t>Non-Basmati</t>
        </is>
      </c>
      <c r="D154" t="inlineStr">
        <is>
          <t>Transactional (B2B)</t>
        </is>
      </c>
      <c r="E154" t="inlineStr">
        <is>
          <t>BOFU</t>
        </is>
      </c>
      <c r="F154" t="inlineStr">
        <is>
          <t>Dubai</t>
        </is>
      </c>
      <c r="G154" t="inlineStr">
        <is>
          <t>Wholesale landing page</t>
        </is>
      </c>
      <c r="H154" t="inlineStr">
        <is>
          <t>Landing</t>
        </is>
      </c>
      <c r="I154">
        <f>IFERROR(VLOOKUP($A154,'Semrush Import'!$A:$D,2,FALSE),"")</f>
        <v/>
      </c>
      <c r="J154">
        <f>IFERROR(VLOOKUP($A154,'Semrush Import'!$A:$D,3,FALSE),"")</f>
        <v/>
      </c>
      <c r="K154">
        <f>IFERROR(VLOOKUP($A154,'Semrush Import'!$A:$D,4,FALSE),"")</f>
        <v/>
      </c>
      <c r="L154">
        <f>IFERROR(VLOOKUP($A154,'KP Import'!$A:$B,2,FALSE),"")</f>
        <v/>
      </c>
      <c r="M154">
        <f>IF(I154="","",ROUND(I154/(J154+10),1))</f>
        <v/>
      </c>
      <c r="N154">
        <f>IF(M154="","",IF(M154&gt;=20,"A - Go first",IF(M154&gt;=5,"B - Next","C - Later")))</f>
        <v/>
      </c>
      <c r="O154" t="inlineStr">
        <is>
          <t>To research</t>
        </is>
      </c>
      <c r="P154" t="inlineStr"/>
    </row>
    <row r="155">
      <c r="A155" t="inlineStr">
        <is>
          <t>medium grain rice supplier uae</t>
        </is>
      </c>
      <c r="B155" t="inlineStr">
        <is>
          <t>Wholesale/B2B</t>
        </is>
      </c>
      <c r="C155" t="inlineStr">
        <is>
          <t>Non-Basmati</t>
        </is>
      </c>
      <c r="D155" t="inlineStr">
        <is>
          <t>Transactional (B2B)</t>
        </is>
      </c>
      <c r="E155" t="inlineStr">
        <is>
          <t>BOFU</t>
        </is>
      </c>
      <c r="F155" t="inlineStr">
        <is>
          <t>UAE</t>
        </is>
      </c>
      <c r="G155" t="inlineStr">
        <is>
          <t>Wholesale landing page</t>
        </is>
      </c>
      <c r="H155" t="inlineStr">
        <is>
          <t>Landing</t>
        </is>
      </c>
      <c r="I155">
        <f>IFERROR(VLOOKUP($A155,'Semrush Import'!$A:$D,2,FALSE),"")</f>
        <v/>
      </c>
      <c r="J155">
        <f>IFERROR(VLOOKUP($A155,'Semrush Import'!$A:$D,3,FALSE),"")</f>
        <v/>
      </c>
      <c r="K155">
        <f>IFERROR(VLOOKUP($A155,'Semrush Import'!$A:$D,4,FALSE),"")</f>
        <v/>
      </c>
      <c r="L155">
        <f>IFERROR(VLOOKUP($A155,'KP Import'!$A:$B,2,FALSE),"")</f>
        <v/>
      </c>
      <c r="M155">
        <f>IF(I155="","",ROUND(I155/(J155+10),1))</f>
        <v/>
      </c>
      <c r="N155">
        <f>IF(M155="","",IF(M155&gt;=20,"A - Go first",IF(M155&gt;=5,"B - Next","C - Later")))</f>
        <v/>
      </c>
      <c r="O155" t="inlineStr">
        <is>
          <t>To research</t>
        </is>
      </c>
      <c r="P155" t="inlineStr"/>
    </row>
    <row r="156">
      <c r="A156" t="inlineStr">
        <is>
          <t>short grain rice</t>
        </is>
      </c>
      <c r="B156" t="inlineStr">
        <is>
          <t>Core product</t>
        </is>
      </c>
      <c r="C156" t="inlineStr">
        <is>
          <t>Non-Basmati</t>
        </is>
      </c>
      <c r="D156" t="inlineStr">
        <is>
          <t>Informational/Commercial</t>
        </is>
      </c>
      <c r="E156" t="inlineStr">
        <is>
          <t>TOFU</t>
        </is>
      </c>
      <c r="F156" t="inlineStr">
        <is>
          <t>UAE (generic)</t>
        </is>
      </c>
      <c r="G156" t="inlineStr">
        <is>
          <t>Non-Basmati Rice category</t>
        </is>
      </c>
      <c r="H156" t="inlineStr">
        <is>
          <t>Category</t>
        </is>
      </c>
      <c r="I156">
        <f>IFERROR(VLOOKUP($A156,'Semrush Import'!$A:$D,2,FALSE),"")</f>
        <v/>
      </c>
      <c r="J156">
        <f>IFERROR(VLOOKUP($A156,'Semrush Import'!$A:$D,3,FALSE),"")</f>
        <v/>
      </c>
      <c r="K156">
        <f>IFERROR(VLOOKUP($A156,'Semrush Import'!$A:$D,4,FALSE),"")</f>
        <v/>
      </c>
      <c r="L156">
        <f>IFERROR(VLOOKUP($A156,'KP Import'!$A:$B,2,FALSE),"")</f>
        <v/>
      </c>
      <c r="M156">
        <f>IF(I156="","",ROUND(I156/(J156+10),1))</f>
        <v/>
      </c>
      <c r="N156">
        <f>IF(M156="","",IF(M156&gt;=20,"A - Go first",IF(M156&gt;=5,"B - Next","C - Later")))</f>
        <v/>
      </c>
      <c r="O156" t="inlineStr">
        <is>
          <t>To research</t>
        </is>
      </c>
      <c r="P156" t="inlineStr"/>
    </row>
    <row r="157">
      <c r="A157" t="inlineStr">
        <is>
          <t>buy short grain rice online</t>
        </is>
      </c>
      <c r="B157" t="inlineStr">
        <is>
          <t>Transactional</t>
        </is>
      </c>
      <c r="C157" t="inlineStr">
        <is>
          <t>Non-Basmati</t>
        </is>
      </c>
      <c r="D157" t="inlineStr">
        <is>
          <t>Transactional</t>
        </is>
      </c>
      <c r="E157" t="inlineStr">
        <is>
          <t>BOFU</t>
        </is>
      </c>
      <c r="F157" t="inlineStr">
        <is>
          <t>UAE (generic)</t>
        </is>
      </c>
      <c r="G157" t="inlineStr">
        <is>
          <t>Non-Basmati Rice category</t>
        </is>
      </c>
      <c r="H157" t="inlineStr">
        <is>
          <t>Category</t>
        </is>
      </c>
      <c r="I157">
        <f>IFERROR(VLOOKUP($A157,'Semrush Import'!$A:$D,2,FALSE),"")</f>
        <v/>
      </c>
      <c r="J157">
        <f>IFERROR(VLOOKUP($A157,'Semrush Import'!$A:$D,3,FALSE),"")</f>
        <v/>
      </c>
      <c r="K157">
        <f>IFERROR(VLOOKUP($A157,'Semrush Import'!$A:$D,4,FALSE),"")</f>
        <v/>
      </c>
      <c r="L157">
        <f>IFERROR(VLOOKUP($A157,'KP Import'!$A:$B,2,FALSE),"")</f>
        <v/>
      </c>
      <c r="M157">
        <f>IF(I157="","",ROUND(I157/(J157+10),1))</f>
        <v/>
      </c>
      <c r="N157">
        <f>IF(M157="","",IF(M157&gt;=20,"A - Go first",IF(M157&gt;=5,"B - Next","C - Later")))</f>
        <v/>
      </c>
      <c r="O157" t="inlineStr">
        <is>
          <t>To research</t>
        </is>
      </c>
      <c r="P157" t="inlineStr"/>
    </row>
    <row r="158">
      <c r="A158" t="inlineStr">
        <is>
          <t>short grain rice price in uae</t>
        </is>
      </c>
      <c r="B158" t="inlineStr">
        <is>
          <t>Price</t>
        </is>
      </c>
      <c r="C158" t="inlineStr">
        <is>
          <t>Non-Basmati</t>
        </is>
      </c>
      <c r="D158" t="inlineStr">
        <is>
          <t>Commercial/Transactional</t>
        </is>
      </c>
      <c r="E158" t="inlineStr">
        <is>
          <t>MOFU</t>
        </is>
      </c>
      <c r="F158" t="inlineStr">
        <is>
          <t>UAE</t>
        </is>
      </c>
      <c r="G158" t="inlineStr">
        <is>
          <t>Non-Basmati Rice category</t>
        </is>
      </c>
      <c r="H158" t="inlineStr">
        <is>
          <t>Category</t>
        </is>
      </c>
      <c r="I158">
        <f>IFERROR(VLOOKUP($A158,'Semrush Import'!$A:$D,2,FALSE),"")</f>
        <v/>
      </c>
      <c r="J158">
        <f>IFERROR(VLOOKUP($A158,'Semrush Import'!$A:$D,3,FALSE),"")</f>
        <v/>
      </c>
      <c r="K158">
        <f>IFERROR(VLOOKUP($A158,'Semrush Import'!$A:$D,4,FALSE),"")</f>
        <v/>
      </c>
      <c r="L158">
        <f>IFERROR(VLOOKUP($A158,'KP Import'!$A:$B,2,FALSE),"")</f>
        <v/>
      </c>
      <c r="M158">
        <f>IF(I158="","",ROUND(I158/(J158+10),1))</f>
        <v/>
      </c>
      <c r="N158">
        <f>IF(M158="","",IF(M158&gt;=20,"A - Go first",IF(M158&gt;=5,"B - Next","C - Later")))</f>
        <v/>
      </c>
      <c r="O158" t="inlineStr">
        <is>
          <t>To research</t>
        </is>
      </c>
      <c r="P158" t="inlineStr"/>
    </row>
    <row r="159">
      <c r="A159" t="inlineStr">
        <is>
          <t>short grain rice price in dubai</t>
        </is>
      </c>
      <c r="B159" t="inlineStr">
        <is>
          <t>Price</t>
        </is>
      </c>
      <c r="C159" t="inlineStr">
        <is>
          <t>Non-Basmati</t>
        </is>
      </c>
      <c r="D159" t="inlineStr">
        <is>
          <t>Commercial/Transactional</t>
        </is>
      </c>
      <c r="E159" t="inlineStr">
        <is>
          <t>MOFU</t>
        </is>
      </c>
      <c r="F159" t="inlineStr">
        <is>
          <t>Dubai</t>
        </is>
      </c>
      <c r="G159" t="inlineStr">
        <is>
          <t>Non-Basmati Rice category</t>
        </is>
      </c>
      <c r="H159" t="inlineStr">
        <is>
          <t>Category</t>
        </is>
      </c>
      <c r="I159">
        <f>IFERROR(VLOOKUP($A159,'Semrush Import'!$A:$D,2,FALSE),"")</f>
        <v/>
      </c>
      <c r="J159">
        <f>IFERROR(VLOOKUP($A159,'Semrush Import'!$A:$D,3,FALSE),"")</f>
        <v/>
      </c>
      <c r="K159">
        <f>IFERROR(VLOOKUP($A159,'Semrush Import'!$A:$D,4,FALSE),"")</f>
        <v/>
      </c>
      <c r="L159">
        <f>IFERROR(VLOOKUP($A159,'KP Import'!$A:$B,2,FALSE),"")</f>
        <v/>
      </c>
      <c r="M159">
        <f>IF(I159="","",ROUND(I159/(J159+10),1))</f>
        <v/>
      </c>
      <c r="N159">
        <f>IF(M159="","",IF(M159&gt;=20,"A - Go first",IF(M159&gt;=5,"B - Next","C - Later")))</f>
        <v/>
      </c>
      <c r="O159" t="inlineStr">
        <is>
          <t>To research</t>
        </is>
      </c>
      <c r="P159" t="inlineStr"/>
    </row>
    <row r="160">
      <c r="A160" t="inlineStr">
        <is>
          <t>short grain rice online dubai</t>
        </is>
      </c>
      <c r="B160" t="inlineStr">
        <is>
          <t>Transactional</t>
        </is>
      </c>
      <c r="C160" t="inlineStr">
        <is>
          <t>Non-Basmati</t>
        </is>
      </c>
      <c r="D160" t="inlineStr">
        <is>
          <t>Transactional</t>
        </is>
      </c>
      <c r="E160" t="inlineStr">
        <is>
          <t>BOFU</t>
        </is>
      </c>
      <c r="F160" t="inlineStr">
        <is>
          <t>Dubai</t>
        </is>
      </c>
      <c r="G160" t="inlineStr">
        <is>
          <t>Non-Basmati Rice category</t>
        </is>
      </c>
      <c r="H160" t="inlineStr">
        <is>
          <t>Category</t>
        </is>
      </c>
      <c r="I160">
        <f>IFERROR(VLOOKUP($A160,'Semrush Import'!$A:$D,2,FALSE),"")</f>
        <v/>
      </c>
      <c r="J160">
        <f>IFERROR(VLOOKUP($A160,'Semrush Import'!$A:$D,3,FALSE),"")</f>
        <v/>
      </c>
      <c r="K160">
        <f>IFERROR(VLOOKUP($A160,'Semrush Import'!$A:$D,4,FALSE),"")</f>
        <v/>
      </c>
      <c r="L160">
        <f>IFERROR(VLOOKUP($A160,'KP Import'!$A:$B,2,FALSE),"")</f>
        <v/>
      </c>
      <c r="M160">
        <f>IF(I160="","",ROUND(I160/(J160+10),1))</f>
        <v/>
      </c>
      <c r="N160">
        <f>IF(M160="","",IF(M160&gt;=20,"A - Go first",IF(M160&gt;=5,"B - Next","C - Later")))</f>
        <v/>
      </c>
      <c r="O160" t="inlineStr">
        <is>
          <t>To research</t>
        </is>
      </c>
      <c r="P160" t="inlineStr"/>
    </row>
    <row r="161">
      <c r="A161" t="inlineStr">
        <is>
          <t>short grain rice wholesale dubai</t>
        </is>
      </c>
      <c r="B161" t="inlineStr">
        <is>
          <t>Wholesale/B2B</t>
        </is>
      </c>
      <c r="C161" t="inlineStr">
        <is>
          <t>Non-Basmati</t>
        </is>
      </c>
      <c r="D161" t="inlineStr">
        <is>
          <t>Transactional (B2B)</t>
        </is>
      </c>
      <c r="E161" t="inlineStr">
        <is>
          <t>BOFU</t>
        </is>
      </c>
      <c r="F161" t="inlineStr">
        <is>
          <t>Dubai</t>
        </is>
      </c>
      <c r="G161" t="inlineStr">
        <is>
          <t>Wholesale landing page</t>
        </is>
      </c>
      <c r="H161" t="inlineStr">
        <is>
          <t>Landing</t>
        </is>
      </c>
      <c r="I161">
        <f>IFERROR(VLOOKUP($A161,'Semrush Import'!$A:$D,2,FALSE),"")</f>
        <v/>
      </c>
      <c r="J161">
        <f>IFERROR(VLOOKUP($A161,'Semrush Import'!$A:$D,3,FALSE),"")</f>
        <v/>
      </c>
      <c r="K161">
        <f>IFERROR(VLOOKUP($A161,'Semrush Import'!$A:$D,4,FALSE),"")</f>
        <v/>
      </c>
      <c r="L161">
        <f>IFERROR(VLOOKUP($A161,'KP Import'!$A:$B,2,FALSE),"")</f>
        <v/>
      </c>
      <c r="M161">
        <f>IF(I161="","",ROUND(I161/(J161+10),1))</f>
        <v/>
      </c>
      <c r="N161">
        <f>IF(M161="","",IF(M161&gt;=20,"A - Go first",IF(M161&gt;=5,"B - Next","C - Later")))</f>
        <v/>
      </c>
      <c r="O161" t="inlineStr">
        <is>
          <t>To research</t>
        </is>
      </c>
      <c r="P161" t="inlineStr"/>
    </row>
    <row r="162">
      <c r="A162" t="inlineStr">
        <is>
          <t>short grain rice supplier uae</t>
        </is>
      </c>
      <c r="B162" t="inlineStr">
        <is>
          <t>Wholesale/B2B</t>
        </is>
      </c>
      <c r="C162" t="inlineStr">
        <is>
          <t>Non-Basmati</t>
        </is>
      </c>
      <c r="D162" t="inlineStr">
        <is>
          <t>Transactional (B2B)</t>
        </is>
      </c>
      <c r="E162" t="inlineStr">
        <is>
          <t>BOFU</t>
        </is>
      </c>
      <c r="F162" t="inlineStr">
        <is>
          <t>UAE</t>
        </is>
      </c>
      <c r="G162" t="inlineStr">
        <is>
          <t>Wholesale landing page</t>
        </is>
      </c>
      <c r="H162" t="inlineStr">
        <is>
          <t>Landing</t>
        </is>
      </c>
      <c r="I162">
        <f>IFERROR(VLOOKUP($A162,'Semrush Import'!$A:$D,2,FALSE),"")</f>
        <v/>
      </c>
      <c r="J162">
        <f>IFERROR(VLOOKUP($A162,'Semrush Import'!$A:$D,3,FALSE),"")</f>
        <v/>
      </c>
      <c r="K162">
        <f>IFERROR(VLOOKUP($A162,'Semrush Import'!$A:$D,4,FALSE),"")</f>
        <v/>
      </c>
      <c r="L162">
        <f>IFERROR(VLOOKUP($A162,'KP Import'!$A:$B,2,FALSE),"")</f>
        <v/>
      </c>
      <c r="M162">
        <f>IF(I162="","",ROUND(I162/(J162+10),1))</f>
        <v/>
      </c>
      <c r="N162">
        <f>IF(M162="","",IF(M162&gt;=20,"A - Go first",IF(M162&gt;=5,"B - Next","C - Later")))</f>
        <v/>
      </c>
      <c r="O162" t="inlineStr">
        <is>
          <t>To research</t>
        </is>
      </c>
      <c r="P162" t="inlineStr"/>
    </row>
    <row r="163">
      <c r="A163" t="inlineStr">
        <is>
          <t>sushi rice</t>
        </is>
      </c>
      <c r="B163" t="inlineStr">
        <is>
          <t>Core product</t>
        </is>
      </c>
      <c r="C163" t="inlineStr">
        <is>
          <t>Specialty</t>
        </is>
      </c>
      <c r="D163" t="inlineStr">
        <is>
          <t>Informational/Commercial</t>
        </is>
      </c>
      <c r="E163" t="inlineStr">
        <is>
          <t>TOFU</t>
        </is>
      </c>
      <c r="F163" t="inlineStr">
        <is>
          <t>UAE (generic)</t>
        </is>
      </c>
      <c r="G163" t="inlineStr">
        <is>
          <t>Specialty Rice category</t>
        </is>
      </c>
      <c r="H163" t="inlineStr">
        <is>
          <t>Category</t>
        </is>
      </c>
      <c r="I163">
        <f>IFERROR(VLOOKUP($A163,'Semrush Import'!$A:$D,2,FALSE),"")</f>
        <v/>
      </c>
      <c r="J163">
        <f>IFERROR(VLOOKUP($A163,'Semrush Import'!$A:$D,3,FALSE),"")</f>
        <v/>
      </c>
      <c r="K163">
        <f>IFERROR(VLOOKUP($A163,'Semrush Import'!$A:$D,4,FALSE),"")</f>
        <v/>
      </c>
      <c r="L163">
        <f>IFERROR(VLOOKUP($A163,'KP Import'!$A:$B,2,FALSE),"")</f>
        <v/>
      </c>
      <c r="M163">
        <f>IF(I163="","",ROUND(I163/(J163+10),1))</f>
        <v/>
      </c>
      <c r="N163">
        <f>IF(M163="","",IF(M163&gt;=20,"A - Go first",IF(M163&gt;=5,"B - Next","C - Later")))</f>
        <v/>
      </c>
      <c r="O163" t="inlineStr">
        <is>
          <t>To research</t>
        </is>
      </c>
      <c r="P163" t="inlineStr"/>
    </row>
    <row r="164">
      <c r="A164" t="inlineStr">
        <is>
          <t>buy sushi rice online</t>
        </is>
      </c>
      <c r="B164" t="inlineStr">
        <is>
          <t>Transactional</t>
        </is>
      </c>
      <c r="C164" t="inlineStr">
        <is>
          <t>Specialty</t>
        </is>
      </c>
      <c r="D164" t="inlineStr">
        <is>
          <t>Transactional</t>
        </is>
      </c>
      <c r="E164" t="inlineStr">
        <is>
          <t>BOFU</t>
        </is>
      </c>
      <c r="F164" t="inlineStr">
        <is>
          <t>UAE (generic)</t>
        </is>
      </c>
      <c r="G164" t="inlineStr">
        <is>
          <t>Specialty Rice category</t>
        </is>
      </c>
      <c r="H164" t="inlineStr">
        <is>
          <t>Category</t>
        </is>
      </c>
      <c r="I164">
        <f>IFERROR(VLOOKUP($A164,'Semrush Import'!$A:$D,2,FALSE),"")</f>
        <v/>
      </c>
      <c r="J164">
        <f>IFERROR(VLOOKUP($A164,'Semrush Import'!$A:$D,3,FALSE),"")</f>
        <v/>
      </c>
      <c r="K164">
        <f>IFERROR(VLOOKUP($A164,'Semrush Import'!$A:$D,4,FALSE),"")</f>
        <v/>
      </c>
      <c r="L164">
        <f>IFERROR(VLOOKUP($A164,'KP Import'!$A:$B,2,FALSE),"")</f>
        <v/>
      </c>
      <c r="M164">
        <f>IF(I164="","",ROUND(I164/(J164+10),1))</f>
        <v/>
      </c>
      <c r="N164">
        <f>IF(M164="","",IF(M164&gt;=20,"A - Go first",IF(M164&gt;=5,"B - Next","C - Later")))</f>
        <v/>
      </c>
      <c r="O164" t="inlineStr">
        <is>
          <t>To research</t>
        </is>
      </c>
      <c r="P164" t="inlineStr"/>
    </row>
    <row r="165">
      <c r="A165" t="inlineStr">
        <is>
          <t>sushi rice price in uae</t>
        </is>
      </c>
      <c r="B165" t="inlineStr">
        <is>
          <t>Price</t>
        </is>
      </c>
      <c r="C165" t="inlineStr">
        <is>
          <t>Specialty</t>
        </is>
      </c>
      <c r="D165" t="inlineStr">
        <is>
          <t>Commercial/Transactional</t>
        </is>
      </c>
      <c r="E165" t="inlineStr">
        <is>
          <t>MOFU</t>
        </is>
      </c>
      <c r="F165" t="inlineStr">
        <is>
          <t>UAE</t>
        </is>
      </c>
      <c r="G165" t="inlineStr">
        <is>
          <t>Specialty Rice category</t>
        </is>
      </c>
      <c r="H165" t="inlineStr">
        <is>
          <t>Category</t>
        </is>
      </c>
      <c r="I165">
        <f>IFERROR(VLOOKUP($A165,'Semrush Import'!$A:$D,2,FALSE),"")</f>
        <v/>
      </c>
      <c r="J165">
        <f>IFERROR(VLOOKUP($A165,'Semrush Import'!$A:$D,3,FALSE),"")</f>
        <v/>
      </c>
      <c r="K165">
        <f>IFERROR(VLOOKUP($A165,'Semrush Import'!$A:$D,4,FALSE),"")</f>
        <v/>
      </c>
      <c r="L165">
        <f>IFERROR(VLOOKUP($A165,'KP Import'!$A:$B,2,FALSE),"")</f>
        <v/>
      </c>
      <c r="M165">
        <f>IF(I165="","",ROUND(I165/(J165+10),1))</f>
        <v/>
      </c>
      <c r="N165">
        <f>IF(M165="","",IF(M165&gt;=20,"A - Go first",IF(M165&gt;=5,"B - Next","C - Later")))</f>
        <v/>
      </c>
      <c r="O165" t="inlineStr">
        <is>
          <t>To research</t>
        </is>
      </c>
      <c r="P165" t="inlineStr"/>
    </row>
    <row r="166">
      <c r="A166" t="inlineStr">
        <is>
          <t>sushi rice price in dubai</t>
        </is>
      </c>
      <c r="B166" t="inlineStr">
        <is>
          <t>Price</t>
        </is>
      </c>
      <c r="C166" t="inlineStr">
        <is>
          <t>Specialty</t>
        </is>
      </c>
      <c r="D166" t="inlineStr">
        <is>
          <t>Commercial/Transactional</t>
        </is>
      </c>
      <c r="E166" t="inlineStr">
        <is>
          <t>MOFU</t>
        </is>
      </c>
      <c r="F166" t="inlineStr">
        <is>
          <t>Dubai</t>
        </is>
      </c>
      <c r="G166" t="inlineStr">
        <is>
          <t>Specialty Rice category</t>
        </is>
      </c>
      <c r="H166" t="inlineStr">
        <is>
          <t>Category</t>
        </is>
      </c>
      <c r="I166">
        <f>IFERROR(VLOOKUP($A166,'Semrush Import'!$A:$D,2,FALSE),"")</f>
        <v/>
      </c>
      <c r="J166">
        <f>IFERROR(VLOOKUP($A166,'Semrush Import'!$A:$D,3,FALSE),"")</f>
        <v/>
      </c>
      <c r="K166">
        <f>IFERROR(VLOOKUP($A166,'Semrush Import'!$A:$D,4,FALSE),"")</f>
        <v/>
      </c>
      <c r="L166">
        <f>IFERROR(VLOOKUP($A166,'KP Import'!$A:$B,2,FALSE),"")</f>
        <v/>
      </c>
      <c r="M166">
        <f>IF(I166="","",ROUND(I166/(J166+10),1))</f>
        <v/>
      </c>
      <c r="N166">
        <f>IF(M166="","",IF(M166&gt;=20,"A - Go first",IF(M166&gt;=5,"B - Next","C - Later")))</f>
        <v/>
      </c>
      <c r="O166" t="inlineStr">
        <is>
          <t>To research</t>
        </is>
      </c>
      <c r="P166" t="inlineStr"/>
    </row>
    <row r="167">
      <c r="A167" t="inlineStr">
        <is>
          <t>sushi rice online dubai</t>
        </is>
      </c>
      <c r="B167" t="inlineStr">
        <is>
          <t>Transactional</t>
        </is>
      </c>
      <c r="C167" t="inlineStr">
        <is>
          <t>Specialty</t>
        </is>
      </c>
      <c r="D167" t="inlineStr">
        <is>
          <t>Transactional</t>
        </is>
      </c>
      <c r="E167" t="inlineStr">
        <is>
          <t>BOFU</t>
        </is>
      </c>
      <c r="F167" t="inlineStr">
        <is>
          <t>Dubai</t>
        </is>
      </c>
      <c r="G167" t="inlineStr">
        <is>
          <t>Specialty Rice category</t>
        </is>
      </c>
      <c r="H167" t="inlineStr">
        <is>
          <t>Category</t>
        </is>
      </c>
      <c r="I167">
        <f>IFERROR(VLOOKUP($A167,'Semrush Import'!$A:$D,2,FALSE),"")</f>
        <v/>
      </c>
      <c r="J167">
        <f>IFERROR(VLOOKUP($A167,'Semrush Import'!$A:$D,3,FALSE),"")</f>
        <v/>
      </c>
      <c r="K167">
        <f>IFERROR(VLOOKUP($A167,'Semrush Import'!$A:$D,4,FALSE),"")</f>
        <v/>
      </c>
      <c r="L167">
        <f>IFERROR(VLOOKUP($A167,'KP Import'!$A:$B,2,FALSE),"")</f>
        <v/>
      </c>
      <c r="M167">
        <f>IF(I167="","",ROUND(I167/(J167+10),1))</f>
        <v/>
      </c>
      <c r="N167">
        <f>IF(M167="","",IF(M167&gt;=20,"A - Go first",IF(M167&gt;=5,"B - Next","C - Later")))</f>
        <v/>
      </c>
      <c r="O167" t="inlineStr">
        <is>
          <t>To research</t>
        </is>
      </c>
      <c r="P167" t="inlineStr"/>
    </row>
    <row r="168">
      <c r="A168" t="inlineStr">
        <is>
          <t>sushi rice wholesale dubai</t>
        </is>
      </c>
      <c r="B168" t="inlineStr">
        <is>
          <t>Wholesale/B2B</t>
        </is>
      </c>
      <c r="C168" t="inlineStr">
        <is>
          <t>Specialty</t>
        </is>
      </c>
      <c r="D168" t="inlineStr">
        <is>
          <t>Transactional (B2B)</t>
        </is>
      </c>
      <c r="E168" t="inlineStr">
        <is>
          <t>BOFU</t>
        </is>
      </c>
      <c r="F168" t="inlineStr">
        <is>
          <t>Dubai</t>
        </is>
      </c>
      <c r="G168" t="inlineStr">
        <is>
          <t>Wholesale landing page</t>
        </is>
      </c>
      <c r="H168" t="inlineStr">
        <is>
          <t>Landing</t>
        </is>
      </c>
      <c r="I168">
        <f>IFERROR(VLOOKUP($A168,'Semrush Import'!$A:$D,2,FALSE),"")</f>
        <v/>
      </c>
      <c r="J168">
        <f>IFERROR(VLOOKUP($A168,'Semrush Import'!$A:$D,3,FALSE),"")</f>
        <v/>
      </c>
      <c r="K168">
        <f>IFERROR(VLOOKUP($A168,'Semrush Import'!$A:$D,4,FALSE),"")</f>
        <v/>
      </c>
      <c r="L168">
        <f>IFERROR(VLOOKUP($A168,'KP Import'!$A:$B,2,FALSE),"")</f>
        <v/>
      </c>
      <c r="M168">
        <f>IF(I168="","",ROUND(I168/(J168+10),1))</f>
        <v/>
      </c>
      <c r="N168">
        <f>IF(M168="","",IF(M168&gt;=20,"A - Go first",IF(M168&gt;=5,"B - Next","C - Later")))</f>
        <v/>
      </c>
      <c r="O168" t="inlineStr">
        <is>
          <t>To research</t>
        </is>
      </c>
      <c r="P168" t="inlineStr"/>
    </row>
    <row r="169">
      <c r="A169" t="inlineStr">
        <is>
          <t>sushi rice supplier uae</t>
        </is>
      </c>
      <c r="B169" t="inlineStr">
        <is>
          <t>Wholesale/B2B</t>
        </is>
      </c>
      <c r="C169" t="inlineStr">
        <is>
          <t>Specialty</t>
        </is>
      </c>
      <c r="D169" t="inlineStr">
        <is>
          <t>Transactional (B2B)</t>
        </is>
      </c>
      <c r="E169" t="inlineStr">
        <is>
          <t>BOFU</t>
        </is>
      </c>
      <c r="F169" t="inlineStr">
        <is>
          <t>UAE</t>
        </is>
      </c>
      <c r="G169" t="inlineStr">
        <is>
          <t>Wholesale landing page</t>
        </is>
      </c>
      <c r="H169" t="inlineStr">
        <is>
          <t>Landing</t>
        </is>
      </c>
      <c r="I169">
        <f>IFERROR(VLOOKUP($A169,'Semrush Import'!$A:$D,2,FALSE),"")</f>
        <v/>
      </c>
      <c r="J169">
        <f>IFERROR(VLOOKUP($A169,'Semrush Import'!$A:$D,3,FALSE),"")</f>
        <v/>
      </c>
      <c r="K169">
        <f>IFERROR(VLOOKUP($A169,'Semrush Import'!$A:$D,4,FALSE),"")</f>
        <v/>
      </c>
      <c r="L169">
        <f>IFERROR(VLOOKUP($A169,'KP Import'!$A:$B,2,FALSE),"")</f>
        <v/>
      </c>
      <c r="M169">
        <f>IF(I169="","",ROUND(I169/(J169+10),1))</f>
        <v/>
      </c>
      <c r="N169">
        <f>IF(M169="","",IF(M169&gt;=20,"A - Go first",IF(M169&gt;=5,"B - Next","C - Later")))</f>
        <v/>
      </c>
      <c r="O169" t="inlineStr">
        <is>
          <t>To research</t>
        </is>
      </c>
      <c r="P169" t="inlineStr"/>
    </row>
    <row r="170">
      <c r="A170" t="inlineStr">
        <is>
          <t>arborio rice</t>
        </is>
      </c>
      <c r="B170" t="inlineStr">
        <is>
          <t>Core product</t>
        </is>
      </c>
      <c r="C170" t="inlineStr">
        <is>
          <t>Specialty</t>
        </is>
      </c>
      <c r="D170" t="inlineStr">
        <is>
          <t>Informational/Commercial</t>
        </is>
      </c>
      <c r="E170" t="inlineStr">
        <is>
          <t>TOFU</t>
        </is>
      </c>
      <c r="F170" t="inlineStr">
        <is>
          <t>UAE (generic)</t>
        </is>
      </c>
      <c r="G170" t="inlineStr">
        <is>
          <t>Specialty Rice category</t>
        </is>
      </c>
      <c r="H170" t="inlineStr">
        <is>
          <t>Category</t>
        </is>
      </c>
      <c r="I170">
        <f>IFERROR(VLOOKUP($A170,'Semrush Import'!$A:$D,2,FALSE),"")</f>
        <v/>
      </c>
      <c r="J170">
        <f>IFERROR(VLOOKUP($A170,'Semrush Import'!$A:$D,3,FALSE),"")</f>
        <v/>
      </c>
      <c r="K170">
        <f>IFERROR(VLOOKUP($A170,'Semrush Import'!$A:$D,4,FALSE),"")</f>
        <v/>
      </c>
      <c r="L170">
        <f>IFERROR(VLOOKUP($A170,'KP Import'!$A:$B,2,FALSE),"")</f>
        <v/>
      </c>
      <c r="M170">
        <f>IF(I170="","",ROUND(I170/(J170+10),1))</f>
        <v/>
      </c>
      <c r="N170">
        <f>IF(M170="","",IF(M170&gt;=20,"A - Go first",IF(M170&gt;=5,"B - Next","C - Later")))</f>
        <v/>
      </c>
      <c r="O170" t="inlineStr">
        <is>
          <t>To research</t>
        </is>
      </c>
      <c r="P170" t="inlineStr"/>
    </row>
    <row r="171">
      <c r="A171" t="inlineStr">
        <is>
          <t>buy arborio rice online</t>
        </is>
      </c>
      <c r="B171" t="inlineStr">
        <is>
          <t>Transactional</t>
        </is>
      </c>
      <c r="C171" t="inlineStr">
        <is>
          <t>Specialty</t>
        </is>
      </c>
      <c r="D171" t="inlineStr">
        <is>
          <t>Transactional</t>
        </is>
      </c>
      <c r="E171" t="inlineStr">
        <is>
          <t>BOFU</t>
        </is>
      </c>
      <c r="F171" t="inlineStr">
        <is>
          <t>UAE (generic)</t>
        </is>
      </c>
      <c r="G171" t="inlineStr">
        <is>
          <t>Specialty Rice category</t>
        </is>
      </c>
      <c r="H171" t="inlineStr">
        <is>
          <t>Category</t>
        </is>
      </c>
      <c r="I171">
        <f>IFERROR(VLOOKUP($A171,'Semrush Import'!$A:$D,2,FALSE),"")</f>
        <v/>
      </c>
      <c r="J171">
        <f>IFERROR(VLOOKUP($A171,'Semrush Import'!$A:$D,3,FALSE),"")</f>
        <v/>
      </c>
      <c r="K171">
        <f>IFERROR(VLOOKUP($A171,'Semrush Import'!$A:$D,4,FALSE),"")</f>
        <v/>
      </c>
      <c r="L171">
        <f>IFERROR(VLOOKUP($A171,'KP Import'!$A:$B,2,FALSE),"")</f>
        <v/>
      </c>
      <c r="M171">
        <f>IF(I171="","",ROUND(I171/(J171+10),1))</f>
        <v/>
      </c>
      <c r="N171">
        <f>IF(M171="","",IF(M171&gt;=20,"A - Go first",IF(M171&gt;=5,"B - Next","C - Later")))</f>
        <v/>
      </c>
      <c r="O171" t="inlineStr">
        <is>
          <t>To research</t>
        </is>
      </c>
      <c r="P171" t="inlineStr"/>
    </row>
    <row r="172">
      <c r="A172" t="inlineStr">
        <is>
          <t>arborio rice price in uae</t>
        </is>
      </c>
      <c r="B172" t="inlineStr">
        <is>
          <t>Price</t>
        </is>
      </c>
      <c r="C172" t="inlineStr">
        <is>
          <t>Specialty</t>
        </is>
      </c>
      <c r="D172" t="inlineStr">
        <is>
          <t>Commercial/Transactional</t>
        </is>
      </c>
      <c r="E172" t="inlineStr">
        <is>
          <t>MOFU</t>
        </is>
      </c>
      <c r="F172" t="inlineStr">
        <is>
          <t>UAE</t>
        </is>
      </c>
      <c r="G172" t="inlineStr">
        <is>
          <t>Specialty Rice category</t>
        </is>
      </c>
      <c r="H172" t="inlineStr">
        <is>
          <t>Category</t>
        </is>
      </c>
      <c r="I172">
        <f>IFERROR(VLOOKUP($A172,'Semrush Import'!$A:$D,2,FALSE),"")</f>
        <v/>
      </c>
      <c r="J172">
        <f>IFERROR(VLOOKUP($A172,'Semrush Import'!$A:$D,3,FALSE),"")</f>
        <v/>
      </c>
      <c r="K172">
        <f>IFERROR(VLOOKUP($A172,'Semrush Import'!$A:$D,4,FALSE),"")</f>
        <v/>
      </c>
      <c r="L172">
        <f>IFERROR(VLOOKUP($A172,'KP Import'!$A:$B,2,FALSE),"")</f>
        <v/>
      </c>
      <c r="M172">
        <f>IF(I172="","",ROUND(I172/(J172+10),1))</f>
        <v/>
      </c>
      <c r="N172">
        <f>IF(M172="","",IF(M172&gt;=20,"A - Go first",IF(M172&gt;=5,"B - Next","C - Later")))</f>
        <v/>
      </c>
      <c r="O172" t="inlineStr">
        <is>
          <t>To research</t>
        </is>
      </c>
      <c r="P172" t="inlineStr"/>
    </row>
    <row r="173">
      <c r="A173" t="inlineStr">
        <is>
          <t>arborio rice price in dubai</t>
        </is>
      </c>
      <c r="B173" t="inlineStr">
        <is>
          <t>Price</t>
        </is>
      </c>
      <c r="C173" t="inlineStr">
        <is>
          <t>Specialty</t>
        </is>
      </c>
      <c r="D173" t="inlineStr">
        <is>
          <t>Commercial/Transactional</t>
        </is>
      </c>
      <c r="E173" t="inlineStr">
        <is>
          <t>MOFU</t>
        </is>
      </c>
      <c r="F173" t="inlineStr">
        <is>
          <t>Dubai</t>
        </is>
      </c>
      <c r="G173" t="inlineStr">
        <is>
          <t>Specialty Rice category</t>
        </is>
      </c>
      <c r="H173" t="inlineStr">
        <is>
          <t>Category</t>
        </is>
      </c>
      <c r="I173">
        <f>IFERROR(VLOOKUP($A173,'Semrush Import'!$A:$D,2,FALSE),"")</f>
        <v/>
      </c>
      <c r="J173">
        <f>IFERROR(VLOOKUP($A173,'Semrush Import'!$A:$D,3,FALSE),"")</f>
        <v/>
      </c>
      <c r="K173">
        <f>IFERROR(VLOOKUP($A173,'Semrush Import'!$A:$D,4,FALSE),"")</f>
        <v/>
      </c>
      <c r="L173">
        <f>IFERROR(VLOOKUP($A173,'KP Import'!$A:$B,2,FALSE),"")</f>
        <v/>
      </c>
      <c r="M173">
        <f>IF(I173="","",ROUND(I173/(J173+10),1))</f>
        <v/>
      </c>
      <c r="N173">
        <f>IF(M173="","",IF(M173&gt;=20,"A - Go first",IF(M173&gt;=5,"B - Next","C - Later")))</f>
        <v/>
      </c>
      <c r="O173" t="inlineStr">
        <is>
          <t>To research</t>
        </is>
      </c>
      <c r="P173" t="inlineStr"/>
    </row>
    <row r="174">
      <c r="A174" t="inlineStr">
        <is>
          <t>arborio rice online dubai</t>
        </is>
      </c>
      <c r="B174" t="inlineStr">
        <is>
          <t>Transactional</t>
        </is>
      </c>
      <c r="C174" t="inlineStr">
        <is>
          <t>Specialty</t>
        </is>
      </c>
      <c r="D174" t="inlineStr">
        <is>
          <t>Transactional</t>
        </is>
      </c>
      <c r="E174" t="inlineStr">
        <is>
          <t>BOFU</t>
        </is>
      </c>
      <c r="F174" t="inlineStr">
        <is>
          <t>Dubai</t>
        </is>
      </c>
      <c r="G174" t="inlineStr">
        <is>
          <t>Specialty Rice category</t>
        </is>
      </c>
      <c r="H174" t="inlineStr">
        <is>
          <t>Category</t>
        </is>
      </c>
      <c r="I174">
        <f>IFERROR(VLOOKUP($A174,'Semrush Import'!$A:$D,2,FALSE),"")</f>
        <v/>
      </c>
      <c r="J174">
        <f>IFERROR(VLOOKUP($A174,'Semrush Import'!$A:$D,3,FALSE),"")</f>
        <v/>
      </c>
      <c r="K174">
        <f>IFERROR(VLOOKUP($A174,'Semrush Import'!$A:$D,4,FALSE),"")</f>
        <v/>
      </c>
      <c r="L174">
        <f>IFERROR(VLOOKUP($A174,'KP Import'!$A:$B,2,FALSE),"")</f>
        <v/>
      </c>
      <c r="M174">
        <f>IF(I174="","",ROUND(I174/(J174+10),1))</f>
        <v/>
      </c>
      <c r="N174">
        <f>IF(M174="","",IF(M174&gt;=20,"A - Go first",IF(M174&gt;=5,"B - Next","C - Later")))</f>
        <v/>
      </c>
      <c r="O174" t="inlineStr">
        <is>
          <t>To research</t>
        </is>
      </c>
      <c r="P174" t="inlineStr"/>
    </row>
    <row r="175">
      <c r="A175" t="inlineStr">
        <is>
          <t>arborio rice wholesale dubai</t>
        </is>
      </c>
      <c r="B175" t="inlineStr">
        <is>
          <t>Wholesale/B2B</t>
        </is>
      </c>
      <c r="C175" t="inlineStr">
        <is>
          <t>Specialty</t>
        </is>
      </c>
      <c r="D175" t="inlineStr">
        <is>
          <t>Transactional (B2B)</t>
        </is>
      </c>
      <c r="E175" t="inlineStr">
        <is>
          <t>BOFU</t>
        </is>
      </c>
      <c r="F175" t="inlineStr">
        <is>
          <t>Dubai</t>
        </is>
      </c>
      <c r="G175" t="inlineStr">
        <is>
          <t>Wholesale landing page</t>
        </is>
      </c>
      <c r="H175" t="inlineStr">
        <is>
          <t>Landing</t>
        </is>
      </c>
      <c r="I175">
        <f>IFERROR(VLOOKUP($A175,'Semrush Import'!$A:$D,2,FALSE),"")</f>
        <v/>
      </c>
      <c r="J175">
        <f>IFERROR(VLOOKUP($A175,'Semrush Import'!$A:$D,3,FALSE),"")</f>
        <v/>
      </c>
      <c r="K175">
        <f>IFERROR(VLOOKUP($A175,'Semrush Import'!$A:$D,4,FALSE),"")</f>
        <v/>
      </c>
      <c r="L175">
        <f>IFERROR(VLOOKUP($A175,'KP Import'!$A:$B,2,FALSE),"")</f>
        <v/>
      </c>
      <c r="M175">
        <f>IF(I175="","",ROUND(I175/(J175+10),1))</f>
        <v/>
      </c>
      <c r="N175">
        <f>IF(M175="","",IF(M175&gt;=20,"A - Go first",IF(M175&gt;=5,"B - Next","C - Later")))</f>
        <v/>
      </c>
      <c r="O175" t="inlineStr">
        <is>
          <t>To research</t>
        </is>
      </c>
      <c r="P175" t="inlineStr"/>
    </row>
    <row r="176">
      <c r="A176" t="inlineStr">
        <is>
          <t>arborio rice supplier uae</t>
        </is>
      </c>
      <c r="B176" t="inlineStr">
        <is>
          <t>Wholesale/B2B</t>
        </is>
      </c>
      <c r="C176" t="inlineStr">
        <is>
          <t>Specialty</t>
        </is>
      </c>
      <c r="D176" t="inlineStr">
        <is>
          <t>Transactional (B2B)</t>
        </is>
      </c>
      <c r="E176" t="inlineStr">
        <is>
          <t>BOFU</t>
        </is>
      </c>
      <c r="F176" t="inlineStr">
        <is>
          <t>UAE</t>
        </is>
      </c>
      <c r="G176" t="inlineStr">
        <is>
          <t>Wholesale landing page</t>
        </is>
      </c>
      <c r="H176" t="inlineStr">
        <is>
          <t>Landing</t>
        </is>
      </c>
      <c r="I176">
        <f>IFERROR(VLOOKUP($A176,'Semrush Import'!$A:$D,2,FALSE),"")</f>
        <v/>
      </c>
      <c r="J176">
        <f>IFERROR(VLOOKUP($A176,'Semrush Import'!$A:$D,3,FALSE),"")</f>
        <v/>
      </c>
      <c r="K176">
        <f>IFERROR(VLOOKUP($A176,'Semrush Import'!$A:$D,4,FALSE),"")</f>
        <v/>
      </c>
      <c r="L176">
        <f>IFERROR(VLOOKUP($A176,'KP Import'!$A:$B,2,FALSE),"")</f>
        <v/>
      </c>
      <c r="M176">
        <f>IF(I176="","",ROUND(I176/(J176+10),1))</f>
        <v/>
      </c>
      <c r="N176">
        <f>IF(M176="","",IF(M176&gt;=20,"A - Go first",IF(M176&gt;=5,"B - Next","C - Later")))</f>
        <v/>
      </c>
      <c r="O176" t="inlineStr">
        <is>
          <t>To research</t>
        </is>
      </c>
      <c r="P176" t="inlineStr"/>
    </row>
    <row r="177">
      <c r="A177" t="inlineStr">
        <is>
          <t>brown rice</t>
        </is>
      </c>
      <c r="B177" t="inlineStr">
        <is>
          <t>Core product</t>
        </is>
      </c>
      <c r="C177" t="inlineStr">
        <is>
          <t>Healthy</t>
        </is>
      </c>
      <c r="D177" t="inlineStr">
        <is>
          <t>Informational/Commercial</t>
        </is>
      </c>
      <c r="E177" t="inlineStr">
        <is>
          <t>TOFU</t>
        </is>
      </c>
      <c r="F177" t="inlineStr">
        <is>
          <t>UAE (generic)</t>
        </is>
      </c>
      <c r="G177" t="inlineStr">
        <is>
          <t>Brown Rice category</t>
        </is>
      </c>
      <c r="H177" t="inlineStr">
        <is>
          <t>Category</t>
        </is>
      </c>
      <c r="I177">
        <f>IFERROR(VLOOKUP($A177,'Semrush Import'!$A:$D,2,FALSE),"")</f>
        <v/>
      </c>
      <c r="J177">
        <f>IFERROR(VLOOKUP($A177,'Semrush Import'!$A:$D,3,FALSE),"")</f>
        <v/>
      </c>
      <c r="K177">
        <f>IFERROR(VLOOKUP($A177,'Semrush Import'!$A:$D,4,FALSE),"")</f>
        <v/>
      </c>
      <c r="L177">
        <f>IFERROR(VLOOKUP($A177,'KP Import'!$A:$B,2,FALSE),"")</f>
        <v/>
      </c>
      <c r="M177">
        <f>IF(I177="","",ROUND(I177/(J177+10),1))</f>
        <v/>
      </c>
      <c r="N177">
        <f>IF(M177="","",IF(M177&gt;=20,"A - Go first",IF(M177&gt;=5,"B - Next","C - Later")))</f>
        <v/>
      </c>
      <c r="O177" t="inlineStr">
        <is>
          <t>To research</t>
        </is>
      </c>
      <c r="P177" t="inlineStr"/>
    </row>
    <row r="178">
      <c r="A178" t="inlineStr">
        <is>
          <t>buy brown rice online</t>
        </is>
      </c>
      <c r="B178" t="inlineStr">
        <is>
          <t>Transactional</t>
        </is>
      </c>
      <c r="C178" t="inlineStr">
        <is>
          <t>Healthy</t>
        </is>
      </c>
      <c r="D178" t="inlineStr">
        <is>
          <t>Transactional</t>
        </is>
      </c>
      <c r="E178" t="inlineStr">
        <is>
          <t>BOFU</t>
        </is>
      </c>
      <c r="F178" t="inlineStr">
        <is>
          <t>UAE (generic)</t>
        </is>
      </c>
      <c r="G178" t="inlineStr">
        <is>
          <t>Brown Rice category</t>
        </is>
      </c>
      <c r="H178" t="inlineStr">
        <is>
          <t>Category</t>
        </is>
      </c>
      <c r="I178">
        <f>IFERROR(VLOOKUP($A178,'Semrush Import'!$A:$D,2,FALSE),"")</f>
        <v/>
      </c>
      <c r="J178">
        <f>IFERROR(VLOOKUP($A178,'Semrush Import'!$A:$D,3,FALSE),"")</f>
        <v/>
      </c>
      <c r="K178">
        <f>IFERROR(VLOOKUP($A178,'Semrush Import'!$A:$D,4,FALSE),"")</f>
        <v/>
      </c>
      <c r="L178">
        <f>IFERROR(VLOOKUP($A178,'KP Import'!$A:$B,2,FALSE),"")</f>
        <v/>
      </c>
      <c r="M178">
        <f>IF(I178="","",ROUND(I178/(J178+10),1))</f>
        <v/>
      </c>
      <c r="N178">
        <f>IF(M178="","",IF(M178&gt;=20,"A - Go first",IF(M178&gt;=5,"B - Next","C - Later")))</f>
        <v/>
      </c>
      <c r="O178" t="inlineStr">
        <is>
          <t>To research</t>
        </is>
      </c>
      <c r="P178" t="inlineStr"/>
    </row>
    <row r="179">
      <c r="A179" t="inlineStr">
        <is>
          <t>brown rice price in uae</t>
        </is>
      </c>
      <c r="B179" t="inlineStr">
        <is>
          <t>Price</t>
        </is>
      </c>
      <c r="C179" t="inlineStr">
        <is>
          <t>Healthy</t>
        </is>
      </c>
      <c r="D179" t="inlineStr">
        <is>
          <t>Commercial/Transactional</t>
        </is>
      </c>
      <c r="E179" t="inlineStr">
        <is>
          <t>MOFU</t>
        </is>
      </c>
      <c r="F179" t="inlineStr">
        <is>
          <t>UAE</t>
        </is>
      </c>
      <c r="G179" t="inlineStr">
        <is>
          <t>Brown Rice category</t>
        </is>
      </c>
      <c r="H179" t="inlineStr">
        <is>
          <t>Category</t>
        </is>
      </c>
      <c r="I179">
        <f>IFERROR(VLOOKUP($A179,'Semrush Import'!$A:$D,2,FALSE),"")</f>
        <v/>
      </c>
      <c r="J179">
        <f>IFERROR(VLOOKUP($A179,'Semrush Import'!$A:$D,3,FALSE),"")</f>
        <v/>
      </c>
      <c r="K179">
        <f>IFERROR(VLOOKUP($A179,'Semrush Import'!$A:$D,4,FALSE),"")</f>
        <v/>
      </c>
      <c r="L179">
        <f>IFERROR(VLOOKUP($A179,'KP Import'!$A:$B,2,FALSE),"")</f>
        <v/>
      </c>
      <c r="M179">
        <f>IF(I179="","",ROUND(I179/(J179+10),1))</f>
        <v/>
      </c>
      <c r="N179">
        <f>IF(M179="","",IF(M179&gt;=20,"A - Go first",IF(M179&gt;=5,"B - Next","C - Later")))</f>
        <v/>
      </c>
      <c r="O179" t="inlineStr">
        <is>
          <t>To research</t>
        </is>
      </c>
      <c r="P179" t="inlineStr"/>
    </row>
    <row r="180">
      <c r="A180" t="inlineStr">
        <is>
          <t>brown rice price in dubai</t>
        </is>
      </c>
      <c r="B180" t="inlineStr">
        <is>
          <t>Price</t>
        </is>
      </c>
      <c r="C180" t="inlineStr">
        <is>
          <t>Healthy</t>
        </is>
      </c>
      <c r="D180" t="inlineStr">
        <is>
          <t>Commercial/Transactional</t>
        </is>
      </c>
      <c r="E180" t="inlineStr">
        <is>
          <t>MOFU</t>
        </is>
      </c>
      <c r="F180" t="inlineStr">
        <is>
          <t>Dubai</t>
        </is>
      </c>
      <c r="G180" t="inlineStr">
        <is>
          <t>Brown Rice category</t>
        </is>
      </c>
      <c r="H180" t="inlineStr">
        <is>
          <t>Category</t>
        </is>
      </c>
      <c r="I180">
        <f>IFERROR(VLOOKUP($A180,'Semrush Import'!$A:$D,2,FALSE),"")</f>
        <v/>
      </c>
      <c r="J180">
        <f>IFERROR(VLOOKUP($A180,'Semrush Import'!$A:$D,3,FALSE),"")</f>
        <v/>
      </c>
      <c r="K180">
        <f>IFERROR(VLOOKUP($A180,'Semrush Import'!$A:$D,4,FALSE),"")</f>
        <v/>
      </c>
      <c r="L180">
        <f>IFERROR(VLOOKUP($A180,'KP Import'!$A:$B,2,FALSE),"")</f>
        <v/>
      </c>
      <c r="M180">
        <f>IF(I180="","",ROUND(I180/(J180+10),1))</f>
        <v/>
      </c>
      <c r="N180">
        <f>IF(M180="","",IF(M180&gt;=20,"A - Go first",IF(M180&gt;=5,"B - Next","C - Later")))</f>
        <v/>
      </c>
      <c r="O180" t="inlineStr">
        <is>
          <t>To research</t>
        </is>
      </c>
      <c r="P180" t="inlineStr"/>
    </row>
    <row r="181">
      <c r="A181" t="inlineStr">
        <is>
          <t>brown rice online dubai</t>
        </is>
      </c>
      <c r="B181" t="inlineStr">
        <is>
          <t>Transactional</t>
        </is>
      </c>
      <c r="C181" t="inlineStr">
        <is>
          <t>Healthy</t>
        </is>
      </c>
      <c r="D181" t="inlineStr">
        <is>
          <t>Transactional</t>
        </is>
      </c>
      <c r="E181" t="inlineStr">
        <is>
          <t>BOFU</t>
        </is>
      </c>
      <c r="F181" t="inlineStr">
        <is>
          <t>Dubai</t>
        </is>
      </c>
      <c r="G181" t="inlineStr">
        <is>
          <t>Brown Rice category</t>
        </is>
      </c>
      <c r="H181" t="inlineStr">
        <is>
          <t>Category</t>
        </is>
      </c>
      <c r="I181">
        <f>IFERROR(VLOOKUP($A181,'Semrush Import'!$A:$D,2,FALSE),"")</f>
        <v/>
      </c>
      <c r="J181">
        <f>IFERROR(VLOOKUP($A181,'Semrush Import'!$A:$D,3,FALSE),"")</f>
        <v/>
      </c>
      <c r="K181">
        <f>IFERROR(VLOOKUP($A181,'Semrush Import'!$A:$D,4,FALSE),"")</f>
        <v/>
      </c>
      <c r="L181">
        <f>IFERROR(VLOOKUP($A181,'KP Import'!$A:$B,2,FALSE),"")</f>
        <v/>
      </c>
      <c r="M181">
        <f>IF(I181="","",ROUND(I181/(J181+10),1))</f>
        <v/>
      </c>
      <c r="N181">
        <f>IF(M181="","",IF(M181&gt;=20,"A - Go first",IF(M181&gt;=5,"B - Next","C - Later")))</f>
        <v/>
      </c>
      <c r="O181" t="inlineStr">
        <is>
          <t>To research</t>
        </is>
      </c>
      <c r="P181" t="inlineStr"/>
    </row>
    <row r="182">
      <c r="A182" t="inlineStr">
        <is>
          <t>brown rice wholesale dubai</t>
        </is>
      </c>
      <c r="B182" t="inlineStr">
        <is>
          <t>Wholesale/B2B</t>
        </is>
      </c>
      <c r="C182" t="inlineStr">
        <is>
          <t>Healthy</t>
        </is>
      </c>
      <c r="D182" t="inlineStr">
        <is>
          <t>Transactional (B2B)</t>
        </is>
      </c>
      <c r="E182" t="inlineStr">
        <is>
          <t>BOFU</t>
        </is>
      </c>
      <c r="F182" t="inlineStr">
        <is>
          <t>Dubai</t>
        </is>
      </c>
      <c r="G182" t="inlineStr">
        <is>
          <t>Wholesale landing page</t>
        </is>
      </c>
      <c r="H182" t="inlineStr">
        <is>
          <t>Landing</t>
        </is>
      </c>
      <c r="I182">
        <f>IFERROR(VLOOKUP($A182,'Semrush Import'!$A:$D,2,FALSE),"")</f>
        <v/>
      </c>
      <c r="J182">
        <f>IFERROR(VLOOKUP($A182,'Semrush Import'!$A:$D,3,FALSE),"")</f>
        <v/>
      </c>
      <c r="K182">
        <f>IFERROR(VLOOKUP($A182,'Semrush Import'!$A:$D,4,FALSE),"")</f>
        <v/>
      </c>
      <c r="L182">
        <f>IFERROR(VLOOKUP($A182,'KP Import'!$A:$B,2,FALSE),"")</f>
        <v/>
      </c>
      <c r="M182">
        <f>IF(I182="","",ROUND(I182/(J182+10),1))</f>
        <v/>
      </c>
      <c r="N182">
        <f>IF(M182="","",IF(M182&gt;=20,"A - Go first",IF(M182&gt;=5,"B - Next","C - Later")))</f>
        <v/>
      </c>
      <c r="O182" t="inlineStr">
        <is>
          <t>To research</t>
        </is>
      </c>
      <c r="P182" t="inlineStr"/>
    </row>
    <row r="183">
      <c r="A183" t="inlineStr">
        <is>
          <t>brown rice supplier uae</t>
        </is>
      </c>
      <c r="B183" t="inlineStr">
        <is>
          <t>Wholesale/B2B</t>
        </is>
      </c>
      <c r="C183" t="inlineStr">
        <is>
          <t>Healthy</t>
        </is>
      </c>
      <c r="D183" t="inlineStr">
        <is>
          <t>Transactional (B2B)</t>
        </is>
      </c>
      <c r="E183" t="inlineStr">
        <is>
          <t>BOFU</t>
        </is>
      </c>
      <c r="F183" t="inlineStr">
        <is>
          <t>UAE</t>
        </is>
      </c>
      <c r="G183" t="inlineStr">
        <is>
          <t>Wholesale landing page</t>
        </is>
      </c>
      <c r="H183" t="inlineStr">
        <is>
          <t>Landing</t>
        </is>
      </c>
      <c r="I183">
        <f>IFERROR(VLOOKUP($A183,'Semrush Import'!$A:$D,2,FALSE),"")</f>
        <v/>
      </c>
      <c r="J183">
        <f>IFERROR(VLOOKUP($A183,'Semrush Import'!$A:$D,3,FALSE),"")</f>
        <v/>
      </c>
      <c r="K183">
        <f>IFERROR(VLOOKUP($A183,'Semrush Import'!$A:$D,4,FALSE),"")</f>
        <v/>
      </c>
      <c r="L183">
        <f>IFERROR(VLOOKUP($A183,'KP Import'!$A:$B,2,FALSE),"")</f>
        <v/>
      </c>
      <c r="M183">
        <f>IF(I183="","",ROUND(I183/(J183+10),1))</f>
        <v/>
      </c>
      <c r="N183">
        <f>IF(M183="","",IF(M183&gt;=20,"A - Go first",IF(M183&gt;=5,"B - Next","C - Later")))</f>
        <v/>
      </c>
      <c r="O183" t="inlineStr">
        <is>
          <t>To research</t>
        </is>
      </c>
      <c r="P183" t="inlineStr"/>
    </row>
    <row r="184">
      <c r="A184" t="inlineStr">
        <is>
          <t>red rice</t>
        </is>
      </c>
      <c r="B184" t="inlineStr">
        <is>
          <t>Core product</t>
        </is>
      </c>
      <c r="C184" t="inlineStr">
        <is>
          <t>Healthy</t>
        </is>
      </c>
      <c r="D184" t="inlineStr">
        <is>
          <t>Informational/Commercial</t>
        </is>
      </c>
      <c r="E184" t="inlineStr">
        <is>
          <t>TOFU</t>
        </is>
      </c>
      <c r="F184" t="inlineStr">
        <is>
          <t>UAE (generic)</t>
        </is>
      </c>
      <c r="G184" t="inlineStr">
        <is>
          <t>Healthy Rice category</t>
        </is>
      </c>
      <c r="H184" t="inlineStr">
        <is>
          <t>Category</t>
        </is>
      </c>
      <c r="I184">
        <f>IFERROR(VLOOKUP($A184,'Semrush Import'!$A:$D,2,FALSE),"")</f>
        <v/>
      </c>
      <c r="J184">
        <f>IFERROR(VLOOKUP($A184,'Semrush Import'!$A:$D,3,FALSE),"")</f>
        <v/>
      </c>
      <c r="K184">
        <f>IFERROR(VLOOKUP($A184,'Semrush Import'!$A:$D,4,FALSE),"")</f>
        <v/>
      </c>
      <c r="L184">
        <f>IFERROR(VLOOKUP($A184,'KP Import'!$A:$B,2,FALSE),"")</f>
        <v/>
      </c>
      <c r="M184">
        <f>IF(I184="","",ROUND(I184/(J184+10),1))</f>
        <v/>
      </c>
      <c r="N184">
        <f>IF(M184="","",IF(M184&gt;=20,"A - Go first",IF(M184&gt;=5,"B - Next","C - Later")))</f>
        <v/>
      </c>
      <c r="O184" t="inlineStr">
        <is>
          <t>To research</t>
        </is>
      </c>
      <c r="P184" t="inlineStr"/>
    </row>
    <row r="185">
      <c r="A185" t="inlineStr">
        <is>
          <t>buy red rice online</t>
        </is>
      </c>
      <c r="B185" t="inlineStr">
        <is>
          <t>Transactional</t>
        </is>
      </c>
      <c r="C185" t="inlineStr">
        <is>
          <t>Healthy</t>
        </is>
      </c>
      <c r="D185" t="inlineStr">
        <is>
          <t>Transactional</t>
        </is>
      </c>
      <c r="E185" t="inlineStr">
        <is>
          <t>BOFU</t>
        </is>
      </c>
      <c r="F185" t="inlineStr">
        <is>
          <t>UAE (generic)</t>
        </is>
      </c>
      <c r="G185" t="inlineStr">
        <is>
          <t>Healthy Rice category</t>
        </is>
      </c>
      <c r="H185" t="inlineStr">
        <is>
          <t>Category</t>
        </is>
      </c>
      <c r="I185">
        <f>IFERROR(VLOOKUP($A185,'Semrush Import'!$A:$D,2,FALSE),"")</f>
        <v/>
      </c>
      <c r="J185">
        <f>IFERROR(VLOOKUP($A185,'Semrush Import'!$A:$D,3,FALSE),"")</f>
        <v/>
      </c>
      <c r="K185">
        <f>IFERROR(VLOOKUP($A185,'Semrush Import'!$A:$D,4,FALSE),"")</f>
        <v/>
      </c>
      <c r="L185">
        <f>IFERROR(VLOOKUP($A185,'KP Import'!$A:$B,2,FALSE),"")</f>
        <v/>
      </c>
      <c r="M185">
        <f>IF(I185="","",ROUND(I185/(J185+10),1))</f>
        <v/>
      </c>
      <c r="N185">
        <f>IF(M185="","",IF(M185&gt;=20,"A - Go first",IF(M185&gt;=5,"B - Next","C - Later")))</f>
        <v/>
      </c>
      <c r="O185" t="inlineStr">
        <is>
          <t>To research</t>
        </is>
      </c>
      <c r="P185" t="inlineStr"/>
    </row>
    <row r="186">
      <c r="A186" t="inlineStr">
        <is>
          <t>red rice price in uae</t>
        </is>
      </c>
      <c r="B186" t="inlineStr">
        <is>
          <t>Price</t>
        </is>
      </c>
      <c r="C186" t="inlineStr">
        <is>
          <t>Healthy</t>
        </is>
      </c>
      <c r="D186" t="inlineStr">
        <is>
          <t>Commercial/Transactional</t>
        </is>
      </c>
      <c r="E186" t="inlineStr">
        <is>
          <t>MOFU</t>
        </is>
      </c>
      <c r="F186" t="inlineStr">
        <is>
          <t>UAE</t>
        </is>
      </c>
      <c r="G186" t="inlineStr">
        <is>
          <t>Healthy Rice category</t>
        </is>
      </c>
      <c r="H186" t="inlineStr">
        <is>
          <t>Category</t>
        </is>
      </c>
      <c r="I186">
        <f>IFERROR(VLOOKUP($A186,'Semrush Import'!$A:$D,2,FALSE),"")</f>
        <v/>
      </c>
      <c r="J186">
        <f>IFERROR(VLOOKUP($A186,'Semrush Import'!$A:$D,3,FALSE),"")</f>
        <v/>
      </c>
      <c r="K186">
        <f>IFERROR(VLOOKUP($A186,'Semrush Import'!$A:$D,4,FALSE),"")</f>
        <v/>
      </c>
      <c r="L186">
        <f>IFERROR(VLOOKUP($A186,'KP Import'!$A:$B,2,FALSE),"")</f>
        <v/>
      </c>
      <c r="M186">
        <f>IF(I186="","",ROUND(I186/(J186+10),1))</f>
        <v/>
      </c>
      <c r="N186">
        <f>IF(M186="","",IF(M186&gt;=20,"A - Go first",IF(M186&gt;=5,"B - Next","C - Later")))</f>
        <v/>
      </c>
      <c r="O186" t="inlineStr">
        <is>
          <t>To research</t>
        </is>
      </c>
      <c r="P186" t="inlineStr"/>
    </row>
    <row r="187">
      <c r="A187" t="inlineStr">
        <is>
          <t>red rice price in dubai</t>
        </is>
      </c>
      <c r="B187" t="inlineStr">
        <is>
          <t>Price</t>
        </is>
      </c>
      <c r="C187" t="inlineStr">
        <is>
          <t>Healthy</t>
        </is>
      </c>
      <c r="D187" t="inlineStr">
        <is>
          <t>Commercial/Transactional</t>
        </is>
      </c>
      <c r="E187" t="inlineStr">
        <is>
          <t>MOFU</t>
        </is>
      </c>
      <c r="F187" t="inlineStr">
        <is>
          <t>Dubai</t>
        </is>
      </c>
      <c r="G187" t="inlineStr">
        <is>
          <t>Healthy Rice category</t>
        </is>
      </c>
      <c r="H187" t="inlineStr">
        <is>
          <t>Category</t>
        </is>
      </c>
      <c r="I187">
        <f>IFERROR(VLOOKUP($A187,'Semrush Import'!$A:$D,2,FALSE),"")</f>
        <v/>
      </c>
      <c r="J187">
        <f>IFERROR(VLOOKUP($A187,'Semrush Import'!$A:$D,3,FALSE),"")</f>
        <v/>
      </c>
      <c r="K187">
        <f>IFERROR(VLOOKUP($A187,'Semrush Import'!$A:$D,4,FALSE),"")</f>
        <v/>
      </c>
      <c r="L187">
        <f>IFERROR(VLOOKUP($A187,'KP Import'!$A:$B,2,FALSE),"")</f>
        <v/>
      </c>
      <c r="M187">
        <f>IF(I187="","",ROUND(I187/(J187+10),1))</f>
        <v/>
      </c>
      <c r="N187">
        <f>IF(M187="","",IF(M187&gt;=20,"A - Go first",IF(M187&gt;=5,"B - Next","C - Later")))</f>
        <v/>
      </c>
      <c r="O187" t="inlineStr">
        <is>
          <t>To research</t>
        </is>
      </c>
      <c r="P187" t="inlineStr"/>
    </row>
    <row r="188">
      <c r="A188" t="inlineStr">
        <is>
          <t>red rice online dubai</t>
        </is>
      </c>
      <c r="B188" t="inlineStr">
        <is>
          <t>Transactional</t>
        </is>
      </c>
      <c r="C188" t="inlineStr">
        <is>
          <t>Healthy</t>
        </is>
      </c>
      <c r="D188" t="inlineStr">
        <is>
          <t>Transactional</t>
        </is>
      </c>
      <c r="E188" t="inlineStr">
        <is>
          <t>BOFU</t>
        </is>
      </c>
      <c r="F188" t="inlineStr">
        <is>
          <t>Dubai</t>
        </is>
      </c>
      <c r="G188" t="inlineStr">
        <is>
          <t>Healthy Rice category</t>
        </is>
      </c>
      <c r="H188" t="inlineStr">
        <is>
          <t>Category</t>
        </is>
      </c>
      <c r="I188">
        <f>IFERROR(VLOOKUP($A188,'Semrush Import'!$A:$D,2,FALSE),"")</f>
        <v/>
      </c>
      <c r="J188">
        <f>IFERROR(VLOOKUP($A188,'Semrush Import'!$A:$D,3,FALSE),"")</f>
        <v/>
      </c>
      <c r="K188">
        <f>IFERROR(VLOOKUP($A188,'Semrush Import'!$A:$D,4,FALSE),"")</f>
        <v/>
      </c>
      <c r="L188">
        <f>IFERROR(VLOOKUP($A188,'KP Import'!$A:$B,2,FALSE),"")</f>
        <v/>
      </c>
      <c r="M188">
        <f>IF(I188="","",ROUND(I188/(J188+10),1))</f>
        <v/>
      </c>
      <c r="N188">
        <f>IF(M188="","",IF(M188&gt;=20,"A - Go first",IF(M188&gt;=5,"B - Next","C - Later")))</f>
        <v/>
      </c>
      <c r="O188" t="inlineStr">
        <is>
          <t>To research</t>
        </is>
      </c>
      <c r="P188" t="inlineStr"/>
    </row>
    <row r="189">
      <c r="A189" t="inlineStr">
        <is>
          <t>red rice wholesale dubai</t>
        </is>
      </c>
      <c r="B189" t="inlineStr">
        <is>
          <t>Wholesale/B2B</t>
        </is>
      </c>
      <c r="C189" t="inlineStr">
        <is>
          <t>Healthy</t>
        </is>
      </c>
      <c r="D189" t="inlineStr">
        <is>
          <t>Transactional (B2B)</t>
        </is>
      </c>
      <c r="E189" t="inlineStr">
        <is>
          <t>BOFU</t>
        </is>
      </c>
      <c r="F189" t="inlineStr">
        <is>
          <t>Dubai</t>
        </is>
      </c>
      <c r="G189" t="inlineStr">
        <is>
          <t>Wholesale landing page</t>
        </is>
      </c>
      <c r="H189" t="inlineStr">
        <is>
          <t>Landing</t>
        </is>
      </c>
      <c r="I189">
        <f>IFERROR(VLOOKUP($A189,'Semrush Import'!$A:$D,2,FALSE),"")</f>
        <v/>
      </c>
      <c r="J189">
        <f>IFERROR(VLOOKUP($A189,'Semrush Import'!$A:$D,3,FALSE),"")</f>
        <v/>
      </c>
      <c r="K189">
        <f>IFERROR(VLOOKUP($A189,'Semrush Import'!$A:$D,4,FALSE),"")</f>
        <v/>
      </c>
      <c r="L189">
        <f>IFERROR(VLOOKUP($A189,'KP Import'!$A:$B,2,FALSE),"")</f>
        <v/>
      </c>
      <c r="M189">
        <f>IF(I189="","",ROUND(I189/(J189+10),1))</f>
        <v/>
      </c>
      <c r="N189">
        <f>IF(M189="","",IF(M189&gt;=20,"A - Go first",IF(M189&gt;=5,"B - Next","C - Later")))</f>
        <v/>
      </c>
      <c r="O189" t="inlineStr">
        <is>
          <t>To research</t>
        </is>
      </c>
      <c r="P189" t="inlineStr"/>
    </row>
    <row r="190">
      <c r="A190" t="inlineStr">
        <is>
          <t>red rice supplier uae</t>
        </is>
      </c>
      <c r="B190" t="inlineStr">
        <is>
          <t>Wholesale/B2B</t>
        </is>
      </c>
      <c r="C190" t="inlineStr">
        <is>
          <t>Healthy</t>
        </is>
      </c>
      <c r="D190" t="inlineStr">
        <is>
          <t>Transactional (B2B)</t>
        </is>
      </c>
      <c r="E190" t="inlineStr">
        <is>
          <t>BOFU</t>
        </is>
      </c>
      <c r="F190" t="inlineStr">
        <is>
          <t>UAE</t>
        </is>
      </c>
      <c r="G190" t="inlineStr">
        <is>
          <t>Wholesale landing page</t>
        </is>
      </c>
      <c r="H190" t="inlineStr">
        <is>
          <t>Landing</t>
        </is>
      </c>
      <c r="I190">
        <f>IFERROR(VLOOKUP($A190,'Semrush Import'!$A:$D,2,FALSE),"")</f>
        <v/>
      </c>
      <c r="J190">
        <f>IFERROR(VLOOKUP($A190,'Semrush Import'!$A:$D,3,FALSE),"")</f>
        <v/>
      </c>
      <c r="K190">
        <f>IFERROR(VLOOKUP($A190,'Semrush Import'!$A:$D,4,FALSE),"")</f>
        <v/>
      </c>
      <c r="L190">
        <f>IFERROR(VLOOKUP($A190,'KP Import'!$A:$B,2,FALSE),"")</f>
        <v/>
      </c>
      <c r="M190">
        <f>IF(I190="","",ROUND(I190/(J190+10),1))</f>
        <v/>
      </c>
      <c r="N190">
        <f>IF(M190="","",IF(M190&gt;=20,"A - Go first",IF(M190&gt;=5,"B - Next","C - Later")))</f>
        <v/>
      </c>
      <c r="O190" t="inlineStr">
        <is>
          <t>To research</t>
        </is>
      </c>
      <c r="P190" t="inlineStr"/>
    </row>
    <row r="191">
      <c r="A191" t="inlineStr">
        <is>
          <t>black rice</t>
        </is>
      </c>
      <c r="B191" t="inlineStr">
        <is>
          <t>Core product</t>
        </is>
      </c>
      <c r="C191" t="inlineStr">
        <is>
          <t>Healthy</t>
        </is>
      </c>
      <c r="D191" t="inlineStr">
        <is>
          <t>Informational/Commercial</t>
        </is>
      </c>
      <c r="E191" t="inlineStr">
        <is>
          <t>TOFU</t>
        </is>
      </c>
      <c r="F191" t="inlineStr">
        <is>
          <t>UAE (generic)</t>
        </is>
      </c>
      <c r="G191" t="inlineStr">
        <is>
          <t>Healthy Rice category</t>
        </is>
      </c>
      <c r="H191" t="inlineStr">
        <is>
          <t>Category</t>
        </is>
      </c>
      <c r="I191">
        <f>IFERROR(VLOOKUP($A191,'Semrush Import'!$A:$D,2,FALSE),"")</f>
        <v/>
      </c>
      <c r="J191">
        <f>IFERROR(VLOOKUP($A191,'Semrush Import'!$A:$D,3,FALSE),"")</f>
        <v/>
      </c>
      <c r="K191">
        <f>IFERROR(VLOOKUP($A191,'Semrush Import'!$A:$D,4,FALSE),"")</f>
        <v/>
      </c>
      <c r="L191">
        <f>IFERROR(VLOOKUP($A191,'KP Import'!$A:$B,2,FALSE),"")</f>
        <v/>
      </c>
      <c r="M191">
        <f>IF(I191="","",ROUND(I191/(J191+10),1))</f>
        <v/>
      </c>
      <c r="N191">
        <f>IF(M191="","",IF(M191&gt;=20,"A - Go first",IF(M191&gt;=5,"B - Next","C - Later")))</f>
        <v/>
      </c>
      <c r="O191" t="inlineStr">
        <is>
          <t>To research</t>
        </is>
      </c>
      <c r="P191" t="inlineStr"/>
    </row>
    <row r="192">
      <c r="A192" t="inlineStr">
        <is>
          <t>buy black rice online</t>
        </is>
      </c>
      <c r="B192" t="inlineStr">
        <is>
          <t>Transactional</t>
        </is>
      </c>
      <c r="C192" t="inlineStr">
        <is>
          <t>Healthy</t>
        </is>
      </c>
      <c r="D192" t="inlineStr">
        <is>
          <t>Transactional</t>
        </is>
      </c>
      <c r="E192" t="inlineStr">
        <is>
          <t>BOFU</t>
        </is>
      </c>
      <c r="F192" t="inlineStr">
        <is>
          <t>UAE (generic)</t>
        </is>
      </c>
      <c r="G192" t="inlineStr">
        <is>
          <t>Healthy Rice category</t>
        </is>
      </c>
      <c r="H192" t="inlineStr">
        <is>
          <t>Category</t>
        </is>
      </c>
      <c r="I192">
        <f>IFERROR(VLOOKUP($A192,'Semrush Import'!$A:$D,2,FALSE),"")</f>
        <v/>
      </c>
      <c r="J192">
        <f>IFERROR(VLOOKUP($A192,'Semrush Import'!$A:$D,3,FALSE),"")</f>
        <v/>
      </c>
      <c r="K192">
        <f>IFERROR(VLOOKUP($A192,'Semrush Import'!$A:$D,4,FALSE),"")</f>
        <v/>
      </c>
      <c r="L192">
        <f>IFERROR(VLOOKUP($A192,'KP Import'!$A:$B,2,FALSE),"")</f>
        <v/>
      </c>
      <c r="M192">
        <f>IF(I192="","",ROUND(I192/(J192+10),1))</f>
        <v/>
      </c>
      <c r="N192">
        <f>IF(M192="","",IF(M192&gt;=20,"A - Go first",IF(M192&gt;=5,"B - Next","C - Later")))</f>
        <v/>
      </c>
      <c r="O192" t="inlineStr">
        <is>
          <t>To research</t>
        </is>
      </c>
      <c r="P192" t="inlineStr"/>
    </row>
    <row r="193">
      <c r="A193" t="inlineStr">
        <is>
          <t>black rice price in uae</t>
        </is>
      </c>
      <c r="B193" t="inlineStr">
        <is>
          <t>Price</t>
        </is>
      </c>
      <c r="C193" t="inlineStr">
        <is>
          <t>Healthy</t>
        </is>
      </c>
      <c r="D193" t="inlineStr">
        <is>
          <t>Commercial/Transactional</t>
        </is>
      </c>
      <c r="E193" t="inlineStr">
        <is>
          <t>MOFU</t>
        </is>
      </c>
      <c r="F193" t="inlineStr">
        <is>
          <t>UAE</t>
        </is>
      </c>
      <c r="G193" t="inlineStr">
        <is>
          <t>Healthy Rice category</t>
        </is>
      </c>
      <c r="H193" t="inlineStr">
        <is>
          <t>Category</t>
        </is>
      </c>
      <c r="I193">
        <f>IFERROR(VLOOKUP($A193,'Semrush Import'!$A:$D,2,FALSE),"")</f>
        <v/>
      </c>
      <c r="J193">
        <f>IFERROR(VLOOKUP($A193,'Semrush Import'!$A:$D,3,FALSE),"")</f>
        <v/>
      </c>
      <c r="K193">
        <f>IFERROR(VLOOKUP($A193,'Semrush Import'!$A:$D,4,FALSE),"")</f>
        <v/>
      </c>
      <c r="L193">
        <f>IFERROR(VLOOKUP($A193,'KP Import'!$A:$B,2,FALSE),"")</f>
        <v/>
      </c>
      <c r="M193">
        <f>IF(I193="","",ROUND(I193/(J193+10),1))</f>
        <v/>
      </c>
      <c r="N193">
        <f>IF(M193="","",IF(M193&gt;=20,"A - Go first",IF(M193&gt;=5,"B - Next","C - Later")))</f>
        <v/>
      </c>
      <c r="O193" t="inlineStr">
        <is>
          <t>To research</t>
        </is>
      </c>
      <c r="P193" t="inlineStr"/>
    </row>
    <row r="194">
      <c r="A194" t="inlineStr">
        <is>
          <t>black rice price in dubai</t>
        </is>
      </c>
      <c r="B194" t="inlineStr">
        <is>
          <t>Price</t>
        </is>
      </c>
      <c r="C194" t="inlineStr">
        <is>
          <t>Healthy</t>
        </is>
      </c>
      <c r="D194" t="inlineStr">
        <is>
          <t>Commercial/Transactional</t>
        </is>
      </c>
      <c r="E194" t="inlineStr">
        <is>
          <t>MOFU</t>
        </is>
      </c>
      <c r="F194" t="inlineStr">
        <is>
          <t>Dubai</t>
        </is>
      </c>
      <c r="G194" t="inlineStr">
        <is>
          <t>Healthy Rice category</t>
        </is>
      </c>
      <c r="H194" t="inlineStr">
        <is>
          <t>Category</t>
        </is>
      </c>
      <c r="I194">
        <f>IFERROR(VLOOKUP($A194,'Semrush Import'!$A:$D,2,FALSE),"")</f>
        <v/>
      </c>
      <c r="J194">
        <f>IFERROR(VLOOKUP($A194,'Semrush Import'!$A:$D,3,FALSE),"")</f>
        <v/>
      </c>
      <c r="K194">
        <f>IFERROR(VLOOKUP($A194,'Semrush Import'!$A:$D,4,FALSE),"")</f>
        <v/>
      </c>
      <c r="L194">
        <f>IFERROR(VLOOKUP($A194,'KP Import'!$A:$B,2,FALSE),"")</f>
        <v/>
      </c>
      <c r="M194">
        <f>IF(I194="","",ROUND(I194/(J194+10),1))</f>
        <v/>
      </c>
      <c r="N194">
        <f>IF(M194="","",IF(M194&gt;=20,"A - Go first",IF(M194&gt;=5,"B - Next","C - Later")))</f>
        <v/>
      </c>
      <c r="O194" t="inlineStr">
        <is>
          <t>To research</t>
        </is>
      </c>
      <c r="P194" t="inlineStr"/>
    </row>
    <row r="195">
      <c r="A195" t="inlineStr">
        <is>
          <t>black rice online dubai</t>
        </is>
      </c>
      <c r="B195" t="inlineStr">
        <is>
          <t>Transactional</t>
        </is>
      </c>
      <c r="C195" t="inlineStr">
        <is>
          <t>Healthy</t>
        </is>
      </c>
      <c r="D195" t="inlineStr">
        <is>
          <t>Transactional</t>
        </is>
      </c>
      <c r="E195" t="inlineStr">
        <is>
          <t>BOFU</t>
        </is>
      </c>
      <c r="F195" t="inlineStr">
        <is>
          <t>Dubai</t>
        </is>
      </c>
      <c r="G195" t="inlineStr">
        <is>
          <t>Healthy Rice category</t>
        </is>
      </c>
      <c r="H195" t="inlineStr">
        <is>
          <t>Category</t>
        </is>
      </c>
      <c r="I195">
        <f>IFERROR(VLOOKUP($A195,'Semrush Import'!$A:$D,2,FALSE),"")</f>
        <v/>
      </c>
      <c r="J195">
        <f>IFERROR(VLOOKUP($A195,'Semrush Import'!$A:$D,3,FALSE),"")</f>
        <v/>
      </c>
      <c r="K195">
        <f>IFERROR(VLOOKUP($A195,'Semrush Import'!$A:$D,4,FALSE),"")</f>
        <v/>
      </c>
      <c r="L195">
        <f>IFERROR(VLOOKUP($A195,'KP Import'!$A:$B,2,FALSE),"")</f>
        <v/>
      </c>
      <c r="M195">
        <f>IF(I195="","",ROUND(I195/(J195+10),1))</f>
        <v/>
      </c>
      <c r="N195">
        <f>IF(M195="","",IF(M195&gt;=20,"A - Go first",IF(M195&gt;=5,"B - Next","C - Later")))</f>
        <v/>
      </c>
      <c r="O195" t="inlineStr">
        <is>
          <t>To research</t>
        </is>
      </c>
      <c r="P195" t="inlineStr"/>
    </row>
    <row r="196">
      <c r="A196" t="inlineStr">
        <is>
          <t>black rice wholesale dubai</t>
        </is>
      </c>
      <c r="B196" t="inlineStr">
        <is>
          <t>Wholesale/B2B</t>
        </is>
      </c>
      <c r="C196" t="inlineStr">
        <is>
          <t>Healthy</t>
        </is>
      </c>
      <c r="D196" t="inlineStr">
        <is>
          <t>Transactional (B2B)</t>
        </is>
      </c>
      <c r="E196" t="inlineStr">
        <is>
          <t>BOFU</t>
        </is>
      </c>
      <c r="F196" t="inlineStr">
        <is>
          <t>Dubai</t>
        </is>
      </c>
      <c r="G196" t="inlineStr">
        <is>
          <t>Wholesale landing page</t>
        </is>
      </c>
      <c r="H196" t="inlineStr">
        <is>
          <t>Landing</t>
        </is>
      </c>
      <c r="I196">
        <f>IFERROR(VLOOKUP($A196,'Semrush Import'!$A:$D,2,FALSE),"")</f>
        <v/>
      </c>
      <c r="J196">
        <f>IFERROR(VLOOKUP($A196,'Semrush Import'!$A:$D,3,FALSE),"")</f>
        <v/>
      </c>
      <c r="K196">
        <f>IFERROR(VLOOKUP($A196,'Semrush Import'!$A:$D,4,FALSE),"")</f>
        <v/>
      </c>
      <c r="L196">
        <f>IFERROR(VLOOKUP($A196,'KP Import'!$A:$B,2,FALSE),"")</f>
        <v/>
      </c>
      <c r="M196">
        <f>IF(I196="","",ROUND(I196/(J196+10),1))</f>
        <v/>
      </c>
      <c r="N196">
        <f>IF(M196="","",IF(M196&gt;=20,"A - Go first",IF(M196&gt;=5,"B - Next","C - Later")))</f>
        <v/>
      </c>
      <c r="O196" t="inlineStr">
        <is>
          <t>To research</t>
        </is>
      </c>
      <c r="P196" t="inlineStr"/>
    </row>
    <row r="197">
      <c r="A197" t="inlineStr">
        <is>
          <t>black rice supplier uae</t>
        </is>
      </c>
      <c r="B197" t="inlineStr">
        <is>
          <t>Wholesale/B2B</t>
        </is>
      </c>
      <c r="C197" t="inlineStr">
        <is>
          <t>Healthy</t>
        </is>
      </c>
      <c r="D197" t="inlineStr">
        <is>
          <t>Transactional (B2B)</t>
        </is>
      </c>
      <c r="E197" t="inlineStr">
        <is>
          <t>BOFU</t>
        </is>
      </c>
      <c r="F197" t="inlineStr">
        <is>
          <t>UAE</t>
        </is>
      </c>
      <c r="G197" t="inlineStr">
        <is>
          <t>Wholesale landing page</t>
        </is>
      </c>
      <c r="H197" t="inlineStr">
        <is>
          <t>Landing</t>
        </is>
      </c>
      <c r="I197">
        <f>IFERROR(VLOOKUP($A197,'Semrush Import'!$A:$D,2,FALSE),"")</f>
        <v/>
      </c>
      <c r="J197">
        <f>IFERROR(VLOOKUP($A197,'Semrush Import'!$A:$D,3,FALSE),"")</f>
        <v/>
      </c>
      <c r="K197">
        <f>IFERROR(VLOOKUP($A197,'Semrush Import'!$A:$D,4,FALSE),"")</f>
        <v/>
      </c>
      <c r="L197">
        <f>IFERROR(VLOOKUP($A197,'KP Import'!$A:$B,2,FALSE),"")</f>
        <v/>
      </c>
      <c r="M197">
        <f>IF(I197="","",ROUND(I197/(J197+10),1))</f>
        <v/>
      </c>
      <c r="N197">
        <f>IF(M197="","",IF(M197&gt;=20,"A - Go first",IF(M197&gt;=5,"B - Next","C - Later")))</f>
        <v/>
      </c>
      <c r="O197" t="inlineStr">
        <is>
          <t>To research</t>
        </is>
      </c>
      <c r="P197" t="inlineStr"/>
    </row>
    <row r="198">
      <c r="A198" t="inlineStr">
        <is>
          <t>wild rice</t>
        </is>
      </c>
      <c r="B198" t="inlineStr">
        <is>
          <t>Core product</t>
        </is>
      </c>
      <c r="C198" t="inlineStr">
        <is>
          <t>Healthy</t>
        </is>
      </c>
      <c r="D198" t="inlineStr">
        <is>
          <t>Informational/Commercial</t>
        </is>
      </c>
      <c r="E198" t="inlineStr">
        <is>
          <t>TOFU</t>
        </is>
      </c>
      <c r="F198" t="inlineStr">
        <is>
          <t>UAE (generic)</t>
        </is>
      </c>
      <c r="G198" t="inlineStr">
        <is>
          <t>Healthy Rice category</t>
        </is>
      </c>
      <c r="H198" t="inlineStr">
        <is>
          <t>Category</t>
        </is>
      </c>
      <c r="I198">
        <f>IFERROR(VLOOKUP($A198,'Semrush Import'!$A:$D,2,FALSE),"")</f>
        <v/>
      </c>
      <c r="J198">
        <f>IFERROR(VLOOKUP($A198,'Semrush Import'!$A:$D,3,FALSE),"")</f>
        <v/>
      </c>
      <c r="K198">
        <f>IFERROR(VLOOKUP($A198,'Semrush Import'!$A:$D,4,FALSE),"")</f>
        <v/>
      </c>
      <c r="L198">
        <f>IFERROR(VLOOKUP($A198,'KP Import'!$A:$B,2,FALSE),"")</f>
        <v/>
      </c>
      <c r="M198">
        <f>IF(I198="","",ROUND(I198/(J198+10),1))</f>
        <v/>
      </c>
      <c r="N198">
        <f>IF(M198="","",IF(M198&gt;=20,"A - Go first",IF(M198&gt;=5,"B - Next","C - Later")))</f>
        <v/>
      </c>
      <c r="O198" t="inlineStr">
        <is>
          <t>To research</t>
        </is>
      </c>
      <c r="P198" t="inlineStr"/>
    </row>
    <row r="199">
      <c r="A199" t="inlineStr">
        <is>
          <t>buy wild rice online</t>
        </is>
      </c>
      <c r="B199" t="inlineStr">
        <is>
          <t>Transactional</t>
        </is>
      </c>
      <c r="C199" t="inlineStr">
        <is>
          <t>Healthy</t>
        </is>
      </c>
      <c r="D199" t="inlineStr">
        <is>
          <t>Transactional</t>
        </is>
      </c>
      <c r="E199" t="inlineStr">
        <is>
          <t>BOFU</t>
        </is>
      </c>
      <c r="F199" t="inlineStr">
        <is>
          <t>UAE (generic)</t>
        </is>
      </c>
      <c r="G199" t="inlineStr">
        <is>
          <t>Healthy Rice category</t>
        </is>
      </c>
      <c r="H199" t="inlineStr">
        <is>
          <t>Category</t>
        </is>
      </c>
      <c r="I199">
        <f>IFERROR(VLOOKUP($A199,'Semrush Import'!$A:$D,2,FALSE),"")</f>
        <v/>
      </c>
      <c r="J199">
        <f>IFERROR(VLOOKUP($A199,'Semrush Import'!$A:$D,3,FALSE),"")</f>
        <v/>
      </c>
      <c r="K199">
        <f>IFERROR(VLOOKUP($A199,'Semrush Import'!$A:$D,4,FALSE),"")</f>
        <v/>
      </c>
      <c r="L199">
        <f>IFERROR(VLOOKUP($A199,'KP Import'!$A:$B,2,FALSE),"")</f>
        <v/>
      </c>
      <c r="M199">
        <f>IF(I199="","",ROUND(I199/(J199+10),1))</f>
        <v/>
      </c>
      <c r="N199">
        <f>IF(M199="","",IF(M199&gt;=20,"A - Go first",IF(M199&gt;=5,"B - Next","C - Later")))</f>
        <v/>
      </c>
      <c r="O199" t="inlineStr">
        <is>
          <t>To research</t>
        </is>
      </c>
      <c r="P199" t="inlineStr"/>
    </row>
    <row r="200">
      <c r="A200" t="inlineStr">
        <is>
          <t>wild rice price in uae</t>
        </is>
      </c>
      <c r="B200" t="inlineStr">
        <is>
          <t>Price</t>
        </is>
      </c>
      <c r="C200" t="inlineStr">
        <is>
          <t>Healthy</t>
        </is>
      </c>
      <c r="D200" t="inlineStr">
        <is>
          <t>Commercial/Transactional</t>
        </is>
      </c>
      <c r="E200" t="inlineStr">
        <is>
          <t>MOFU</t>
        </is>
      </c>
      <c r="F200" t="inlineStr">
        <is>
          <t>UAE</t>
        </is>
      </c>
      <c r="G200" t="inlineStr">
        <is>
          <t>Healthy Rice category</t>
        </is>
      </c>
      <c r="H200" t="inlineStr">
        <is>
          <t>Category</t>
        </is>
      </c>
      <c r="I200">
        <f>IFERROR(VLOOKUP($A200,'Semrush Import'!$A:$D,2,FALSE),"")</f>
        <v/>
      </c>
      <c r="J200">
        <f>IFERROR(VLOOKUP($A200,'Semrush Import'!$A:$D,3,FALSE),"")</f>
        <v/>
      </c>
      <c r="K200">
        <f>IFERROR(VLOOKUP($A200,'Semrush Import'!$A:$D,4,FALSE),"")</f>
        <v/>
      </c>
      <c r="L200">
        <f>IFERROR(VLOOKUP($A200,'KP Import'!$A:$B,2,FALSE),"")</f>
        <v/>
      </c>
      <c r="M200">
        <f>IF(I200="","",ROUND(I200/(J200+10),1))</f>
        <v/>
      </c>
      <c r="N200">
        <f>IF(M200="","",IF(M200&gt;=20,"A - Go first",IF(M200&gt;=5,"B - Next","C - Later")))</f>
        <v/>
      </c>
      <c r="O200" t="inlineStr">
        <is>
          <t>To research</t>
        </is>
      </c>
      <c r="P200" t="inlineStr"/>
    </row>
    <row r="201">
      <c r="A201" t="inlineStr">
        <is>
          <t>wild rice price in dubai</t>
        </is>
      </c>
      <c r="B201" t="inlineStr">
        <is>
          <t>Price</t>
        </is>
      </c>
      <c r="C201" t="inlineStr">
        <is>
          <t>Healthy</t>
        </is>
      </c>
      <c r="D201" t="inlineStr">
        <is>
          <t>Commercial/Transactional</t>
        </is>
      </c>
      <c r="E201" t="inlineStr">
        <is>
          <t>MOFU</t>
        </is>
      </c>
      <c r="F201" t="inlineStr">
        <is>
          <t>Dubai</t>
        </is>
      </c>
      <c r="G201" t="inlineStr">
        <is>
          <t>Healthy Rice category</t>
        </is>
      </c>
      <c r="H201" t="inlineStr">
        <is>
          <t>Category</t>
        </is>
      </c>
      <c r="I201">
        <f>IFERROR(VLOOKUP($A201,'Semrush Import'!$A:$D,2,FALSE),"")</f>
        <v/>
      </c>
      <c r="J201">
        <f>IFERROR(VLOOKUP($A201,'Semrush Import'!$A:$D,3,FALSE),"")</f>
        <v/>
      </c>
      <c r="K201">
        <f>IFERROR(VLOOKUP($A201,'Semrush Import'!$A:$D,4,FALSE),"")</f>
        <v/>
      </c>
      <c r="L201">
        <f>IFERROR(VLOOKUP($A201,'KP Import'!$A:$B,2,FALSE),"")</f>
        <v/>
      </c>
      <c r="M201">
        <f>IF(I201="","",ROUND(I201/(J201+10),1))</f>
        <v/>
      </c>
      <c r="N201">
        <f>IF(M201="","",IF(M201&gt;=20,"A - Go first",IF(M201&gt;=5,"B - Next","C - Later")))</f>
        <v/>
      </c>
      <c r="O201" t="inlineStr">
        <is>
          <t>To research</t>
        </is>
      </c>
      <c r="P201" t="inlineStr"/>
    </row>
    <row r="202">
      <c r="A202" t="inlineStr">
        <is>
          <t>wild rice online dubai</t>
        </is>
      </c>
      <c r="B202" t="inlineStr">
        <is>
          <t>Transactional</t>
        </is>
      </c>
      <c r="C202" t="inlineStr">
        <is>
          <t>Healthy</t>
        </is>
      </c>
      <c r="D202" t="inlineStr">
        <is>
          <t>Transactional</t>
        </is>
      </c>
      <c r="E202" t="inlineStr">
        <is>
          <t>BOFU</t>
        </is>
      </c>
      <c r="F202" t="inlineStr">
        <is>
          <t>Dubai</t>
        </is>
      </c>
      <c r="G202" t="inlineStr">
        <is>
          <t>Healthy Rice category</t>
        </is>
      </c>
      <c r="H202" t="inlineStr">
        <is>
          <t>Category</t>
        </is>
      </c>
      <c r="I202">
        <f>IFERROR(VLOOKUP($A202,'Semrush Import'!$A:$D,2,FALSE),"")</f>
        <v/>
      </c>
      <c r="J202">
        <f>IFERROR(VLOOKUP($A202,'Semrush Import'!$A:$D,3,FALSE),"")</f>
        <v/>
      </c>
      <c r="K202">
        <f>IFERROR(VLOOKUP($A202,'Semrush Import'!$A:$D,4,FALSE),"")</f>
        <v/>
      </c>
      <c r="L202">
        <f>IFERROR(VLOOKUP($A202,'KP Import'!$A:$B,2,FALSE),"")</f>
        <v/>
      </c>
      <c r="M202">
        <f>IF(I202="","",ROUND(I202/(J202+10),1))</f>
        <v/>
      </c>
      <c r="N202">
        <f>IF(M202="","",IF(M202&gt;=20,"A - Go first",IF(M202&gt;=5,"B - Next","C - Later")))</f>
        <v/>
      </c>
      <c r="O202" t="inlineStr">
        <is>
          <t>To research</t>
        </is>
      </c>
      <c r="P202" t="inlineStr"/>
    </row>
    <row r="203">
      <c r="A203" t="inlineStr">
        <is>
          <t>wild rice wholesale dubai</t>
        </is>
      </c>
      <c r="B203" t="inlineStr">
        <is>
          <t>Wholesale/B2B</t>
        </is>
      </c>
      <c r="C203" t="inlineStr">
        <is>
          <t>Healthy</t>
        </is>
      </c>
      <c r="D203" t="inlineStr">
        <is>
          <t>Transactional (B2B)</t>
        </is>
      </c>
      <c r="E203" t="inlineStr">
        <is>
          <t>BOFU</t>
        </is>
      </c>
      <c r="F203" t="inlineStr">
        <is>
          <t>Dubai</t>
        </is>
      </c>
      <c r="G203" t="inlineStr">
        <is>
          <t>Wholesale landing page</t>
        </is>
      </c>
      <c r="H203" t="inlineStr">
        <is>
          <t>Landing</t>
        </is>
      </c>
      <c r="I203">
        <f>IFERROR(VLOOKUP($A203,'Semrush Import'!$A:$D,2,FALSE),"")</f>
        <v/>
      </c>
      <c r="J203">
        <f>IFERROR(VLOOKUP($A203,'Semrush Import'!$A:$D,3,FALSE),"")</f>
        <v/>
      </c>
      <c r="K203">
        <f>IFERROR(VLOOKUP($A203,'Semrush Import'!$A:$D,4,FALSE),"")</f>
        <v/>
      </c>
      <c r="L203">
        <f>IFERROR(VLOOKUP($A203,'KP Import'!$A:$B,2,FALSE),"")</f>
        <v/>
      </c>
      <c r="M203">
        <f>IF(I203="","",ROUND(I203/(J203+10),1))</f>
        <v/>
      </c>
      <c r="N203">
        <f>IF(M203="","",IF(M203&gt;=20,"A - Go first",IF(M203&gt;=5,"B - Next","C - Later")))</f>
        <v/>
      </c>
      <c r="O203" t="inlineStr">
        <is>
          <t>To research</t>
        </is>
      </c>
      <c r="P203" t="inlineStr"/>
    </row>
    <row r="204">
      <c r="A204" t="inlineStr">
        <is>
          <t>wild rice supplier uae</t>
        </is>
      </c>
      <c r="B204" t="inlineStr">
        <is>
          <t>Wholesale/B2B</t>
        </is>
      </c>
      <c r="C204" t="inlineStr">
        <is>
          <t>Healthy</t>
        </is>
      </c>
      <c r="D204" t="inlineStr">
        <is>
          <t>Transactional (B2B)</t>
        </is>
      </c>
      <c r="E204" t="inlineStr">
        <is>
          <t>BOFU</t>
        </is>
      </c>
      <c r="F204" t="inlineStr">
        <is>
          <t>UAE</t>
        </is>
      </c>
      <c r="G204" t="inlineStr">
        <is>
          <t>Wholesale landing page</t>
        </is>
      </c>
      <c r="H204" t="inlineStr">
        <is>
          <t>Landing</t>
        </is>
      </c>
      <c r="I204">
        <f>IFERROR(VLOOKUP($A204,'Semrush Import'!$A:$D,2,FALSE),"")</f>
        <v/>
      </c>
      <c r="J204">
        <f>IFERROR(VLOOKUP($A204,'Semrush Import'!$A:$D,3,FALSE),"")</f>
        <v/>
      </c>
      <c r="K204">
        <f>IFERROR(VLOOKUP($A204,'Semrush Import'!$A:$D,4,FALSE),"")</f>
        <v/>
      </c>
      <c r="L204">
        <f>IFERROR(VLOOKUP($A204,'KP Import'!$A:$B,2,FALSE),"")</f>
        <v/>
      </c>
      <c r="M204">
        <f>IF(I204="","",ROUND(I204/(J204+10),1))</f>
        <v/>
      </c>
      <c r="N204">
        <f>IF(M204="","",IF(M204&gt;=20,"A - Go first",IF(M204&gt;=5,"B - Next","C - Later")))</f>
        <v/>
      </c>
      <c r="O204" t="inlineStr">
        <is>
          <t>To research</t>
        </is>
      </c>
      <c r="P204" t="inlineStr"/>
    </row>
    <row r="205">
      <c r="A205" t="inlineStr">
        <is>
          <t>low gi rice</t>
        </is>
      </c>
      <c r="B205" t="inlineStr">
        <is>
          <t>Core product</t>
        </is>
      </c>
      <c r="C205" t="inlineStr">
        <is>
          <t>Healthy</t>
        </is>
      </c>
      <c r="D205" t="inlineStr">
        <is>
          <t>Informational/Commercial</t>
        </is>
      </c>
      <c r="E205" t="inlineStr">
        <is>
          <t>TOFU</t>
        </is>
      </c>
      <c r="F205" t="inlineStr">
        <is>
          <t>UAE (generic)</t>
        </is>
      </c>
      <c r="G205" t="inlineStr">
        <is>
          <t>Healthy Rice category</t>
        </is>
      </c>
      <c r="H205" t="inlineStr">
        <is>
          <t>Category</t>
        </is>
      </c>
      <c r="I205">
        <f>IFERROR(VLOOKUP($A205,'Semrush Import'!$A:$D,2,FALSE),"")</f>
        <v/>
      </c>
      <c r="J205">
        <f>IFERROR(VLOOKUP($A205,'Semrush Import'!$A:$D,3,FALSE),"")</f>
        <v/>
      </c>
      <c r="K205">
        <f>IFERROR(VLOOKUP($A205,'Semrush Import'!$A:$D,4,FALSE),"")</f>
        <v/>
      </c>
      <c r="L205">
        <f>IFERROR(VLOOKUP($A205,'KP Import'!$A:$B,2,FALSE),"")</f>
        <v/>
      </c>
      <c r="M205">
        <f>IF(I205="","",ROUND(I205/(J205+10),1))</f>
        <v/>
      </c>
      <c r="N205">
        <f>IF(M205="","",IF(M205&gt;=20,"A - Go first",IF(M205&gt;=5,"B - Next","C - Later")))</f>
        <v/>
      </c>
      <c r="O205" t="inlineStr">
        <is>
          <t>To research</t>
        </is>
      </c>
      <c r="P205" t="inlineStr"/>
    </row>
    <row r="206">
      <c r="A206" t="inlineStr">
        <is>
          <t>buy low gi rice online</t>
        </is>
      </c>
      <c r="B206" t="inlineStr">
        <is>
          <t>Transactional</t>
        </is>
      </c>
      <c r="C206" t="inlineStr">
        <is>
          <t>Healthy</t>
        </is>
      </c>
      <c r="D206" t="inlineStr">
        <is>
          <t>Transactional</t>
        </is>
      </c>
      <c r="E206" t="inlineStr">
        <is>
          <t>BOFU</t>
        </is>
      </c>
      <c r="F206" t="inlineStr">
        <is>
          <t>UAE (generic)</t>
        </is>
      </c>
      <c r="G206" t="inlineStr">
        <is>
          <t>Healthy Rice category</t>
        </is>
      </c>
      <c r="H206" t="inlineStr">
        <is>
          <t>Category</t>
        </is>
      </c>
      <c r="I206">
        <f>IFERROR(VLOOKUP($A206,'Semrush Import'!$A:$D,2,FALSE),"")</f>
        <v/>
      </c>
      <c r="J206">
        <f>IFERROR(VLOOKUP($A206,'Semrush Import'!$A:$D,3,FALSE),"")</f>
        <v/>
      </c>
      <c r="K206">
        <f>IFERROR(VLOOKUP($A206,'Semrush Import'!$A:$D,4,FALSE),"")</f>
        <v/>
      </c>
      <c r="L206">
        <f>IFERROR(VLOOKUP($A206,'KP Import'!$A:$B,2,FALSE),"")</f>
        <v/>
      </c>
      <c r="M206">
        <f>IF(I206="","",ROUND(I206/(J206+10),1))</f>
        <v/>
      </c>
      <c r="N206">
        <f>IF(M206="","",IF(M206&gt;=20,"A - Go first",IF(M206&gt;=5,"B - Next","C - Later")))</f>
        <v/>
      </c>
      <c r="O206" t="inlineStr">
        <is>
          <t>To research</t>
        </is>
      </c>
      <c r="P206" t="inlineStr"/>
    </row>
    <row r="207">
      <c r="A207" t="inlineStr">
        <is>
          <t>low gi rice price in uae</t>
        </is>
      </c>
      <c r="B207" t="inlineStr">
        <is>
          <t>Price</t>
        </is>
      </c>
      <c r="C207" t="inlineStr">
        <is>
          <t>Healthy</t>
        </is>
      </c>
      <c r="D207" t="inlineStr">
        <is>
          <t>Commercial/Transactional</t>
        </is>
      </c>
      <c r="E207" t="inlineStr">
        <is>
          <t>MOFU</t>
        </is>
      </c>
      <c r="F207" t="inlineStr">
        <is>
          <t>UAE</t>
        </is>
      </c>
      <c r="G207" t="inlineStr">
        <is>
          <t>Healthy Rice category</t>
        </is>
      </c>
      <c r="H207" t="inlineStr">
        <is>
          <t>Category</t>
        </is>
      </c>
      <c r="I207">
        <f>IFERROR(VLOOKUP($A207,'Semrush Import'!$A:$D,2,FALSE),"")</f>
        <v/>
      </c>
      <c r="J207">
        <f>IFERROR(VLOOKUP($A207,'Semrush Import'!$A:$D,3,FALSE),"")</f>
        <v/>
      </c>
      <c r="K207">
        <f>IFERROR(VLOOKUP($A207,'Semrush Import'!$A:$D,4,FALSE),"")</f>
        <v/>
      </c>
      <c r="L207">
        <f>IFERROR(VLOOKUP($A207,'KP Import'!$A:$B,2,FALSE),"")</f>
        <v/>
      </c>
      <c r="M207">
        <f>IF(I207="","",ROUND(I207/(J207+10),1))</f>
        <v/>
      </c>
      <c r="N207">
        <f>IF(M207="","",IF(M207&gt;=20,"A - Go first",IF(M207&gt;=5,"B - Next","C - Later")))</f>
        <v/>
      </c>
      <c r="O207" t="inlineStr">
        <is>
          <t>To research</t>
        </is>
      </c>
      <c r="P207" t="inlineStr"/>
    </row>
    <row r="208">
      <c r="A208" t="inlineStr">
        <is>
          <t>low gi rice price in dubai</t>
        </is>
      </c>
      <c r="B208" t="inlineStr">
        <is>
          <t>Price</t>
        </is>
      </c>
      <c r="C208" t="inlineStr">
        <is>
          <t>Healthy</t>
        </is>
      </c>
      <c r="D208" t="inlineStr">
        <is>
          <t>Commercial/Transactional</t>
        </is>
      </c>
      <c r="E208" t="inlineStr">
        <is>
          <t>MOFU</t>
        </is>
      </c>
      <c r="F208" t="inlineStr">
        <is>
          <t>Dubai</t>
        </is>
      </c>
      <c r="G208" t="inlineStr">
        <is>
          <t>Healthy Rice category</t>
        </is>
      </c>
      <c r="H208" t="inlineStr">
        <is>
          <t>Category</t>
        </is>
      </c>
      <c r="I208">
        <f>IFERROR(VLOOKUP($A208,'Semrush Import'!$A:$D,2,FALSE),"")</f>
        <v/>
      </c>
      <c r="J208">
        <f>IFERROR(VLOOKUP($A208,'Semrush Import'!$A:$D,3,FALSE),"")</f>
        <v/>
      </c>
      <c r="K208">
        <f>IFERROR(VLOOKUP($A208,'Semrush Import'!$A:$D,4,FALSE),"")</f>
        <v/>
      </c>
      <c r="L208">
        <f>IFERROR(VLOOKUP($A208,'KP Import'!$A:$B,2,FALSE),"")</f>
        <v/>
      </c>
      <c r="M208">
        <f>IF(I208="","",ROUND(I208/(J208+10),1))</f>
        <v/>
      </c>
      <c r="N208">
        <f>IF(M208="","",IF(M208&gt;=20,"A - Go first",IF(M208&gt;=5,"B - Next","C - Later")))</f>
        <v/>
      </c>
      <c r="O208" t="inlineStr">
        <is>
          <t>To research</t>
        </is>
      </c>
      <c r="P208" t="inlineStr"/>
    </row>
    <row r="209">
      <c r="A209" t="inlineStr">
        <is>
          <t>low gi rice online dubai</t>
        </is>
      </c>
      <c r="B209" t="inlineStr">
        <is>
          <t>Transactional</t>
        </is>
      </c>
      <c r="C209" t="inlineStr">
        <is>
          <t>Healthy</t>
        </is>
      </c>
      <c r="D209" t="inlineStr">
        <is>
          <t>Transactional</t>
        </is>
      </c>
      <c r="E209" t="inlineStr">
        <is>
          <t>BOFU</t>
        </is>
      </c>
      <c r="F209" t="inlineStr">
        <is>
          <t>Dubai</t>
        </is>
      </c>
      <c r="G209" t="inlineStr">
        <is>
          <t>Healthy Rice category</t>
        </is>
      </c>
      <c r="H209" t="inlineStr">
        <is>
          <t>Category</t>
        </is>
      </c>
      <c r="I209">
        <f>IFERROR(VLOOKUP($A209,'Semrush Import'!$A:$D,2,FALSE),"")</f>
        <v/>
      </c>
      <c r="J209">
        <f>IFERROR(VLOOKUP($A209,'Semrush Import'!$A:$D,3,FALSE),"")</f>
        <v/>
      </c>
      <c r="K209">
        <f>IFERROR(VLOOKUP($A209,'Semrush Import'!$A:$D,4,FALSE),"")</f>
        <v/>
      </c>
      <c r="L209">
        <f>IFERROR(VLOOKUP($A209,'KP Import'!$A:$B,2,FALSE),"")</f>
        <v/>
      </c>
      <c r="M209">
        <f>IF(I209="","",ROUND(I209/(J209+10),1))</f>
        <v/>
      </c>
      <c r="N209">
        <f>IF(M209="","",IF(M209&gt;=20,"A - Go first",IF(M209&gt;=5,"B - Next","C - Later")))</f>
        <v/>
      </c>
      <c r="O209" t="inlineStr">
        <is>
          <t>To research</t>
        </is>
      </c>
      <c r="P209" t="inlineStr"/>
    </row>
    <row r="210">
      <c r="A210" t="inlineStr">
        <is>
          <t>low gi rice wholesale dubai</t>
        </is>
      </c>
      <c r="B210" t="inlineStr">
        <is>
          <t>Wholesale/B2B</t>
        </is>
      </c>
      <c r="C210" t="inlineStr">
        <is>
          <t>Healthy</t>
        </is>
      </c>
      <c r="D210" t="inlineStr">
        <is>
          <t>Transactional (B2B)</t>
        </is>
      </c>
      <c r="E210" t="inlineStr">
        <is>
          <t>BOFU</t>
        </is>
      </c>
      <c r="F210" t="inlineStr">
        <is>
          <t>Dubai</t>
        </is>
      </c>
      <c r="G210" t="inlineStr">
        <is>
          <t>Wholesale landing page</t>
        </is>
      </c>
      <c r="H210" t="inlineStr">
        <is>
          <t>Landing</t>
        </is>
      </c>
      <c r="I210">
        <f>IFERROR(VLOOKUP($A210,'Semrush Import'!$A:$D,2,FALSE),"")</f>
        <v/>
      </c>
      <c r="J210">
        <f>IFERROR(VLOOKUP($A210,'Semrush Import'!$A:$D,3,FALSE),"")</f>
        <v/>
      </c>
      <c r="K210">
        <f>IFERROR(VLOOKUP($A210,'Semrush Import'!$A:$D,4,FALSE),"")</f>
        <v/>
      </c>
      <c r="L210">
        <f>IFERROR(VLOOKUP($A210,'KP Import'!$A:$B,2,FALSE),"")</f>
        <v/>
      </c>
      <c r="M210">
        <f>IF(I210="","",ROUND(I210/(J210+10),1))</f>
        <v/>
      </c>
      <c r="N210">
        <f>IF(M210="","",IF(M210&gt;=20,"A - Go first",IF(M210&gt;=5,"B - Next","C - Later")))</f>
        <v/>
      </c>
      <c r="O210" t="inlineStr">
        <is>
          <t>To research</t>
        </is>
      </c>
      <c r="P210" t="inlineStr"/>
    </row>
    <row r="211">
      <c r="A211" t="inlineStr">
        <is>
          <t>low gi rice supplier uae</t>
        </is>
      </c>
      <c r="B211" t="inlineStr">
        <is>
          <t>Wholesale/B2B</t>
        </is>
      </c>
      <c r="C211" t="inlineStr">
        <is>
          <t>Healthy</t>
        </is>
      </c>
      <c r="D211" t="inlineStr">
        <is>
          <t>Transactional (B2B)</t>
        </is>
      </c>
      <c r="E211" t="inlineStr">
        <is>
          <t>BOFU</t>
        </is>
      </c>
      <c r="F211" t="inlineStr">
        <is>
          <t>UAE</t>
        </is>
      </c>
      <c r="G211" t="inlineStr">
        <is>
          <t>Wholesale landing page</t>
        </is>
      </c>
      <c r="H211" t="inlineStr">
        <is>
          <t>Landing</t>
        </is>
      </c>
      <c r="I211">
        <f>IFERROR(VLOOKUP($A211,'Semrush Import'!$A:$D,2,FALSE),"")</f>
        <v/>
      </c>
      <c r="J211">
        <f>IFERROR(VLOOKUP($A211,'Semrush Import'!$A:$D,3,FALSE),"")</f>
        <v/>
      </c>
      <c r="K211">
        <f>IFERROR(VLOOKUP($A211,'Semrush Import'!$A:$D,4,FALSE),"")</f>
        <v/>
      </c>
      <c r="L211">
        <f>IFERROR(VLOOKUP($A211,'KP Import'!$A:$B,2,FALSE),"")</f>
        <v/>
      </c>
      <c r="M211">
        <f>IF(I211="","",ROUND(I211/(J211+10),1))</f>
        <v/>
      </c>
      <c r="N211">
        <f>IF(M211="","",IF(M211&gt;=20,"A - Go first",IF(M211&gt;=5,"B - Next","C - Later")))</f>
        <v/>
      </c>
      <c r="O211" t="inlineStr">
        <is>
          <t>To research</t>
        </is>
      </c>
      <c r="P211" t="inlineStr"/>
    </row>
    <row r="212">
      <c r="A212" t="inlineStr">
        <is>
          <t>biryani rice</t>
        </is>
      </c>
      <c r="B212" t="inlineStr">
        <is>
          <t>Core product</t>
        </is>
      </c>
      <c r="C212" t="inlineStr">
        <is>
          <t>Use-case</t>
        </is>
      </c>
      <c r="D212" t="inlineStr">
        <is>
          <t>Informational/Commercial</t>
        </is>
      </c>
      <c r="E212" t="inlineStr">
        <is>
          <t>TOFU</t>
        </is>
      </c>
      <c r="F212" t="inlineStr">
        <is>
          <t>UAE (generic)</t>
        </is>
      </c>
      <c r="G212" t="inlineStr">
        <is>
          <t>Biryani Rice page</t>
        </is>
      </c>
      <c r="H212" t="inlineStr">
        <is>
          <t>Landing/Blog</t>
        </is>
      </c>
      <c r="I212">
        <f>IFERROR(VLOOKUP($A212,'Semrush Import'!$A:$D,2,FALSE),"")</f>
        <v/>
      </c>
      <c r="J212">
        <f>IFERROR(VLOOKUP($A212,'Semrush Import'!$A:$D,3,FALSE),"")</f>
        <v/>
      </c>
      <c r="K212">
        <f>IFERROR(VLOOKUP($A212,'Semrush Import'!$A:$D,4,FALSE),"")</f>
        <v/>
      </c>
      <c r="L212">
        <f>IFERROR(VLOOKUP($A212,'KP Import'!$A:$B,2,FALSE),"")</f>
        <v/>
      </c>
      <c r="M212">
        <f>IF(I212="","",ROUND(I212/(J212+10),1))</f>
        <v/>
      </c>
      <c r="N212">
        <f>IF(M212="","",IF(M212&gt;=20,"A - Go first",IF(M212&gt;=5,"B - Next","C - Later")))</f>
        <v/>
      </c>
      <c r="O212" t="inlineStr">
        <is>
          <t>To research</t>
        </is>
      </c>
      <c r="P212" t="inlineStr"/>
    </row>
    <row r="213">
      <c r="A213" t="inlineStr">
        <is>
          <t>buy biryani rice online</t>
        </is>
      </c>
      <c r="B213" t="inlineStr">
        <is>
          <t>Transactional</t>
        </is>
      </c>
      <c r="C213" t="inlineStr">
        <is>
          <t>Use-case</t>
        </is>
      </c>
      <c r="D213" t="inlineStr">
        <is>
          <t>Transactional</t>
        </is>
      </c>
      <c r="E213" t="inlineStr">
        <is>
          <t>BOFU</t>
        </is>
      </c>
      <c r="F213" t="inlineStr">
        <is>
          <t>UAE (generic)</t>
        </is>
      </c>
      <c r="G213" t="inlineStr">
        <is>
          <t>Biryani Rice page</t>
        </is>
      </c>
      <c r="H213" t="inlineStr">
        <is>
          <t>Landing/Blog</t>
        </is>
      </c>
      <c r="I213">
        <f>IFERROR(VLOOKUP($A213,'Semrush Import'!$A:$D,2,FALSE),"")</f>
        <v/>
      </c>
      <c r="J213">
        <f>IFERROR(VLOOKUP($A213,'Semrush Import'!$A:$D,3,FALSE),"")</f>
        <v/>
      </c>
      <c r="K213">
        <f>IFERROR(VLOOKUP($A213,'Semrush Import'!$A:$D,4,FALSE),"")</f>
        <v/>
      </c>
      <c r="L213">
        <f>IFERROR(VLOOKUP($A213,'KP Import'!$A:$B,2,FALSE),"")</f>
        <v/>
      </c>
      <c r="M213">
        <f>IF(I213="","",ROUND(I213/(J213+10),1))</f>
        <v/>
      </c>
      <c r="N213">
        <f>IF(M213="","",IF(M213&gt;=20,"A - Go first",IF(M213&gt;=5,"B - Next","C - Later")))</f>
        <v/>
      </c>
      <c r="O213" t="inlineStr">
        <is>
          <t>To research</t>
        </is>
      </c>
      <c r="P213" t="inlineStr"/>
    </row>
    <row r="214">
      <c r="A214" t="inlineStr">
        <is>
          <t>biryani rice price in uae</t>
        </is>
      </c>
      <c r="B214" t="inlineStr">
        <is>
          <t>Price</t>
        </is>
      </c>
      <c r="C214" t="inlineStr">
        <is>
          <t>Use-case</t>
        </is>
      </c>
      <c r="D214" t="inlineStr">
        <is>
          <t>Commercial/Transactional</t>
        </is>
      </c>
      <c r="E214" t="inlineStr">
        <is>
          <t>MOFU</t>
        </is>
      </c>
      <c r="F214" t="inlineStr">
        <is>
          <t>UAE</t>
        </is>
      </c>
      <c r="G214" t="inlineStr">
        <is>
          <t>Biryani Rice page</t>
        </is>
      </c>
      <c r="H214" t="inlineStr">
        <is>
          <t>Landing/Blog</t>
        </is>
      </c>
      <c r="I214">
        <f>IFERROR(VLOOKUP($A214,'Semrush Import'!$A:$D,2,FALSE),"")</f>
        <v/>
      </c>
      <c r="J214">
        <f>IFERROR(VLOOKUP($A214,'Semrush Import'!$A:$D,3,FALSE),"")</f>
        <v/>
      </c>
      <c r="K214">
        <f>IFERROR(VLOOKUP($A214,'Semrush Import'!$A:$D,4,FALSE),"")</f>
        <v/>
      </c>
      <c r="L214">
        <f>IFERROR(VLOOKUP($A214,'KP Import'!$A:$B,2,FALSE),"")</f>
        <v/>
      </c>
      <c r="M214">
        <f>IF(I214="","",ROUND(I214/(J214+10),1))</f>
        <v/>
      </c>
      <c r="N214">
        <f>IF(M214="","",IF(M214&gt;=20,"A - Go first",IF(M214&gt;=5,"B - Next","C - Later")))</f>
        <v/>
      </c>
      <c r="O214" t="inlineStr">
        <is>
          <t>To research</t>
        </is>
      </c>
      <c r="P214" t="inlineStr"/>
    </row>
    <row r="215">
      <c r="A215" t="inlineStr">
        <is>
          <t>biryani rice price in dubai</t>
        </is>
      </c>
      <c r="B215" t="inlineStr">
        <is>
          <t>Price</t>
        </is>
      </c>
      <c r="C215" t="inlineStr">
        <is>
          <t>Use-case</t>
        </is>
      </c>
      <c r="D215" t="inlineStr">
        <is>
          <t>Commercial/Transactional</t>
        </is>
      </c>
      <c r="E215" t="inlineStr">
        <is>
          <t>MOFU</t>
        </is>
      </c>
      <c r="F215" t="inlineStr">
        <is>
          <t>Dubai</t>
        </is>
      </c>
      <c r="G215" t="inlineStr">
        <is>
          <t>Biryani Rice page</t>
        </is>
      </c>
      <c r="H215" t="inlineStr">
        <is>
          <t>Landing/Blog</t>
        </is>
      </c>
      <c r="I215">
        <f>IFERROR(VLOOKUP($A215,'Semrush Import'!$A:$D,2,FALSE),"")</f>
        <v/>
      </c>
      <c r="J215">
        <f>IFERROR(VLOOKUP($A215,'Semrush Import'!$A:$D,3,FALSE),"")</f>
        <v/>
      </c>
      <c r="K215">
        <f>IFERROR(VLOOKUP($A215,'Semrush Import'!$A:$D,4,FALSE),"")</f>
        <v/>
      </c>
      <c r="L215">
        <f>IFERROR(VLOOKUP($A215,'KP Import'!$A:$B,2,FALSE),"")</f>
        <v/>
      </c>
      <c r="M215">
        <f>IF(I215="","",ROUND(I215/(J215+10),1))</f>
        <v/>
      </c>
      <c r="N215">
        <f>IF(M215="","",IF(M215&gt;=20,"A - Go first",IF(M215&gt;=5,"B - Next","C - Later")))</f>
        <v/>
      </c>
      <c r="O215" t="inlineStr">
        <is>
          <t>To research</t>
        </is>
      </c>
      <c r="P215" t="inlineStr"/>
    </row>
    <row r="216">
      <c r="A216" t="inlineStr">
        <is>
          <t>biryani rice online dubai</t>
        </is>
      </c>
      <c r="B216" t="inlineStr">
        <is>
          <t>Transactional</t>
        </is>
      </c>
      <c r="C216" t="inlineStr">
        <is>
          <t>Use-case</t>
        </is>
      </c>
      <c r="D216" t="inlineStr">
        <is>
          <t>Transactional</t>
        </is>
      </c>
      <c r="E216" t="inlineStr">
        <is>
          <t>BOFU</t>
        </is>
      </c>
      <c r="F216" t="inlineStr">
        <is>
          <t>Dubai</t>
        </is>
      </c>
      <c r="G216" t="inlineStr">
        <is>
          <t>Biryani Rice page</t>
        </is>
      </c>
      <c r="H216" t="inlineStr">
        <is>
          <t>Landing/Blog</t>
        </is>
      </c>
      <c r="I216">
        <f>IFERROR(VLOOKUP($A216,'Semrush Import'!$A:$D,2,FALSE),"")</f>
        <v/>
      </c>
      <c r="J216">
        <f>IFERROR(VLOOKUP($A216,'Semrush Import'!$A:$D,3,FALSE),"")</f>
        <v/>
      </c>
      <c r="K216">
        <f>IFERROR(VLOOKUP($A216,'Semrush Import'!$A:$D,4,FALSE),"")</f>
        <v/>
      </c>
      <c r="L216">
        <f>IFERROR(VLOOKUP($A216,'KP Import'!$A:$B,2,FALSE),"")</f>
        <v/>
      </c>
      <c r="M216">
        <f>IF(I216="","",ROUND(I216/(J216+10),1))</f>
        <v/>
      </c>
      <c r="N216">
        <f>IF(M216="","",IF(M216&gt;=20,"A - Go first",IF(M216&gt;=5,"B - Next","C - Later")))</f>
        <v/>
      </c>
      <c r="O216" t="inlineStr">
        <is>
          <t>To research</t>
        </is>
      </c>
      <c r="P216" t="inlineStr"/>
    </row>
    <row r="217">
      <c r="A217" t="inlineStr">
        <is>
          <t>biryani rice wholesale dubai</t>
        </is>
      </c>
      <c r="B217" t="inlineStr">
        <is>
          <t>Wholesale/B2B</t>
        </is>
      </c>
      <c r="C217" t="inlineStr">
        <is>
          <t>Use-case</t>
        </is>
      </c>
      <c r="D217" t="inlineStr">
        <is>
          <t>Transactional (B2B)</t>
        </is>
      </c>
      <c r="E217" t="inlineStr">
        <is>
          <t>BOFU</t>
        </is>
      </c>
      <c r="F217" t="inlineStr">
        <is>
          <t>Dubai</t>
        </is>
      </c>
      <c r="G217" t="inlineStr">
        <is>
          <t>Wholesale landing page</t>
        </is>
      </c>
      <c r="H217" t="inlineStr">
        <is>
          <t>Landing</t>
        </is>
      </c>
      <c r="I217">
        <f>IFERROR(VLOOKUP($A217,'Semrush Import'!$A:$D,2,FALSE),"")</f>
        <v/>
      </c>
      <c r="J217">
        <f>IFERROR(VLOOKUP($A217,'Semrush Import'!$A:$D,3,FALSE),"")</f>
        <v/>
      </c>
      <c r="K217">
        <f>IFERROR(VLOOKUP($A217,'Semrush Import'!$A:$D,4,FALSE),"")</f>
        <v/>
      </c>
      <c r="L217">
        <f>IFERROR(VLOOKUP($A217,'KP Import'!$A:$B,2,FALSE),"")</f>
        <v/>
      </c>
      <c r="M217">
        <f>IF(I217="","",ROUND(I217/(J217+10),1))</f>
        <v/>
      </c>
      <c r="N217">
        <f>IF(M217="","",IF(M217&gt;=20,"A - Go first",IF(M217&gt;=5,"B - Next","C - Later")))</f>
        <v/>
      </c>
      <c r="O217" t="inlineStr">
        <is>
          <t>To research</t>
        </is>
      </c>
      <c r="P217" t="inlineStr"/>
    </row>
    <row r="218">
      <c r="A218" t="inlineStr">
        <is>
          <t>biryani rice supplier uae</t>
        </is>
      </c>
      <c r="B218" t="inlineStr">
        <is>
          <t>Wholesale/B2B</t>
        </is>
      </c>
      <c r="C218" t="inlineStr">
        <is>
          <t>Use-case</t>
        </is>
      </c>
      <c r="D218" t="inlineStr">
        <is>
          <t>Transactional (B2B)</t>
        </is>
      </c>
      <c r="E218" t="inlineStr">
        <is>
          <t>BOFU</t>
        </is>
      </c>
      <c r="F218" t="inlineStr">
        <is>
          <t>UAE</t>
        </is>
      </c>
      <c r="G218" t="inlineStr">
        <is>
          <t>Wholesale landing page</t>
        </is>
      </c>
      <c r="H218" t="inlineStr">
        <is>
          <t>Landing</t>
        </is>
      </c>
      <c r="I218">
        <f>IFERROR(VLOOKUP($A218,'Semrush Import'!$A:$D,2,FALSE),"")</f>
        <v/>
      </c>
      <c r="J218">
        <f>IFERROR(VLOOKUP($A218,'Semrush Import'!$A:$D,3,FALSE),"")</f>
        <v/>
      </c>
      <c r="K218">
        <f>IFERROR(VLOOKUP($A218,'Semrush Import'!$A:$D,4,FALSE),"")</f>
        <v/>
      </c>
      <c r="L218">
        <f>IFERROR(VLOOKUP($A218,'KP Import'!$A:$B,2,FALSE),"")</f>
        <v/>
      </c>
      <c r="M218">
        <f>IF(I218="","",ROUND(I218/(J218+10),1))</f>
        <v/>
      </c>
      <c r="N218">
        <f>IF(M218="","",IF(M218&gt;=20,"A - Go first",IF(M218&gt;=5,"B - Next","C - Later")))</f>
        <v/>
      </c>
      <c r="O218" t="inlineStr">
        <is>
          <t>To research</t>
        </is>
      </c>
      <c r="P218" t="inlineStr"/>
    </row>
    <row r="219">
      <c r="A219" t="inlineStr">
        <is>
          <t>rice for biryani</t>
        </is>
      </c>
      <c r="B219" t="inlineStr">
        <is>
          <t>Core product</t>
        </is>
      </c>
      <c r="C219" t="inlineStr">
        <is>
          <t>Use-case</t>
        </is>
      </c>
      <c r="D219" t="inlineStr">
        <is>
          <t>Informational/Commercial</t>
        </is>
      </c>
      <c r="E219" t="inlineStr">
        <is>
          <t>TOFU</t>
        </is>
      </c>
      <c r="F219" t="inlineStr">
        <is>
          <t>UAE (generic)</t>
        </is>
      </c>
      <c r="G219" t="inlineStr">
        <is>
          <t>Biryani Rice page</t>
        </is>
      </c>
      <c r="H219" t="inlineStr">
        <is>
          <t>Landing/Blog</t>
        </is>
      </c>
      <c r="I219">
        <f>IFERROR(VLOOKUP($A219,'Semrush Import'!$A:$D,2,FALSE),"")</f>
        <v/>
      </c>
      <c r="J219">
        <f>IFERROR(VLOOKUP($A219,'Semrush Import'!$A:$D,3,FALSE),"")</f>
        <v/>
      </c>
      <c r="K219">
        <f>IFERROR(VLOOKUP($A219,'Semrush Import'!$A:$D,4,FALSE),"")</f>
        <v/>
      </c>
      <c r="L219">
        <f>IFERROR(VLOOKUP($A219,'KP Import'!$A:$B,2,FALSE),"")</f>
        <v/>
      </c>
      <c r="M219">
        <f>IF(I219="","",ROUND(I219/(J219+10),1))</f>
        <v/>
      </c>
      <c r="N219">
        <f>IF(M219="","",IF(M219&gt;=20,"A - Go first",IF(M219&gt;=5,"B - Next","C - Later")))</f>
        <v/>
      </c>
      <c r="O219" t="inlineStr">
        <is>
          <t>To research</t>
        </is>
      </c>
      <c r="P219" t="inlineStr"/>
    </row>
    <row r="220">
      <c r="A220" t="inlineStr">
        <is>
          <t>buy rice for biryani online</t>
        </is>
      </c>
      <c r="B220" t="inlineStr">
        <is>
          <t>Transactional</t>
        </is>
      </c>
      <c r="C220" t="inlineStr">
        <is>
          <t>Use-case</t>
        </is>
      </c>
      <c r="D220" t="inlineStr">
        <is>
          <t>Transactional</t>
        </is>
      </c>
      <c r="E220" t="inlineStr">
        <is>
          <t>BOFU</t>
        </is>
      </c>
      <c r="F220" t="inlineStr">
        <is>
          <t>UAE (generic)</t>
        </is>
      </c>
      <c r="G220" t="inlineStr">
        <is>
          <t>Biryani Rice page</t>
        </is>
      </c>
      <c r="H220" t="inlineStr">
        <is>
          <t>Landing/Blog</t>
        </is>
      </c>
      <c r="I220">
        <f>IFERROR(VLOOKUP($A220,'Semrush Import'!$A:$D,2,FALSE),"")</f>
        <v/>
      </c>
      <c r="J220">
        <f>IFERROR(VLOOKUP($A220,'Semrush Import'!$A:$D,3,FALSE),"")</f>
        <v/>
      </c>
      <c r="K220">
        <f>IFERROR(VLOOKUP($A220,'Semrush Import'!$A:$D,4,FALSE),"")</f>
        <v/>
      </c>
      <c r="L220">
        <f>IFERROR(VLOOKUP($A220,'KP Import'!$A:$B,2,FALSE),"")</f>
        <v/>
      </c>
      <c r="M220">
        <f>IF(I220="","",ROUND(I220/(J220+10),1))</f>
        <v/>
      </c>
      <c r="N220">
        <f>IF(M220="","",IF(M220&gt;=20,"A - Go first",IF(M220&gt;=5,"B - Next","C - Later")))</f>
        <v/>
      </c>
      <c r="O220" t="inlineStr">
        <is>
          <t>To research</t>
        </is>
      </c>
      <c r="P220" t="inlineStr"/>
    </row>
    <row r="221">
      <c r="A221" t="inlineStr">
        <is>
          <t>rice for biryani price in uae</t>
        </is>
      </c>
      <c r="B221" t="inlineStr">
        <is>
          <t>Price</t>
        </is>
      </c>
      <c r="C221" t="inlineStr">
        <is>
          <t>Use-case</t>
        </is>
      </c>
      <c r="D221" t="inlineStr">
        <is>
          <t>Commercial/Transactional</t>
        </is>
      </c>
      <c r="E221" t="inlineStr">
        <is>
          <t>MOFU</t>
        </is>
      </c>
      <c r="F221" t="inlineStr">
        <is>
          <t>UAE</t>
        </is>
      </c>
      <c r="G221" t="inlineStr">
        <is>
          <t>Biryani Rice page</t>
        </is>
      </c>
      <c r="H221" t="inlineStr">
        <is>
          <t>Landing/Blog</t>
        </is>
      </c>
      <c r="I221">
        <f>IFERROR(VLOOKUP($A221,'Semrush Import'!$A:$D,2,FALSE),"")</f>
        <v/>
      </c>
      <c r="J221">
        <f>IFERROR(VLOOKUP($A221,'Semrush Import'!$A:$D,3,FALSE),"")</f>
        <v/>
      </c>
      <c r="K221">
        <f>IFERROR(VLOOKUP($A221,'Semrush Import'!$A:$D,4,FALSE),"")</f>
        <v/>
      </c>
      <c r="L221">
        <f>IFERROR(VLOOKUP($A221,'KP Import'!$A:$B,2,FALSE),"")</f>
        <v/>
      </c>
      <c r="M221">
        <f>IF(I221="","",ROUND(I221/(J221+10),1))</f>
        <v/>
      </c>
      <c r="N221">
        <f>IF(M221="","",IF(M221&gt;=20,"A - Go first",IF(M221&gt;=5,"B - Next","C - Later")))</f>
        <v/>
      </c>
      <c r="O221" t="inlineStr">
        <is>
          <t>To research</t>
        </is>
      </c>
      <c r="P221" t="inlineStr"/>
    </row>
    <row r="222">
      <c r="A222" t="inlineStr">
        <is>
          <t>rice for biryani price in dubai</t>
        </is>
      </c>
      <c r="B222" t="inlineStr">
        <is>
          <t>Price</t>
        </is>
      </c>
      <c r="C222" t="inlineStr">
        <is>
          <t>Use-case</t>
        </is>
      </c>
      <c r="D222" t="inlineStr">
        <is>
          <t>Commercial/Transactional</t>
        </is>
      </c>
      <c r="E222" t="inlineStr">
        <is>
          <t>MOFU</t>
        </is>
      </c>
      <c r="F222" t="inlineStr">
        <is>
          <t>Dubai</t>
        </is>
      </c>
      <c r="G222" t="inlineStr">
        <is>
          <t>Biryani Rice page</t>
        </is>
      </c>
      <c r="H222" t="inlineStr">
        <is>
          <t>Landing/Blog</t>
        </is>
      </c>
      <c r="I222">
        <f>IFERROR(VLOOKUP($A222,'Semrush Import'!$A:$D,2,FALSE),"")</f>
        <v/>
      </c>
      <c r="J222">
        <f>IFERROR(VLOOKUP($A222,'Semrush Import'!$A:$D,3,FALSE),"")</f>
        <v/>
      </c>
      <c r="K222">
        <f>IFERROR(VLOOKUP($A222,'Semrush Import'!$A:$D,4,FALSE),"")</f>
        <v/>
      </c>
      <c r="L222">
        <f>IFERROR(VLOOKUP($A222,'KP Import'!$A:$B,2,FALSE),"")</f>
        <v/>
      </c>
      <c r="M222">
        <f>IF(I222="","",ROUND(I222/(J222+10),1))</f>
        <v/>
      </c>
      <c r="N222">
        <f>IF(M222="","",IF(M222&gt;=20,"A - Go first",IF(M222&gt;=5,"B - Next","C - Later")))</f>
        <v/>
      </c>
      <c r="O222" t="inlineStr">
        <is>
          <t>To research</t>
        </is>
      </c>
      <c r="P222" t="inlineStr"/>
    </row>
    <row r="223">
      <c r="A223" t="inlineStr">
        <is>
          <t>rice for biryani online dubai</t>
        </is>
      </c>
      <c r="B223" t="inlineStr">
        <is>
          <t>Transactional</t>
        </is>
      </c>
      <c r="C223" t="inlineStr">
        <is>
          <t>Use-case</t>
        </is>
      </c>
      <c r="D223" t="inlineStr">
        <is>
          <t>Transactional</t>
        </is>
      </c>
      <c r="E223" t="inlineStr">
        <is>
          <t>BOFU</t>
        </is>
      </c>
      <c r="F223" t="inlineStr">
        <is>
          <t>Dubai</t>
        </is>
      </c>
      <c r="G223" t="inlineStr">
        <is>
          <t>Biryani Rice page</t>
        </is>
      </c>
      <c r="H223" t="inlineStr">
        <is>
          <t>Landing/Blog</t>
        </is>
      </c>
      <c r="I223">
        <f>IFERROR(VLOOKUP($A223,'Semrush Import'!$A:$D,2,FALSE),"")</f>
        <v/>
      </c>
      <c r="J223">
        <f>IFERROR(VLOOKUP($A223,'Semrush Import'!$A:$D,3,FALSE),"")</f>
        <v/>
      </c>
      <c r="K223">
        <f>IFERROR(VLOOKUP($A223,'Semrush Import'!$A:$D,4,FALSE),"")</f>
        <v/>
      </c>
      <c r="L223">
        <f>IFERROR(VLOOKUP($A223,'KP Import'!$A:$B,2,FALSE),"")</f>
        <v/>
      </c>
      <c r="M223">
        <f>IF(I223="","",ROUND(I223/(J223+10),1))</f>
        <v/>
      </c>
      <c r="N223">
        <f>IF(M223="","",IF(M223&gt;=20,"A - Go first",IF(M223&gt;=5,"B - Next","C - Later")))</f>
        <v/>
      </c>
      <c r="O223" t="inlineStr">
        <is>
          <t>To research</t>
        </is>
      </c>
      <c r="P223" t="inlineStr"/>
    </row>
    <row r="224">
      <c r="A224" t="inlineStr">
        <is>
          <t>rice for biryani wholesale dubai</t>
        </is>
      </c>
      <c r="B224" t="inlineStr">
        <is>
          <t>Wholesale/B2B</t>
        </is>
      </c>
      <c r="C224" t="inlineStr">
        <is>
          <t>Use-case</t>
        </is>
      </c>
      <c r="D224" t="inlineStr">
        <is>
          <t>Transactional (B2B)</t>
        </is>
      </c>
      <c r="E224" t="inlineStr">
        <is>
          <t>BOFU</t>
        </is>
      </c>
      <c r="F224" t="inlineStr">
        <is>
          <t>Dubai</t>
        </is>
      </c>
      <c r="G224" t="inlineStr">
        <is>
          <t>Wholesale landing page</t>
        </is>
      </c>
      <c r="H224" t="inlineStr">
        <is>
          <t>Landing</t>
        </is>
      </c>
      <c r="I224">
        <f>IFERROR(VLOOKUP($A224,'Semrush Import'!$A:$D,2,FALSE),"")</f>
        <v/>
      </c>
      <c r="J224">
        <f>IFERROR(VLOOKUP($A224,'Semrush Import'!$A:$D,3,FALSE),"")</f>
        <v/>
      </c>
      <c r="K224">
        <f>IFERROR(VLOOKUP($A224,'Semrush Import'!$A:$D,4,FALSE),"")</f>
        <v/>
      </c>
      <c r="L224">
        <f>IFERROR(VLOOKUP($A224,'KP Import'!$A:$B,2,FALSE),"")</f>
        <v/>
      </c>
      <c r="M224">
        <f>IF(I224="","",ROUND(I224/(J224+10),1))</f>
        <v/>
      </c>
      <c r="N224">
        <f>IF(M224="","",IF(M224&gt;=20,"A - Go first",IF(M224&gt;=5,"B - Next","C - Later")))</f>
        <v/>
      </c>
      <c r="O224" t="inlineStr">
        <is>
          <t>To research</t>
        </is>
      </c>
      <c r="P224" t="inlineStr"/>
    </row>
    <row r="225">
      <c r="A225" t="inlineStr">
        <is>
          <t>rice for biryani supplier uae</t>
        </is>
      </c>
      <c r="B225" t="inlineStr">
        <is>
          <t>Wholesale/B2B</t>
        </is>
      </c>
      <c r="C225" t="inlineStr">
        <is>
          <t>Use-case</t>
        </is>
      </c>
      <c r="D225" t="inlineStr">
        <is>
          <t>Transactional (B2B)</t>
        </is>
      </c>
      <c r="E225" t="inlineStr">
        <is>
          <t>BOFU</t>
        </is>
      </c>
      <c r="F225" t="inlineStr">
        <is>
          <t>UAE</t>
        </is>
      </c>
      <c r="G225" t="inlineStr">
        <is>
          <t>Wholesale landing page</t>
        </is>
      </c>
      <c r="H225" t="inlineStr">
        <is>
          <t>Landing</t>
        </is>
      </c>
      <c r="I225">
        <f>IFERROR(VLOOKUP($A225,'Semrush Import'!$A:$D,2,FALSE),"")</f>
        <v/>
      </c>
      <c r="J225">
        <f>IFERROR(VLOOKUP($A225,'Semrush Import'!$A:$D,3,FALSE),"")</f>
        <v/>
      </c>
      <c r="K225">
        <f>IFERROR(VLOOKUP($A225,'Semrush Import'!$A:$D,4,FALSE),"")</f>
        <v/>
      </c>
      <c r="L225">
        <f>IFERROR(VLOOKUP($A225,'KP Import'!$A:$B,2,FALSE),"")</f>
        <v/>
      </c>
      <c r="M225">
        <f>IF(I225="","",ROUND(I225/(J225+10),1))</f>
        <v/>
      </c>
      <c r="N225">
        <f>IF(M225="","",IF(M225&gt;=20,"A - Go first",IF(M225&gt;=5,"B - Next","C - Later")))</f>
        <v/>
      </c>
      <c r="O225" t="inlineStr">
        <is>
          <t>To research</t>
        </is>
      </c>
      <c r="P225" t="inlineStr"/>
    </row>
    <row r="226">
      <c r="A226" t="inlineStr">
        <is>
          <t>rice for kabsa</t>
        </is>
      </c>
      <c r="B226" t="inlineStr">
        <is>
          <t>Core product</t>
        </is>
      </c>
      <c r="C226" t="inlineStr">
        <is>
          <t>Use-case</t>
        </is>
      </c>
      <c r="D226" t="inlineStr">
        <is>
          <t>Informational/Commercial</t>
        </is>
      </c>
      <c r="E226" t="inlineStr">
        <is>
          <t>TOFU</t>
        </is>
      </c>
      <c r="F226" t="inlineStr">
        <is>
          <t>UAE (generic)</t>
        </is>
      </c>
      <c r="G226" t="inlineStr">
        <is>
          <t>Arabic/Kabsa Rice page</t>
        </is>
      </c>
      <c r="H226" t="inlineStr">
        <is>
          <t>Landing/Blog</t>
        </is>
      </c>
      <c r="I226">
        <f>IFERROR(VLOOKUP($A226,'Semrush Import'!$A:$D,2,FALSE),"")</f>
        <v/>
      </c>
      <c r="J226">
        <f>IFERROR(VLOOKUP($A226,'Semrush Import'!$A:$D,3,FALSE),"")</f>
        <v/>
      </c>
      <c r="K226">
        <f>IFERROR(VLOOKUP($A226,'Semrush Import'!$A:$D,4,FALSE),"")</f>
        <v/>
      </c>
      <c r="L226">
        <f>IFERROR(VLOOKUP($A226,'KP Import'!$A:$B,2,FALSE),"")</f>
        <v/>
      </c>
      <c r="M226">
        <f>IF(I226="","",ROUND(I226/(J226+10),1))</f>
        <v/>
      </c>
      <c r="N226">
        <f>IF(M226="","",IF(M226&gt;=20,"A - Go first",IF(M226&gt;=5,"B - Next","C - Later")))</f>
        <v/>
      </c>
      <c r="O226" t="inlineStr">
        <is>
          <t>To research</t>
        </is>
      </c>
      <c r="P226" t="inlineStr"/>
    </row>
    <row r="227">
      <c r="A227" t="inlineStr">
        <is>
          <t>buy rice for kabsa online</t>
        </is>
      </c>
      <c r="B227" t="inlineStr">
        <is>
          <t>Transactional</t>
        </is>
      </c>
      <c r="C227" t="inlineStr">
        <is>
          <t>Use-case</t>
        </is>
      </c>
      <c r="D227" t="inlineStr">
        <is>
          <t>Transactional</t>
        </is>
      </c>
      <c r="E227" t="inlineStr">
        <is>
          <t>BOFU</t>
        </is>
      </c>
      <c r="F227" t="inlineStr">
        <is>
          <t>UAE (generic)</t>
        </is>
      </c>
      <c r="G227" t="inlineStr">
        <is>
          <t>Arabic/Kabsa Rice page</t>
        </is>
      </c>
      <c r="H227" t="inlineStr">
        <is>
          <t>Landing/Blog</t>
        </is>
      </c>
      <c r="I227">
        <f>IFERROR(VLOOKUP($A227,'Semrush Import'!$A:$D,2,FALSE),"")</f>
        <v/>
      </c>
      <c r="J227">
        <f>IFERROR(VLOOKUP($A227,'Semrush Import'!$A:$D,3,FALSE),"")</f>
        <v/>
      </c>
      <c r="K227">
        <f>IFERROR(VLOOKUP($A227,'Semrush Import'!$A:$D,4,FALSE),"")</f>
        <v/>
      </c>
      <c r="L227">
        <f>IFERROR(VLOOKUP($A227,'KP Import'!$A:$B,2,FALSE),"")</f>
        <v/>
      </c>
      <c r="M227">
        <f>IF(I227="","",ROUND(I227/(J227+10),1))</f>
        <v/>
      </c>
      <c r="N227">
        <f>IF(M227="","",IF(M227&gt;=20,"A - Go first",IF(M227&gt;=5,"B - Next","C - Later")))</f>
        <v/>
      </c>
      <c r="O227" t="inlineStr">
        <is>
          <t>To research</t>
        </is>
      </c>
      <c r="P227" t="inlineStr"/>
    </row>
    <row r="228">
      <c r="A228" t="inlineStr">
        <is>
          <t>rice for kabsa price in uae</t>
        </is>
      </c>
      <c r="B228" t="inlineStr">
        <is>
          <t>Price</t>
        </is>
      </c>
      <c r="C228" t="inlineStr">
        <is>
          <t>Use-case</t>
        </is>
      </c>
      <c r="D228" t="inlineStr">
        <is>
          <t>Commercial/Transactional</t>
        </is>
      </c>
      <c r="E228" t="inlineStr">
        <is>
          <t>MOFU</t>
        </is>
      </c>
      <c r="F228" t="inlineStr">
        <is>
          <t>UAE</t>
        </is>
      </c>
      <c r="G228" t="inlineStr">
        <is>
          <t>Arabic/Kabsa Rice page</t>
        </is>
      </c>
      <c r="H228" t="inlineStr">
        <is>
          <t>Landing/Blog</t>
        </is>
      </c>
      <c r="I228">
        <f>IFERROR(VLOOKUP($A228,'Semrush Import'!$A:$D,2,FALSE),"")</f>
        <v/>
      </c>
      <c r="J228">
        <f>IFERROR(VLOOKUP($A228,'Semrush Import'!$A:$D,3,FALSE),"")</f>
        <v/>
      </c>
      <c r="K228">
        <f>IFERROR(VLOOKUP($A228,'Semrush Import'!$A:$D,4,FALSE),"")</f>
        <v/>
      </c>
      <c r="L228">
        <f>IFERROR(VLOOKUP($A228,'KP Import'!$A:$B,2,FALSE),"")</f>
        <v/>
      </c>
      <c r="M228">
        <f>IF(I228="","",ROUND(I228/(J228+10),1))</f>
        <v/>
      </c>
      <c r="N228">
        <f>IF(M228="","",IF(M228&gt;=20,"A - Go first",IF(M228&gt;=5,"B - Next","C - Later")))</f>
        <v/>
      </c>
      <c r="O228" t="inlineStr">
        <is>
          <t>To research</t>
        </is>
      </c>
      <c r="P228" t="inlineStr"/>
    </row>
    <row r="229">
      <c r="A229" t="inlineStr">
        <is>
          <t>rice for kabsa price in dubai</t>
        </is>
      </c>
      <c r="B229" t="inlineStr">
        <is>
          <t>Price</t>
        </is>
      </c>
      <c r="C229" t="inlineStr">
        <is>
          <t>Use-case</t>
        </is>
      </c>
      <c r="D229" t="inlineStr">
        <is>
          <t>Commercial/Transactional</t>
        </is>
      </c>
      <c r="E229" t="inlineStr">
        <is>
          <t>MOFU</t>
        </is>
      </c>
      <c r="F229" t="inlineStr">
        <is>
          <t>Dubai</t>
        </is>
      </c>
      <c r="G229" t="inlineStr">
        <is>
          <t>Arabic/Kabsa Rice page</t>
        </is>
      </c>
      <c r="H229" t="inlineStr">
        <is>
          <t>Landing/Blog</t>
        </is>
      </c>
      <c r="I229">
        <f>IFERROR(VLOOKUP($A229,'Semrush Import'!$A:$D,2,FALSE),"")</f>
        <v/>
      </c>
      <c r="J229">
        <f>IFERROR(VLOOKUP($A229,'Semrush Import'!$A:$D,3,FALSE),"")</f>
        <v/>
      </c>
      <c r="K229">
        <f>IFERROR(VLOOKUP($A229,'Semrush Import'!$A:$D,4,FALSE),"")</f>
        <v/>
      </c>
      <c r="L229">
        <f>IFERROR(VLOOKUP($A229,'KP Import'!$A:$B,2,FALSE),"")</f>
        <v/>
      </c>
      <c r="M229">
        <f>IF(I229="","",ROUND(I229/(J229+10),1))</f>
        <v/>
      </c>
      <c r="N229">
        <f>IF(M229="","",IF(M229&gt;=20,"A - Go first",IF(M229&gt;=5,"B - Next","C - Later")))</f>
        <v/>
      </c>
      <c r="O229" t="inlineStr">
        <is>
          <t>To research</t>
        </is>
      </c>
      <c r="P229" t="inlineStr"/>
    </row>
    <row r="230">
      <c r="A230" t="inlineStr">
        <is>
          <t>rice for kabsa online dubai</t>
        </is>
      </c>
      <c r="B230" t="inlineStr">
        <is>
          <t>Transactional</t>
        </is>
      </c>
      <c r="C230" t="inlineStr">
        <is>
          <t>Use-case</t>
        </is>
      </c>
      <c r="D230" t="inlineStr">
        <is>
          <t>Transactional</t>
        </is>
      </c>
      <c r="E230" t="inlineStr">
        <is>
          <t>BOFU</t>
        </is>
      </c>
      <c r="F230" t="inlineStr">
        <is>
          <t>Dubai</t>
        </is>
      </c>
      <c r="G230" t="inlineStr">
        <is>
          <t>Arabic/Kabsa Rice page</t>
        </is>
      </c>
      <c r="H230" t="inlineStr">
        <is>
          <t>Landing/Blog</t>
        </is>
      </c>
      <c r="I230">
        <f>IFERROR(VLOOKUP($A230,'Semrush Import'!$A:$D,2,FALSE),"")</f>
        <v/>
      </c>
      <c r="J230">
        <f>IFERROR(VLOOKUP($A230,'Semrush Import'!$A:$D,3,FALSE),"")</f>
        <v/>
      </c>
      <c r="K230">
        <f>IFERROR(VLOOKUP($A230,'Semrush Import'!$A:$D,4,FALSE),"")</f>
        <v/>
      </c>
      <c r="L230">
        <f>IFERROR(VLOOKUP($A230,'KP Import'!$A:$B,2,FALSE),"")</f>
        <v/>
      </c>
      <c r="M230">
        <f>IF(I230="","",ROUND(I230/(J230+10),1))</f>
        <v/>
      </c>
      <c r="N230">
        <f>IF(M230="","",IF(M230&gt;=20,"A - Go first",IF(M230&gt;=5,"B - Next","C - Later")))</f>
        <v/>
      </c>
      <c r="O230" t="inlineStr">
        <is>
          <t>To research</t>
        </is>
      </c>
      <c r="P230" t="inlineStr"/>
    </row>
    <row r="231">
      <c r="A231" t="inlineStr">
        <is>
          <t>rice for kabsa wholesale dubai</t>
        </is>
      </c>
      <c r="B231" t="inlineStr">
        <is>
          <t>Wholesale/B2B</t>
        </is>
      </c>
      <c r="C231" t="inlineStr">
        <is>
          <t>Use-case</t>
        </is>
      </c>
      <c r="D231" t="inlineStr">
        <is>
          <t>Transactional (B2B)</t>
        </is>
      </c>
      <c r="E231" t="inlineStr">
        <is>
          <t>BOFU</t>
        </is>
      </c>
      <c r="F231" t="inlineStr">
        <is>
          <t>Dubai</t>
        </is>
      </c>
      <c r="G231" t="inlineStr">
        <is>
          <t>Wholesale landing page</t>
        </is>
      </c>
      <c r="H231" t="inlineStr">
        <is>
          <t>Landing</t>
        </is>
      </c>
      <c r="I231">
        <f>IFERROR(VLOOKUP($A231,'Semrush Import'!$A:$D,2,FALSE),"")</f>
        <v/>
      </c>
      <c r="J231">
        <f>IFERROR(VLOOKUP($A231,'Semrush Import'!$A:$D,3,FALSE),"")</f>
        <v/>
      </c>
      <c r="K231">
        <f>IFERROR(VLOOKUP($A231,'Semrush Import'!$A:$D,4,FALSE),"")</f>
        <v/>
      </c>
      <c r="L231">
        <f>IFERROR(VLOOKUP($A231,'KP Import'!$A:$B,2,FALSE),"")</f>
        <v/>
      </c>
      <c r="M231">
        <f>IF(I231="","",ROUND(I231/(J231+10),1))</f>
        <v/>
      </c>
      <c r="N231">
        <f>IF(M231="","",IF(M231&gt;=20,"A - Go first",IF(M231&gt;=5,"B - Next","C - Later")))</f>
        <v/>
      </c>
      <c r="O231" t="inlineStr">
        <is>
          <t>To research</t>
        </is>
      </c>
      <c r="P231" t="inlineStr"/>
    </row>
    <row r="232">
      <c r="A232" t="inlineStr">
        <is>
          <t>rice for kabsa supplier uae</t>
        </is>
      </c>
      <c r="B232" t="inlineStr">
        <is>
          <t>Wholesale/B2B</t>
        </is>
      </c>
      <c r="C232" t="inlineStr">
        <is>
          <t>Use-case</t>
        </is>
      </c>
      <c r="D232" t="inlineStr">
        <is>
          <t>Transactional (B2B)</t>
        </is>
      </c>
      <c r="E232" t="inlineStr">
        <is>
          <t>BOFU</t>
        </is>
      </c>
      <c r="F232" t="inlineStr">
        <is>
          <t>UAE</t>
        </is>
      </c>
      <c r="G232" t="inlineStr">
        <is>
          <t>Wholesale landing page</t>
        </is>
      </c>
      <c r="H232" t="inlineStr">
        <is>
          <t>Landing</t>
        </is>
      </c>
      <c r="I232">
        <f>IFERROR(VLOOKUP($A232,'Semrush Import'!$A:$D,2,FALSE),"")</f>
        <v/>
      </c>
      <c r="J232">
        <f>IFERROR(VLOOKUP($A232,'Semrush Import'!$A:$D,3,FALSE),"")</f>
        <v/>
      </c>
      <c r="K232">
        <f>IFERROR(VLOOKUP($A232,'Semrush Import'!$A:$D,4,FALSE),"")</f>
        <v/>
      </c>
      <c r="L232">
        <f>IFERROR(VLOOKUP($A232,'KP Import'!$A:$B,2,FALSE),"")</f>
        <v/>
      </c>
      <c r="M232">
        <f>IF(I232="","",ROUND(I232/(J232+10),1))</f>
        <v/>
      </c>
      <c r="N232">
        <f>IF(M232="","",IF(M232&gt;=20,"A - Go first",IF(M232&gt;=5,"B - Next","C - Later")))</f>
        <v/>
      </c>
      <c r="O232" t="inlineStr">
        <is>
          <t>To research</t>
        </is>
      </c>
      <c r="P232" t="inlineStr"/>
    </row>
    <row r="233">
      <c r="A233" t="inlineStr">
        <is>
          <t>mandi rice</t>
        </is>
      </c>
      <c r="B233" t="inlineStr">
        <is>
          <t>Core product</t>
        </is>
      </c>
      <c r="C233" t="inlineStr">
        <is>
          <t>Use-case</t>
        </is>
      </c>
      <c r="D233" t="inlineStr">
        <is>
          <t>Informational/Commercial</t>
        </is>
      </c>
      <c r="E233" t="inlineStr">
        <is>
          <t>TOFU</t>
        </is>
      </c>
      <c r="F233" t="inlineStr">
        <is>
          <t>UAE (generic)</t>
        </is>
      </c>
      <c r="G233" t="inlineStr">
        <is>
          <t>Arabic/Kabsa Rice page</t>
        </is>
      </c>
      <c r="H233" t="inlineStr">
        <is>
          <t>Landing/Blog</t>
        </is>
      </c>
      <c r="I233">
        <f>IFERROR(VLOOKUP($A233,'Semrush Import'!$A:$D,2,FALSE),"")</f>
        <v/>
      </c>
      <c r="J233">
        <f>IFERROR(VLOOKUP($A233,'Semrush Import'!$A:$D,3,FALSE),"")</f>
        <v/>
      </c>
      <c r="K233">
        <f>IFERROR(VLOOKUP($A233,'Semrush Import'!$A:$D,4,FALSE),"")</f>
        <v/>
      </c>
      <c r="L233">
        <f>IFERROR(VLOOKUP($A233,'KP Import'!$A:$B,2,FALSE),"")</f>
        <v/>
      </c>
      <c r="M233">
        <f>IF(I233="","",ROUND(I233/(J233+10),1))</f>
        <v/>
      </c>
      <c r="N233">
        <f>IF(M233="","",IF(M233&gt;=20,"A - Go first",IF(M233&gt;=5,"B - Next","C - Later")))</f>
        <v/>
      </c>
      <c r="O233" t="inlineStr">
        <is>
          <t>To research</t>
        </is>
      </c>
      <c r="P233" t="inlineStr"/>
    </row>
    <row r="234">
      <c r="A234" t="inlineStr">
        <is>
          <t>buy mandi rice online</t>
        </is>
      </c>
      <c r="B234" t="inlineStr">
        <is>
          <t>Transactional</t>
        </is>
      </c>
      <c r="C234" t="inlineStr">
        <is>
          <t>Use-case</t>
        </is>
      </c>
      <c r="D234" t="inlineStr">
        <is>
          <t>Transactional</t>
        </is>
      </c>
      <c r="E234" t="inlineStr">
        <is>
          <t>BOFU</t>
        </is>
      </c>
      <c r="F234" t="inlineStr">
        <is>
          <t>UAE (generic)</t>
        </is>
      </c>
      <c r="G234" t="inlineStr">
        <is>
          <t>Arabic/Kabsa Rice page</t>
        </is>
      </c>
      <c r="H234" t="inlineStr">
        <is>
          <t>Landing/Blog</t>
        </is>
      </c>
      <c r="I234">
        <f>IFERROR(VLOOKUP($A234,'Semrush Import'!$A:$D,2,FALSE),"")</f>
        <v/>
      </c>
      <c r="J234">
        <f>IFERROR(VLOOKUP($A234,'Semrush Import'!$A:$D,3,FALSE),"")</f>
        <v/>
      </c>
      <c r="K234">
        <f>IFERROR(VLOOKUP($A234,'Semrush Import'!$A:$D,4,FALSE),"")</f>
        <v/>
      </c>
      <c r="L234">
        <f>IFERROR(VLOOKUP($A234,'KP Import'!$A:$B,2,FALSE),"")</f>
        <v/>
      </c>
      <c r="M234">
        <f>IF(I234="","",ROUND(I234/(J234+10),1))</f>
        <v/>
      </c>
      <c r="N234">
        <f>IF(M234="","",IF(M234&gt;=20,"A - Go first",IF(M234&gt;=5,"B - Next","C - Later")))</f>
        <v/>
      </c>
      <c r="O234" t="inlineStr">
        <is>
          <t>To research</t>
        </is>
      </c>
      <c r="P234" t="inlineStr"/>
    </row>
    <row r="235">
      <c r="A235" t="inlineStr">
        <is>
          <t>mandi rice price in uae</t>
        </is>
      </c>
      <c r="B235" t="inlineStr">
        <is>
          <t>Price</t>
        </is>
      </c>
      <c r="C235" t="inlineStr">
        <is>
          <t>Use-case</t>
        </is>
      </c>
      <c r="D235" t="inlineStr">
        <is>
          <t>Commercial/Transactional</t>
        </is>
      </c>
      <c r="E235" t="inlineStr">
        <is>
          <t>MOFU</t>
        </is>
      </c>
      <c r="F235" t="inlineStr">
        <is>
          <t>UAE</t>
        </is>
      </c>
      <c r="G235" t="inlineStr">
        <is>
          <t>Arabic/Kabsa Rice page</t>
        </is>
      </c>
      <c r="H235" t="inlineStr">
        <is>
          <t>Landing/Blog</t>
        </is>
      </c>
      <c r="I235">
        <f>IFERROR(VLOOKUP($A235,'Semrush Import'!$A:$D,2,FALSE),"")</f>
        <v/>
      </c>
      <c r="J235">
        <f>IFERROR(VLOOKUP($A235,'Semrush Import'!$A:$D,3,FALSE),"")</f>
        <v/>
      </c>
      <c r="K235">
        <f>IFERROR(VLOOKUP($A235,'Semrush Import'!$A:$D,4,FALSE),"")</f>
        <v/>
      </c>
      <c r="L235">
        <f>IFERROR(VLOOKUP($A235,'KP Import'!$A:$B,2,FALSE),"")</f>
        <v/>
      </c>
      <c r="M235">
        <f>IF(I235="","",ROUND(I235/(J235+10),1))</f>
        <v/>
      </c>
      <c r="N235">
        <f>IF(M235="","",IF(M235&gt;=20,"A - Go first",IF(M235&gt;=5,"B - Next","C - Later")))</f>
        <v/>
      </c>
      <c r="O235" t="inlineStr">
        <is>
          <t>To research</t>
        </is>
      </c>
      <c r="P235" t="inlineStr"/>
    </row>
    <row r="236">
      <c r="A236" t="inlineStr">
        <is>
          <t>mandi rice price in dubai</t>
        </is>
      </c>
      <c r="B236" t="inlineStr">
        <is>
          <t>Price</t>
        </is>
      </c>
      <c r="C236" t="inlineStr">
        <is>
          <t>Use-case</t>
        </is>
      </c>
      <c r="D236" t="inlineStr">
        <is>
          <t>Commercial/Transactional</t>
        </is>
      </c>
      <c r="E236" t="inlineStr">
        <is>
          <t>MOFU</t>
        </is>
      </c>
      <c r="F236" t="inlineStr">
        <is>
          <t>Dubai</t>
        </is>
      </c>
      <c r="G236" t="inlineStr">
        <is>
          <t>Arabic/Kabsa Rice page</t>
        </is>
      </c>
      <c r="H236" t="inlineStr">
        <is>
          <t>Landing/Blog</t>
        </is>
      </c>
      <c r="I236">
        <f>IFERROR(VLOOKUP($A236,'Semrush Import'!$A:$D,2,FALSE),"")</f>
        <v/>
      </c>
      <c r="J236">
        <f>IFERROR(VLOOKUP($A236,'Semrush Import'!$A:$D,3,FALSE),"")</f>
        <v/>
      </c>
      <c r="K236">
        <f>IFERROR(VLOOKUP($A236,'Semrush Import'!$A:$D,4,FALSE),"")</f>
        <v/>
      </c>
      <c r="L236">
        <f>IFERROR(VLOOKUP($A236,'KP Import'!$A:$B,2,FALSE),"")</f>
        <v/>
      </c>
      <c r="M236">
        <f>IF(I236="","",ROUND(I236/(J236+10),1))</f>
        <v/>
      </c>
      <c r="N236">
        <f>IF(M236="","",IF(M236&gt;=20,"A - Go first",IF(M236&gt;=5,"B - Next","C - Later")))</f>
        <v/>
      </c>
      <c r="O236" t="inlineStr">
        <is>
          <t>To research</t>
        </is>
      </c>
      <c r="P236" t="inlineStr"/>
    </row>
    <row r="237">
      <c r="A237" t="inlineStr">
        <is>
          <t>mandi rice online dubai</t>
        </is>
      </c>
      <c r="B237" t="inlineStr">
        <is>
          <t>Transactional</t>
        </is>
      </c>
      <c r="C237" t="inlineStr">
        <is>
          <t>Use-case</t>
        </is>
      </c>
      <c r="D237" t="inlineStr">
        <is>
          <t>Transactional</t>
        </is>
      </c>
      <c r="E237" t="inlineStr">
        <is>
          <t>BOFU</t>
        </is>
      </c>
      <c r="F237" t="inlineStr">
        <is>
          <t>Dubai</t>
        </is>
      </c>
      <c r="G237" t="inlineStr">
        <is>
          <t>Arabic/Kabsa Rice page</t>
        </is>
      </c>
      <c r="H237" t="inlineStr">
        <is>
          <t>Landing/Blog</t>
        </is>
      </c>
      <c r="I237">
        <f>IFERROR(VLOOKUP($A237,'Semrush Import'!$A:$D,2,FALSE),"")</f>
        <v/>
      </c>
      <c r="J237">
        <f>IFERROR(VLOOKUP($A237,'Semrush Import'!$A:$D,3,FALSE),"")</f>
        <v/>
      </c>
      <c r="K237">
        <f>IFERROR(VLOOKUP($A237,'Semrush Import'!$A:$D,4,FALSE),"")</f>
        <v/>
      </c>
      <c r="L237">
        <f>IFERROR(VLOOKUP($A237,'KP Import'!$A:$B,2,FALSE),"")</f>
        <v/>
      </c>
      <c r="M237">
        <f>IF(I237="","",ROUND(I237/(J237+10),1))</f>
        <v/>
      </c>
      <c r="N237">
        <f>IF(M237="","",IF(M237&gt;=20,"A - Go first",IF(M237&gt;=5,"B - Next","C - Later")))</f>
        <v/>
      </c>
      <c r="O237" t="inlineStr">
        <is>
          <t>To research</t>
        </is>
      </c>
      <c r="P237" t="inlineStr"/>
    </row>
    <row r="238">
      <c r="A238" t="inlineStr">
        <is>
          <t>mandi rice wholesale dubai</t>
        </is>
      </c>
      <c r="B238" t="inlineStr">
        <is>
          <t>Wholesale/B2B</t>
        </is>
      </c>
      <c r="C238" t="inlineStr">
        <is>
          <t>Use-case</t>
        </is>
      </c>
      <c r="D238" t="inlineStr">
        <is>
          <t>Transactional (B2B)</t>
        </is>
      </c>
      <c r="E238" t="inlineStr">
        <is>
          <t>BOFU</t>
        </is>
      </c>
      <c r="F238" t="inlineStr">
        <is>
          <t>Dubai</t>
        </is>
      </c>
      <c r="G238" t="inlineStr">
        <is>
          <t>Wholesale landing page</t>
        </is>
      </c>
      <c r="H238" t="inlineStr">
        <is>
          <t>Landing</t>
        </is>
      </c>
      <c r="I238">
        <f>IFERROR(VLOOKUP($A238,'Semrush Import'!$A:$D,2,FALSE),"")</f>
        <v/>
      </c>
      <c r="J238">
        <f>IFERROR(VLOOKUP($A238,'Semrush Import'!$A:$D,3,FALSE),"")</f>
        <v/>
      </c>
      <c r="K238">
        <f>IFERROR(VLOOKUP($A238,'Semrush Import'!$A:$D,4,FALSE),"")</f>
        <v/>
      </c>
      <c r="L238">
        <f>IFERROR(VLOOKUP($A238,'KP Import'!$A:$B,2,FALSE),"")</f>
        <v/>
      </c>
      <c r="M238">
        <f>IF(I238="","",ROUND(I238/(J238+10),1))</f>
        <v/>
      </c>
      <c r="N238">
        <f>IF(M238="","",IF(M238&gt;=20,"A - Go first",IF(M238&gt;=5,"B - Next","C - Later")))</f>
        <v/>
      </c>
      <c r="O238" t="inlineStr">
        <is>
          <t>To research</t>
        </is>
      </c>
      <c r="P238" t="inlineStr"/>
    </row>
    <row r="239">
      <c r="A239" t="inlineStr">
        <is>
          <t>mandi rice supplier uae</t>
        </is>
      </c>
      <c r="B239" t="inlineStr">
        <is>
          <t>Wholesale/B2B</t>
        </is>
      </c>
      <c r="C239" t="inlineStr">
        <is>
          <t>Use-case</t>
        </is>
      </c>
      <c r="D239" t="inlineStr">
        <is>
          <t>Transactional (B2B)</t>
        </is>
      </c>
      <c r="E239" t="inlineStr">
        <is>
          <t>BOFU</t>
        </is>
      </c>
      <c r="F239" t="inlineStr">
        <is>
          <t>UAE</t>
        </is>
      </c>
      <c r="G239" t="inlineStr">
        <is>
          <t>Wholesale landing page</t>
        </is>
      </c>
      <c r="H239" t="inlineStr">
        <is>
          <t>Landing</t>
        </is>
      </c>
      <c r="I239">
        <f>IFERROR(VLOOKUP($A239,'Semrush Import'!$A:$D,2,FALSE),"")</f>
        <v/>
      </c>
      <c r="J239">
        <f>IFERROR(VLOOKUP($A239,'Semrush Import'!$A:$D,3,FALSE),"")</f>
        <v/>
      </c>
      <c r="K239">
        <f>IFERROR(VLOOKUP($A239,'Semrush Import'!$A:$D,4,FALSE),"")</f>
        <v/>
      </c>
      <c r="L239">
        <f>IFERROR(VLOOKUP($A239,'KP Import'!$A:$B,2,FALSE),"")</f>
        <v/>
      </c>
      <c r="M239">
        <f>IF(I239="","",ROUND(I239/(J239+10),1))</f>
        <v/>
      </c>
      <c r="N239">
        <f>IF(M239="","",IF(M239&gt;=20,"A - Go first",IF(M239&gt;=5,"B - Next","C - Later")))</f>
        <v/>
      </c>
      <c r="O239" t="inlineStr">
        <is>
          <t>To research</t>
        </is>
      </c>
      <c r="P239" t="inlineStr"/>
    </row>
    <row r="240">
      <c r="A240" t="inlineStr">
        <is>
          <t>sharjah rice</t>
        </is>
      </c>
      <c r="B240" t="inlineStr">
        <is>
          <t>Core product</t>
        </is>
      </c>
      <c r="C240" t="inlineStr">
        <is>
          <t>Misc</t>
        </is>
      </c>
      <c r="D240" t="inlineStr">
        <is>
          <t>Informational/Commercial</t>
        </is>
      </c>
      <c r="E240" t="inlineStr">
        <is>
          <t>TOFU</t>
        </is>
      </c>
      <c r="F240" t="inlineStr">
        <is>
          <t>UAE (generic)</t>
        </is>
      </c>
      <c r="G240" t="inlineStr">
        <is>
          <t>Blog</t>
        </is>
      </c>
      <c r="H240" t="inlineStr">
        <is>
          <t>Landing/Blog</t>
        </is>
      </c>
      <c r="I240">
        <f>IFERROR(VLOOKUP($A240,'Semrush Import'!$A:$D,2,FALSE),"")</f>
        <v/>
      </c>
      <c r="J240">
        <f>IFERROR(VLOOKUP($A240,'Semrush Import'!$A:$D,3,FALSE),"")</f>
        <v/>
      </c>
      <c r="K240">
        <f>IFERROR(VLOOKUP($A240,'Semrush Import'!$A:$D,4,FALSE),"")</f>
        <v/>
      </c>
      <c r="L240">
        <f>IFERROR(VLOOKUP($A240,'KP Import'!$A:$B,2,FALSE),"")</f>
        <v/>
      </c>
      <c r="M240">
        <f>IF(I240="","",ROUND(I240/(J240+10),1))</f>
        <v/>
      </c>
      <c r="N240">
        <f>IF(M240="","",IF(M240&gt;=20,"A - Go first",IF(M240&gt;=5,"B - Next","C - Later")))</f>
        <v/>
      </c>
      <c r="O240" t="inlineStr">
        <is>
          <t>To research</t>
        </is>
      </c>
      <c r="P240" t="inlineStr"/>
    </row>
    <row r="241">
      <c r="A241" t="inlineStr">
        <is>
          <t>buy sharjah rice online</t>
        </is>
      </c>
      <c r="B241" t="inlineStr">
        <is>
          <t>Transactional</t>
        </is>
      </c>
      <c r="C241" t="inlineStr">
        <is>
          <t>Misc</t>
        </is>
      </c>
      <c r="D241" t="inlineStr">
        <is>
          <t>Transactional</t>
        </is>
      </c>
      <c r="E241" t="inlineStr">
        <is>
          <t>BOFU</t>
        </is>
      </c>
      <c r="F241" t="inlineStr">
        <is>
          <t>UAE (generic)</t>
        </is>
      </c>
      <c r="G241" t="inlineStr">
        <is>
          <t>Blog</t>
        </is>
      </c>
      <c r="H241" t="inlineStr">
        <is>
          <t>Landing/Blog</t>
        </is>
      </c>
      <c r="I241">
        <f>IFERROR(VLOOKUP($A241,'Semrush Import'!$A:$D,2,FALSE),"")</f>
        <v/>
      </c>
      <c r="J241">
        <f>IFERROR(VLOOKUP($A241,'Semrush Import'!$A:$D,3,FALSE),"")</f>
        <v/>
      </c>
      <c r="K241">
        <f>IFERROR(VLOOKUP($A241,'Semrush Import'!$A:$D,4,FALSE),"")</f>
        <v/>
      </c>
      <c r="L241">
        <f>IFERROR(VLOOKUP($A241,'KP Import'!$A:$B,2,FALSE),"")</f>
        <v/>
      </c>
      <c r="M241">
        <f>IF(I241="","",ROUND(I241/(J241+10),1))</f>
        <v/>
      </c>
      <c r="N241">
        <f>IF(M241="","",IF(M241&gt;=20,"A - Go first",IF(M241&gt;=5,"B - Next","C - Later")))</f>
        <v/>
      </c>
      <c r="O241" t="inlineStr">
        <is>
          <t>To research</t>
        </is>
      </c>
      <c r="P241" t="inlineStr"/>
    </row>
    <row r="242">
      <c r="A242" t="inlineStr">
        <is>
          <t>sharjah rice price in uae</t>
        </is>
      </c>
      <c r="B242" t="inlineStr">
        <is>
          <t>Price</t>
        </is>
      </c>
      <c r="C242" t="inlineStr">
        <is>
          <t>Misc</t>
        </is>
      </c>
      <c r="D242" t="inlineStr">
        <is>
          <t>Commercial/Transactional</t>
        </is>
      </c>
      <c r="E242" t="inlineStr">
        <is>
          <t>MOFU</t>
        </is>
      </c>
      <c r="F242" t="inlineStr">
        <is>
          <t>UAE</t>
        </is>
      </c>
      <c r="G242" t="inlineStr">
        <is>
          <t>Blog</t>
        </is>
      </c>
      <c r="H242" t="inlineStr">
        <is>
          <t>Landing/Blog</t>
        </is>
      </c>
      <c r="I242">
        <f>IFERROR(VLOOKUP($A242,'Semrush Import'!$A:$D,2,FALSE),"")</f>
        <v/>
      </c>
      <c r="J242">
        <f>IFERROR(VLOOKUP($A242,'Semrush Import'!$A:$D,3,FALSE),"")</f>
        <v/>
      </c>
      <c r="K242">
        <f>IFERROR(VLOOKUP($A242,'Semrush Import'!$A:$D,4,FALSE),"")</f>
        <v/>
      </c>
      <c r="L242">
        <f>IFERROR(VLOOKUP($A242,'KP Import'!$A:$B,2,FALSE),"")</f>
        <v/>
      </c>
      <c r="M242">
        <f>IF(I242="","",ROUND(I242/(J242+10),1))</f>
        <v/>
      </c>
      <c r="N242">
        <f>IF(M242="","",IF(M242&gt;=20,"A - Go first",IF(M242&gt;=5,"B - Next","C - Later")))</f>
        <v/>
      </c>
      <c r="O242" t="inlineStr">
        <is>
          <t>To research</t>
        </is>
      </c>
      <c r="P242" t="inlineStr"/>
    </row>
    <row r="243">
      <c r="A243" t="inlineStr">
        <is>
          <t>sharjah rice price in dubai</t>
        </is>
      </c>
      <c r="B243" t="inlineStr">
        <is>
          <t>Price</t>
        </is>
      </c>
      <c r="C243" t="inlineStr">
        <is>
          <t>Misc</t>
        </is>
      </c>
      <c r="D243" t="inlineStr">
        <is>
          <t>Commercial/Transactional</t>
        </is>
      </c>
      <c r="E243" t="inlineStr">
        <is>
          <t>MOFU</t>
        </is>
      </c>
      <c r="F243" t="inlineStr">
        <is>
          <t>Dubai</t>
        </is>
      </c>
      <c r="G243" t="inlineStr">
        <is>
          <t>Blog</t>
        </is>
      </c>
      <c r="H243" t="inlineStr">
        <is>
          <t>Landing/Blog</t>
        </is>
      </c>
      <c r="I243">
        <f>IFERROR(VLOOKUP($A243,'Semrush Import'!$A:$D,2,FALSE),"")</f>
        <v/>
      </c>
      <c r="J243">
        <f>IFERROR(VLOOKUP($A243,'Semrush Import'!$A:$D,3,FALSE),"")</f>
        <v/>
      </c>
      <c r="K243">
        <f>IFERROR(VLOOKUP($A243,'Semrush Import'!$A:$D,4,FALSE),"")</f>
        <v/>
      </c>
      <c r="L243">
        <f>IFERROR(VLOOKUP($A243,'KP Import'!$A:$B,2,FALSE),"")</f>
        <v/>
      </c>
      <c r="M243">
        <f>IF(I243="","",ROUND(I243/(J243+10),1))</f>
        <v/>
      </c>
      <c r="N243">
        <f>IF(M243="","",IF(M243&gt;=20,"A - Go first",IF(M243&gt;=5,"B - Next","C - Later")))</f>
        <v/>
      </c>
      <c r="O243" t="inlineStr">
        <is>
          <t>To research</t>
        </is>
      </c>
      <c r="P243" t="inlineStr"/>
    </row>
    <row r="244">
      <c r="A244" t="inlineStr">
        <is>
          <t>sharjah rice online dubai</t>
        </is>
      </c>
      <c r="B244" t="inlineStr">
        <is>
          <t>Transactional</t>
        </is>
      </c>
      <c r="C244" t="inlineStr">
        <is>
          <t>Misc</t>
        </is>
      </c>
      <c r="D244" t="inlineStr">
        <is>
          <t>Transactional</t>
        </is>
      </c>
      <c r="E244" t="inlineStr">
        <is>
          <t>BOFU</t>
        </is>
      </c>
      <c r="F244" t="inlineStr">
        <is>
          <t>Dubai</t>
        </is>
      </c>
      <c r="G244" t="inlineStr">
        <is>
          <t>Blog</t>
        </is>
      </c>
      <c r="H244" t="inlineStr">
        <is>
          <t>Landing/Blog</t>
        </is>
      </c>
      <c r="I244">
        <f>IFERROR(VLOOKUP($A244,'Semrush Import'!$A:$D,2,FALSE),"")</f>
        <v/>
      </c>
      <c r="J244">
        <f>IFERROR(VLOOKUP($A244,'Semrush Import'!$A:$D,3,FALSE),"")</f>
        <v/>
      </c>
      <c r="K244">
        <f>IFERROR(VLOOKUP($A244,'Semrush Import'!$A:$D,4,FALSE),"")</f>
        <v/>
      </c>
      <c r="L244">
        <f>IFERROR(VLOOKUP($A244,'KP Import'!$A:$B,2,FALSE),"")</f>
        <v/>
      </c>
      <c r="M244">
        <f>IF(I244="","",ROUND(I244/(J244+10),1))</f>
        <v/>
      </c>
      <c r="N244">
        <f>IF(M244="","",IF(M244&gt;=20,"A - Go first",IF(M244&gt;=5,"B - Next","C - Later")))</f>
        <v/>
      </c>
      <c r="O244" t="inlineStr">
        <is>
          <t>To research</t>
        </is>
      </c>
      <c r="P244" t="inlineStr"/>
    </row>
    <row r="245">
      <c r="A245" t="inlineStr">
        <is>
          <t>sharjah rice wholesale dubai</t>
        </is>
      </c>
      <c r="B245" t="inlineStr">
        <is>
          <t>Wholesale/B2B</t>
        </is>
      </c>
      <c r="C245" t="inlineStr">
        <is>
          <t>Misc</t>
        </is>
      </c>
      <c r="D245" t="inlineStr">
        <is>
          <t>Transactional (B2B)</t>
        </is>
      </c>
      <c r="E245" t="inlineStr">
        <is>
          <t>BOFU</t>
        </is>
      </c>
      <c r="F245" t="inlineStr">
        <is>
          <t>Dubai</t>
        </is>
      </c>
      <c r="G245" t="inlineStr">
        <is>
          <t>Wholesale landing page</t>
        </is>
      </c>
      <c r="H245" t="inlineStr">
        <is>
          <t>Landing</t>
        </is>
      </c>
      <c r="I245">
        <f>IFERROR(VLOOKUP($A245,'Semrush Import'!$A:$D,2,FALSE),"")</f>
        <v/>
      </c>
      <c r="J245">
        <f>IFERROR(VLOOKUP($A245,'Semrush Import'!$A:$D,3,FALSE),"")</f>
        <v/>
      </c>
      <c r="K245">
        <f>IFERROR(VLOOKUP($A245,'Semrush Import'!$A:$D,4,FALSE),"")</f>
        <v/>
      </c>
      <c r="L245">
        <f>IFERROR(VLOOKUP($A245,'KP Import'!$A:$B,2,FALSE),"")</f>
        <v/>
      </c>
      <c r="M245">
        <f>IF(I245="","",ROUND(I245/(J245+10),1))</f>
        <v/>
      </c>
      <c r="N245">
        <f>IF(M245="","",IF(M245&gt;=20,"A - Go first",IF(M245&gt;=5,"B - Next","C - Later")))</f>
        <v/>
      </c>
      <c r="O245" t="inlineStr">
        <is>
          <t>To research</t>
        </is>
      </c>
      <c r="P245" t="inlineStr"/>
    </row>
    <row r="246">
      <c r="A246" t="inlineStr">
        <is>
          <t>sharjah rice supplier uae</t>
        </is>
      </c>
      <c r="B246" t="inlineStr">
        <is>
          <t>Wholesale/B2B</t>
        </is>
      </c>
      <c r="C246" t="inlineStr">
        <is>
          <t>Misc</t>
        </is>
      </c>
      <c r="D246" t="inlineStr">
        <is>
          <t>Transactional (B2B)</t>
        </is>
      </c>
      <c r="E246" t="inlineStr">
        <is>
          <t>BOFU</t>
        </is>
      </c>
      <c r="F246" t="inlineStr">
        <is>
          <t>UAE</t>
        </is>
      </c>
      <c r="G246" t="inlineStr">
        <is>
          <t>Wholesale landing page</t>
        </is>
      </c>
      <c r="H246" t="inlineStr">
        <is>
          <t>Landing</t>
        </is>
      </c>
      <c r="I246">
        <f>IFERROR(VLOOKUP($A246,'Semrush Import'!$A:$D,2,FALSE),"")</f>
        <v/>
      </c>
      <c r="J246">
        <f>IFERROR(VLOOKUP($A246,'Semrush Import'!$A:$D,3,FALSE),"")</f>
        <v/>
      </c>
      <c r="K246">
        <f>IFERROR(VLOOKUP($A246,'Semrush Import'!$A:$D,4,FALSE),"")</f>
        <v/>
      </c>
      <c r="L246">
        <f>IFERROR(VLOOKUP($A246,'KP Import'!$A:$B,2,FALSE),"")</f>
        <v/>
      </c>
      <c r="M246">
        <f>IF(I246="","",ROUND(I246/(J246+10),1))</f>
        <v/>
      </c>
      <c r="N246">
        <f>IF(M246="","",IF(M246&gt;=20,"A - Go first",IF(M246&gt;=5,"B - Next","C - Later")))</f>
        <v/>
      </c>
      <c r="O246" t="inlineStr">
        <is>
          <t>To research</t>
        </is>
      </c>
      <c r="P246" t="inlineStr"/>
    </row>
    <row r="247">
      <c r="A247" t="inlineStr">
        <is>
          <t>india gate basmati rice</t>
        </is>
      </c>
      <c r="B247" t="inlineStr">
        <is>
          <t>Brand</t>
        </is>
      </c>
      <c r="C247" t="inlineStr">
        <is>
          <t>Brand</t>
        </is>
      </c>
      <c r="D247" t="inlineStr">
        <is>
          <t>Navigational/Transactional</t>
        </is>
      </c>
      <c r="E247" t="inlineStr">
        <is>
          <t>BOFU</t>
        </is>
      </c>
      <c r="F247" t="inlineStr">
        <is>
          <t>UAE (generic)</t>
        </is>
      </c>
      <c r="G247" t="inlineStr">
        <is>
          <t>Brand page / product page</t>
        </is>
      </c>
      <c r="H247" t="inlineStr">
        <is>
          <t>Product</t>
        </is>
      </c>
      <c r="I247">
        <f>IFERROR(VLOOKUP($A247,'Semrush Import'!$A:$D,2,FALSE),"")</f>
        <v/>
      </c>
      <c r="J247">
        <f>IFERROR(VLOOKUP($A247,'Semrush Import'!$A:$D,3,FALSE),"")</f>
        <v/>
      </c>
      <c r="K247">
        <f>IFERROR(VLOOKUP($A247,'Semrush Import'!$A:$D,4,FALSE),"")</f>
        <v/>
      </c>
      <c r="L247">
        <f>IFERROR(VLOOKUP($A247,'KP Import'!$A:$B,2,FALSE),"")</f>
        <v/>
      </c>
      <c r="M247">
        <f>IF(I247="","",ROUND(I247/(J247+10),1))</f>
        <v/>
      </c>
      <c r="N247">
        <f>IF(M247="","",IF(M247&gt;=20,"A - Go first",IF(M247&gt;=5,"B - Next","C - Later")))</f>
        <v/>
      </c>
      <c r="O247" t="inlineStr">
        <is>
          <t>To research</t>
        </is>
      </c>
      <c r="P247" t="inlineStr"/>
    </row>
    <row r="248">
      <c r="A248" t="inlineStr">
        <is>
          <t>india gate basmati rice price in uae</t>
        </is>
      </c>
      <c r="B248" t="inlineStr">
        <is>
          <t>Brand price</t>
        </is>
      </c>
      <c r="C248" t="inlineStr">
        <is>
          <t>Brand</t>
        </is>
      </c>
      <c r="D248" t="inlineStr">
        <is>
          <t>Commercial</t>
        </is>
      </c>
      <c r="E248" t="inlineStr">
        <is>
          <t>MOFU</t>
        </is>
      </c>
      <c r="F248" t="inlineStr">
        <is>
          <t>UAE</t>
        </is>
      </c>
      <c r="G248" t="inlineStr">
        <is>
          <t>Brand page / product page</t>
        </is>
      </c>
      <c r="H248" t="inlineStr">
        <is>
          <t>Product</t>
        </is>
      </c>
      <c r="I248">
        <f>IFERROR(VLOOKUP($A248,'Semrush Import'!$A:$D,2,FALSE),"")</f>
        <v/>
      </c>
      <c r="J248">
        <f>IFERROR(VLOOKUP($A248,'Semrush Import'!$A:$D,3,FALSE),"")</f>
        <v/>
      </c>
      <c r="K248">
        <f>IFERROR(VLOOKUP($A248,'Semrush Import'!$A:$D,4,FALSE),"")</f>
        <v/>
      </c>
      <c r="L248">
        <f>IFERROR(VLOOKUP($A248,'KP Import'!$A:$B,2,FALSE),"")</f>
        <v/>
      </c>
      <c r="M248">
        <f>IF(I248="","",ROUND(I248/(J248+10),1))</f>
        <v/>
      </c>
      <c r="N248">
        <f>IF(M248="","",IF(M248&gt;=20,"A - Go first",IF(M248&gt;=5,"B - Next","C - Later")))</f>
        <v/>
      </c>
      <c r="O248" t="inlineStr">
        <is>
          <t>To research</t>
        </is>
      </c>
      <c r="P248" t="inlineStr"/>
    </row>
    <row r="249">
      <c r="A249" t="inlineStr">
        <is>
          <t>buy india gate basmati rice dubai</t>
        </is>
      </c>
      <c r="B249" t="inlineStr">
        <is>
          <t>Brand</t>
        </is>
      </c>
      <c r="C249" t="inlineStr">
        <is>
          <t>Brand</t>
        </is>
      </c>
      <c r="D249" t="inlineStr">
        <is>
          <t>Transactional</t>
        </is>
      </c>
      <c r="E249" t="inlineStr">
        <is>
          <t>BOFU</t>
        </is>
      </c>
      <c r="F249" t="inlineStr">
        <is>
          <t>Dubai</t>
        </is>
      </c>
      <c r="G249" t="inlineStr">
        <is>
          <t>Brand page / product page</t>
        </is>
      </c>
      <c r="H249" t="inlineStr">
        <is>
          <t>Product</t>
        </is>
      </c>
      <c r="I249">
        <f>IFERROR(VLOOKUP($A249,'Semrush Import'!$A:$D,2,FALSE),"")</f>
        <v/>
      </c>
      <c r="J249">
        <f>IFERROR(VLOOKUP($A249,'Semrush Import'!$A:$D,3,FALSE),"")</f>
        <v/>
      </c>
      <c r="K249">
        <f>IFERROR(VLOOKUP($A249,'Semrush Import'!$A:$D,4,FALSE),"")</f>
        <v/>
      </c>
      <c r="L249">
        <f>IFERROR(VLOOKUP($A249,'KP Import'!$A:$B,2,FALSE),"")</f>
        <v/>
      </c>
      <c r="M249">
        <f>IF(I249="","",ROUND(I249/(J249+10),1))</f>
        <v/>
      </c>
      <c r="N249">
        <f>IF(M249="","",IF(M249&gt;=20,"A - Go first",IF(M249&gt;=5,"B - Next","C - Later")))</f>
        <v/>
      </c>
      <c r="O249" t="inlineStr">
        <is>
          <t>To research</t>
        </is>
      </c>
      <c r="P249" t="inlineStr"/>
    </row>
    <row r="250">
      <c r="A250" t="inlineStr">
        <is>
          <t>daawat basmati rice</t>
        </is>
      </c>
      <c r="B250" t="inlineStr">
        <is>
          <t>Brand</t>
        </is>
      </c>
      <c r="C250" t="inlineStr">
        <is>
          <t>Brand</t>
        </is>
      </c>
      <c r="D250" t="inlineStr">
        <is>
          <t>Navigational/Transactional</t>
        </is>
      </c>
      <c r="E250" t="inlineStr">
        <is>
          <t>BOFU</t>
        </is>
      </c>
      <c r="F250" t="inlineStr">
        <is>
          <t>UAE (generic)</t>
        </is>
      </c>
      <c r="G250" t="inlineStr">
        <is>
          <t>Brand page / product page</t>
        </is>
      </c>
      <c r="H250" t="inlineStr">
        <is>
          <t>Product</t>
        </is>
      </c>
      <c r="I250">
        <f>IFERROR(VLOOKUP($A250,'Semrush Import'!$A:$D,2,FALSE),"")</f>
        <v/>
      </c>
      <c r="J250">
        <f>IFERROR(VLOOKUP($A250,'Semrush Import'!$A:$D,3,FALSE),"")</f>
        <v/>
      </c>
      <c r="K250">
        <f>IFERROR(VLOOKUP($A250,'Semrush Import'!$A:$D,4,FALSE),"")</f>
        <v/>
      </c>
      <c r="L250">
        <f>IFERROR(VLOOKUP($A250,'KP Import'!$A:$B,2,FALSE),"")</f>
        <v/>
      </c>
      <c r="M250">
        <f>IF(I250="","",ROUND(I250/(J250+10),1))</f>
        <v/>
      </c>
      <c r="N250">
        <f>IF(M250="","",IF(M250&gt;=20,"A - Go first",IF(M250&gt;=5,"B - Next","C - Later")))</f>
        <v/>
      </c>
      <c r="O250" t="inlineStr">
        <is>
          <t>To research</t>
        </is>
      </c>
      <c r="P250" t="inlineStr"/>
    </row>
    <row r="251">
      <c r="A251" t="inlineStr">
        <is>
          <t>daawat basmati rice price in uae</t>
        </is>
      </c>
      <c r="B251" t="inlineStr">
        <is>
          <t>Brand price</t>
        </is>
      </c>
      <c r="C251" t="inlineStr">
        <is>
          <t>Brand</t>
        </is>
      </c>
      <c r="D251" t="inlineStr">
        <is>
          <t>Commercial</t>
        </is>
      </c>
      <c r="E251" t="inlineStr">
        <is>
          <t>MOFU</t>
        </is>
      </c>
      <c r="F251" t="inlineStr">
        <is>
          <t>UAE</t>
        </is>
      </c>
      <c r="G251" t="inlineStr">
        <is>
          <t>Brand page / product page</t>
        </is>
      </c>
      <c r="H251" t="inlineStr">
        <is>
          <t>Product</t>
        </is>
      </c>
      <c r="I251">
        <f>IFERROR(VLOOKUP($A251,'Semrush Import'!$A:$D,2,FALSE),"")</f>
        <v/>
      </c>
      <c r="J251">
        <f>IFERROR(VLOOKUP($A251,'Semrush Import'!$A:$D,3,FALSE),"")</f>
        <v/>
      </c>
      <c r="K251">
        <f>IFERROR(VLOOKUP($A251,'Semrush Import'!$A:$D,4,FALSE),"")</f>
        <v/>
      </c>
      <c r="L251">
        <f>IFERROR(VLOOKUP($A251,'KP Import'!$A:$B,2,FALSE),"")</f>
        <v/>
      </c>
      <c r="M251">
        <f>IF(I251="","",ROUND(I251/(J251+10),1))</f>
        <v/>
      </c>
      <c r="N251">
        <f>IF(M251="","",IF(M251&gt;=20,"A - Go first",IF(M251&gt;=5,"B - Next","C - Later")))</f>
        <v/>
      </c>
      <c r="O251" t="inlineStr">
        <is>
          <t>To research</t>
        </is>
      </c>
      <c r="P251" t="inlineStr"/>
    </row>
    <row r="252">
      <c r="A252" t="inlineStr">
        <is>
          <t>buy daawat basmati rice dubai</t>
        </is>
      </c>
      <c r="B252" t="inlineStr">
        <is>
          <t>Brand</t>
        </is>
      </c>
      <c r="C252" t="inlineStr">
        <is>
          <t>Brand</t>
        </is>
      </c>
      <c r="D252" t="inlineStr">
        <is>
          <t>Transactional</t>
        </is>
      </c>
      <c r="E252" t="inlineStr">
        <is>
          <t>BOFU</t>
        </is>
      </c>
      <c r="F252" t="inlineStr">
        <is>
          <t>Dubai</t>
        </is>
      </c>
      <c r="G252" t="inlineStr">
        <is>
          <t>Brand page / product page</t>
        </is>
      </c>
      <c r="H252" t="inlineStr">
        <is>
          <t>Product</t>
        </is>
      </c>
      <c r="I252">
        <f>IFERROR(VLOOKUP($A252,'Semrush Import'!$A:$D,2,FALSE),"")</f>
        <v/>
      </c>
      <c r="J252">
        <f>IFERROR(VLOOKUP($A252,'Semrush Import'!$A:$D,3,FALSE),"")</f>
        <v/>
      </c>
      <c r="K252">
        <f>IFERROR(VLOOKUP($A252,'Semrush Import'!$A:$D,4,FALSE),"")</f>
        <v/>
      </c>
      <c r="L252">
        <f>IFERROR(VLOOKUP($A252,'KP Import'!$A:$B,2,FALSE),"")</f>
        <v/>
      </c>
      <c r="M252">
        <f>IF(I252="","",ROUND(I252/(J252+10),1))</f>
        <v/>
      </c>
      <c r="N252">
        <f>IF(M252="","",IF(M252&gt;=20,"A - Go first",IF(M252&gt;=5,"B - Next","C - Later")))</f>
        <v/>
      </c>
      <c r="O252" t="inlineStr">
        <is>
          <t>To research</t>
        </is>
      </c>
      <c r="P252" t="inlineStr"/>
    </row>
    <row r="253">
      <c r="A253" t="inlineStr">
        <is>
          <t>kohinoor basmati rice</t>
        </is>
      </c>
      <c r="B253" t="inlineStr">
        <is>
          <t>Brand</t>
        </is>
      </c>
      <c r="C253" t="inlineStr">
        <is>
          <t>Brand</t>
        </is>
      </c>
      <c r="D253" t="inlineStr">
        <is>
          <t>Navigational/Transactional</t>
        </is>
      </c>
      <c r="E253" t="inlineStr">
        <is>
          <t>BOFU</t>
        </is>
      </c>
      <c r="F253" t="inlineStr">
        <is>
          <t>UAE (generic)</t>
        </is>
      </c>
      <c r="G253" t="inlineStr">
        <is>
          <t>Brand page / product page</t>
        </is>
      </c>
      <c r="H253" t="inlineStr">
        <is>
          <t>Product</t>
        </is>
      </c>
      <c r="I253">
        <f>IFERROR(VLOOKUP($A253,'Semrush Import'!$A:$D,2,FALSE),"")</f>
        <v/>
      </c>
      <c r="J253">
        <f>IFERROR(VLOOKUP($A253,'Semrush Import'!$A:$D,3,FALSE),"")</f>
        <v/>
      </c>
      <c r="K253">
        <f>IFERROR(VLOOKUP($A253,'Semrush Import'!$A:$D,4,FALSE),"")</f>
        <v/>
      </c>
      <c r="L253">
        <f>IFERROR(VLOOKUP($A253,'KP Import'!$A:$B,2,FALSE),"")</f>
        <v/>
      </c>
      <c r="M253">
        <f>IF(I253="","",ROUND(I253/(J253+10),1))</f>
        <v/>
      </c>
      <c r="N253">
        <f>IF(M253="","",IF(M253&gt;=20,"A - Go first",IF(M253&gt;=5,"B - Next","C - Later")))</f>
        <v/>
      </c>
      <c r="O253" t="inlineStr">
        <is>
          <t>To research</t>
        </is>
      </c>
      <c r="P253" t="inlineStr"/>
    </row>
    <row r="254">
      <c r="A254" t="inlineStr">
        <is>
          <t>kohinoor basmati rice price in uae</t>
        </is>
      </c>
      <c r="B254" t="inlineStr">
        <is>
          <t>Brand price</t>
        </is>
      </c>
      <c r="C254" t="inlineStr">
        <is>
          <t>Brand</t>
        </is>
      </c>
      <c r="D254" t="inlineStr">
        <is>
          <t>Commercial</t>
        </is>
      </c>
      <c r="E254" t="inlineStr">
        <is>
          <t>MOFU</t>
        </is>
      </c>
      <c r="F254" t="inlineStr">
        <is>
          <t>UAE</t>
        </is>
      </c>
      <c r="G254" t="inlineStr">
        <is>
          <t>Brand page / product page</t>
        </is>
      </c>
      <c r="H254" t="inlineStr">
        <is>
          <t>Product</t>
        </is>
      </c>
      <c r="I254">
        <f>IFERROR(VLOOKUP($A254,'Semrush Import'!$A:$D,2,FALSE),"")</f>
        <v/>
      </c>
      <c r="J254">
        <f>IFERROR(VLOOKUP($A254,'Semrush Import'!$A:$D,3,FALSE),"")</f>
        <v/>
      </c>
      <c r="K254">
        <f>IFERROR(VLOOKUP($A254,'Semrush Import'!$A:$D,4,FALSE),"")</f>
        <v/>
      </c>
      <c r="L254">
        <f>IFERROR(VLOOKUP($A254,'KP Import'!$A:$B,2,FALSE),"")</f>
        <v/>
      </c>
      <c r="M254">
        <f>IF(I254="","",ROUND(I254/(J254+10),1))</f>
        <v/>
      </c>
      <c r="N254">
        <f>IF(M254="","",IF(M254&gt;=20,"A - Go first",IF(M254&gt;=5,"B - Next","C - Later")))</f>
        <v/>
      </c>
      <c r="O254" t="inlineStr">
        <is>
          <t>To research</t>
        </is>
      </c>
      <c r="P254" t="inlineStr"/>
    </row>
    <row r="255">
      <c r="A255" t="inlineStr">
        <is>
          <t>buy kohinoor basmati rice dubai</t>
        </is>
      </c>
      <c r="B255" t="inlineStr">
        <is>
          <t>Brand</t>
        </is>
      </c>
      <c r="C255" t="inlineStr">
        <is>
          <t>Brand</t>
        </is>
      </c>
      <c r="D255" t="inlineStr">
        <is>
          <t>Transactional</t>
        </is>
      </c>
      <c r="E255" t="inlineStr">
        <is>
          <t>BOFU</t>
        </is>
      </c>
      <c r="F255" t="inlineStr">
        <is>
          <t>Dubai</t>
        </is>
      </c>
      <c r="G255" t="inlineStr">
        <is>
          <t>Brand page / product page</t>
        </is>
      </c>
      <c r="H255" t="inlineStr">
        <is>
          <t>Product</t>
        </is>
      </c>
      <c r="I255">
        <f>IFERROR(VLOOKUP($A255,'Semrush Import'!$A:$D,2,FALSE),"")</f>
        <v/>
      </c>
      <c r="J255">
        <f>IFERROR(VLOOKUP($A255,'Semrush Import'!$A:$D,3,FALSE),"")</f>
        <v/>
      </c>
      <c r="K255">
        <f>IFERROR(VLOOKUP($A255,'Semrush Import'!$A:$D,4,FALSE),"")</f>
        <v/>
      </c>
      <c r="L255">
        <f>IFERROR(VLOOKUP($A255,'KP Import'!$A:$B,2,FALSE),"")</f>
        <v/>
      </c>
      <c r="M255">
        <f>IF(I255="","",ROUND(I255/(J255+10),1))</f>
        <v/>
      </c>
      <c r="N255">
        <f>IF(M255="","",IF(M255&gt;=20,"A - Go first",IF(M255&gt;=5,"B - Next","C - Later")))</f>
        <v/>
      </c>
      <c r="O255" t="inlineStr">
        <is>
          <t>To research</t>
        </is>
      </c>
      <c r="P255" t="inlineStr"/>
    </row>
    <row r="256">
      <c r="A256" t="inlineStr">
        <is>
          <t>tilda basmati rice</t>
        </is>
      </c>
      <c r="B256" t="inlineStr">
        <is>
          <t>Brand</t>
        </is>
      </c>
      <c r="C256" t="inlineStr">
        <is>
          <t>Brand</t>
        </is>
      </c>
      <c r="D256" t="inlineStr">
        <is>
          <t>Navigational/Transactional</t>
        </is>
      </c>
      <c r="E256" t="inlineStr">
        <is>
          <t>BOFU</t>
        </is>
      </c>
      <c r="F256" t="inlineStr">
        <is>
          <t>UAE (generic)</t>
        </is>
      </c>
      <c r="G256" t="inlineStr">
        <is>
          <t>Brand page / product page</t>
        </is>
      </c>
      <c r="H256" t="inlineStr">
        <is>
          <t>Product</t>
        </is>
      </c>
      <c r="I256">
        <f>IFERROR(VLOOKUP($A256,'Semrush Import'!$A:$D,2,FALSE),"")</f>
        <v/>
      </c>
      <c r="J256">
        <f>IFERROR(VLOOKUP($A256,'Semrush Import'!$A:$D,3,FALSE),"")</f>
        <v/>
      </c>
      <c r="K256">
        <f>IFERROR(VLOOKUP($A256,'Semrush Import'!$A:$D,4,FALSE),"")</f>
        <v/>
      </c>
      <c r="L256">
        <f>IFERROR(VLOOKUP($A256,'KP Import'!$A:$B,2,FALSE),"")</f>
        <v/>
      </c>
      <c r="M256">
        <f>IF(I256="","",ROUND(I256/(J256+10),1))</f>
        <v/>
      </c>
      <c r="N256">
        <f>IF(M256="","",IF(M256&gt;=20,"A - Go first",IF(M256&gt;=5,"B - Next","C - Later")))</f>
        <v/>
      </c>
      <c r="O256" t="inlineStr">
        <is>
          <t>To research</t>
        </is>
      </c>
      <c r="P256" t="inlineStr"/>
    </row>
    <row r="257">
      <c r="A257" t="inlineStr">
        <is>
          <t>tilda basmati rice price in uae</t>
        </is>
      </c>
      <c r="B257" t="inlineStr">
        <is>
          <t>Brand price</t>
        </is>
      </c>
      <c r="C257" t="inlineStr">
        <is>
          <t>Brand</t>
        </is>
      </c>
      <c r="D257" t="inlineStr">
        <is>
          <t>Commercial</t>
        </is>
      </c>
      <c r="E257" t="inlineStr">
        <is>
          <t>MOFU</t>
        </is>
      </c>
      <c r="F257" t="inlineStr">
        <is>
          <t>UAE</t>
        </is>
      </c>
      <c r="G257" t="inlineStr">
        <is>
          <t>Brand page / product page</t>
        </is>
      </c>
      <c r="H257" t="inlineStr">
        <is>
          <t>Product</t>
        </is>
      </c>
      <c r="I257">
        <f>IFERROR(VLOOKUP($A257,'Semrush Import'!$A:$D,2,FALSE),"")</f>
        <v/>
      </c>
      <c r="J257">
        <f>IFERROR(VLOOKUP($A257,'Semrush Import'!$A:$D,3,FALSE),"")</f>
        <v/>
      </c>
      <c r="K257">
        <f>IFERROR(VLOOKUP($A257,'Semrush Import'!$A:$D,4,FALSE),"")</f>
        <v/>
      </c>
      <c r="L257">
        <f>IFERROR(VLOOKUP($A257,'KP Import'!$A:$B,2,FALSE),"")</f>
        <v/>
      </c>
      <c r="M257">
        <f>IF(I257="","",ROUND(I257/(J257+10),1))</f>
        <v/>
      </c>
      <c r="N257">
        <f>IF(M257="","",IF(M257&gt;=20,"A - Go first",IF(M257&gt;=5,"B - Next","C - Later")))</f>
        <v/>
      </c>
      <c r="O257" t="inlineStr">
        <is>
          <t>To research</t>
        </is>
      </c>
      <c r="P257" t="inlineStr"/>
    </row>
    <row r="258">
      <c r="A258" t="inlineStr">
        <is>
          <t>buy tilda basmati rice dubai</t>
        </is>
      </c>
      <c r="B258" t="inlineStr">
        <is>
          <t>Brand</t>
        </is>
      </c>
      <c r="C258" t="inlineStr">
        <is>
          <t>Brand</t>
        </is>
      </c>
      <c r="D258" t="inlineStr">
        <is>
          <t>Transactional</t>
        </is>
      </c>
      <c r="E258" t="inlineStr">
        <is>
          <t>BOFU</t>
        </is>
      </c>
      <c r="F258" t="inlineStr">
        <is>
          <t>Dubai</t>
        </is>
      </c>
      <c r="G258" t="inlineStr">
        <is>
          <t>Brand page / product page</t>
        </is>
      </c>
      <c r="H258" t="inlineStr">
        <is>
          <t>Product</t>
        </is>
      </c>
      <c r="I258">
        <f>IFERROR(VLOOKUP($A258,'Semrush Import'!$A:$D,2,FALSE),"")</f>
        <v/>
      </c>
      <c r="J258">
        <f>IFERROR(VLOOKUP($A258,'Semrush Import'!$A:$D,3,FALSE),"")</f>
        <v/>
      </c>
      <c r="K258">
        <f>IFERROR(VLOOKUP($A258,'Semrush Import'!$A:$D,4,FALSE),"")</f>
        <v/>
      </c>
      <c r="L258">
        <f>IFERROR(VLOOKUP($A258,'KP Import'!$A:$B,2,FALSE),"")</f>
        <v/>
      </c>
      <c r="M258">
        <f>IF(I258="","",ROUND(I258/(J258+10),1))</f>
        <v/>
      </c>
      <c r="N258">
        <f>IF(M258="","",IF(M258&gt;=20,"A - Go first",IF(M258&gt;=5,"B - Next","C - Later")))</f>
        <v/>
      </c>
      <c r="O258" t="inlineStr">
        <is>
          <t>To research</t>
        </is>
      </c>
      <c r="P258" t="inlineStr"/>
    </row>
    <row r="259">
      <c r="A259" t="inlineStr">
        <is>
          <t>lal qilla basmati rice</t>
        </is>
      </c>
      <c r="B259" t="inlineStr">
        <is>
          <t>Brand</t>
        </is>
      </c>
      <c r="C259" t="inlineStr">
        <is>
          <t>Brand</t>
        </is>
      </c>
      <c r="D259" t="inlineStr">
        <is>
          <t>Navigational/Transactional</t>
        </is>
      </c>
      <c r="E259" t="inlineStr">
        <is>
          <t>BOFU</t>
        </is>
      </c>
      <c r="F259" t="inlineStr">
        <is>
          <t>UAE (generic)</t>
        </is>
      </c>
      <c r="G259" t="inlineStr">
        <is>
          <t>Brand page / product page</t>
        </is>
      </c>
      <c r="H259" t="inlineStr">
        <is>
          <t>Product</t>
        </is>
      </c>
      <c r="I259">
        <f>IFERROR(VLOOKUP($A259,'Semrush Import'!$A:$D,2,FALSE),"")</f>
        <v/>
      </c>
      <c r="J259">
        <f>IFERROR(VLOOKUP($A259,'Semrush Import'!$A:$D,3,FALSE),"")</f>
        <v/>
      </c>
      <c r="K259">
        <f>IFERROR(VLOOKUP($A259,'Semrush Import'!$A:$D,4,FALSE),"")</f>
        <v/>
      </c>
      <c r="L259">
        <f>IFERROR(VLOOKUP($A259,'KP Import'!$A:$B,2,FALSE),"")</f>
        <v/>
      </c>
      <c r="M259">
        <f>IF(I259="","",ROUND(I259/(J259+10),1))</f>
        <v/>
      </c>
      <c r="N259">
        <f>IF(M259="","",IF(M259&gt;=20,"A - Go first",IF(M259&gt;=5,"B - Next","C - Later")))</f>
        <v/>
      </c>
      <c r="O259" t="inlineStr">
        <is>
          <t>To research</t>
        </is>
      </c>
      <c r="P259" t="inlineStr"/>
    </row>
    <row r="260">
      <c r="A260" t="inlineStr">
        <is>
          <t>lal qilla basmati rice price in uae</t>
        </is>
      </c>
      <c r="B260" t="inlineStr">
        <is>
          <t>Brand price</t>
        </is>
      </c>
      <c r="C260" t="inlineStr">
        <is>
          <t>Brand</t>
        </is>
      </c>
      <c r="D260" t="inlineStr">
        <is>
          <t>Commercial</t>
        </is>
      </c>
      <c r="E260" t="inlineStr">
        <is>
          <t>MOFU</t>
        </is>
      </c>
      <c r="F260" t="inlineStr">
        <is>
          <t>UAE</t>
        </is>
      </c>
      <c r="G260" t="inlineStr">
        <is>
          <t>Brand page / product page</t>
        </is>
      </c>
      <c r="H260" t="inlineStr">
        <is>
          <t>Product</t>
        </is>
      </c>
      <c r="I260">
        <f>IFERROR(VLOOKUP($A260,'Semrush Import'!$A:$D,2,FALSE),"")</f>
        <v/>
      </c>
      <c r="J260">
        <f>IFERROR(VLOOKUP($A260,'Semrush Import'!$A:$D,3,FALSE),"")</f>
        <v/>
      </c>
      <c r="K260">
        <f>IFERROR(VLOOKUP($A260,'Semrush Import'!$A:$D,4,FALSE),"")</f>
        <v/>
      </c>
      <c r="L260">
        <f>IFERROR(VLOOKUP($A260,'KP Import'!$A:$B,2,FALSE),"")</f>
        <v/>
      </c>
      <c r="M260">
        <f>IF(I260="","",ROUND(I260/(J260+10),1))</f>
        <v/>
      </c>
      <c r="N260">
        <f>IF(M260="","",IF(M260&gt;=20,"A - Go first",IF(M260&gt;=5,"B - Next","C - Later")))</f>
        <v/>
      </c>
      <c r="O260" t="inlineStr">
        <is>
          <t>To research</t>
        </is>
      </c>
      <c r="P260" t="inlineStr"/>
    </row>
    <row r="261">
      <c r="A261" t="inlineStr">
        <is>
          <t>buy lal qilla basmati rice dubai</t>
        </is>
      </c>
      <c r="B261" t="inlineStr">
        <is>
          <t>Brand</t>
        </is>
      </c>
      <c r="C261" t="inlineStr">
        <is>
          <t>Brand</t>
        </is>
      </c>
      <c r="D261" t="inlineStr">
        <is>
          <t>Transactional</t>
        </is>
      </c>
      <c r="E261" t="inlineStr">
        <is>
          <t>BOFU</t>
        </is>
      </c>
      <c r="F261" t="inlineStr">
        <is>
          <t>Dubai</t>
        </is>
      </c>
      <c r="G261" t="inlineStr">
        <is>
          <t>Brand page / product page</t>
        </is>
      </c>
      <c r="H261" t="inlineStr">
        <is>
          <t>Product</t>
        </is>
      </c>
      <c r="I261">
        <f>IFERROR(VLOOKUP($A261,'Semrush Import'!$A:$D,2,FALSE),"")</f>
        <v/>
      </c>
      <c r="J261">
        <f>IFERROR(VLOOKUP($A261,'Semrush Import'!$A:$D,3,FALSE),"")</f>
        <v/>
      </c>
      <c r="K261">
        <f>IFERROR(VLOOKUP($A261,'Semrush Import'!$A:$D,4,FALSE),"")</f>
        <v/>
      </c>
      <c r="L261">
        <f>IFERROR(VLOOKUP($A261,'KP Import'!$A:$B,2,FALSE),"")</f>
        <v/>
      </c>
      <c r="M261">
        <f>IF(I261="","",ROUND(I261/(J261+10),1))</f>
        <v/>
      </c>
      <c r="N261">
        <f>IF(M261="","",IF(M261&gt;=20,"A - Go first",IF(M261&gt;=5,"B - Next","C - Later")))</f>
        <v/>
      </c>
      <c r="O261" t="inlineStr">
        <is>
          <t>To research</t>
        </is>
      </c>
      <c r="P261" t="inlineStr"/>
    </row>
    <row r="262">
      <c r="A262" t="inlineStr">
        <is>
          <t>mahmood rice</t>
        </is>
      </c>
      <c r="B262" t="inlineStr">
        <is>
          <t>Brand</t>
        </is>
      </c>
      <c r="C262" t="inlineStr">
        <is>
          <t>Brand</t>
        </is>
      </c>
      <c r="D262" t="inlineStr">
        <is>
          <t>Navigational/Transactional</t>
        </is>
      </c>
      <c r="E262" t="inlineStr">
        <is>
          <t>BOFU</t>
        </is>
      </c>
      <c r="F262" t="inlineStr">
        <is>
          <t>UAE (generic)</t>
        </is>
      </c>
      <c r="G262" t="inlineStr">
        <is>
          <t>Brand page / product page</t>
        </is>
      </c>
      <c r="H262" t="inlineStr">
        <is>
          <t>Product</t>
        </is>
      </c>
      <c r="I262">
        <f>IFERROR(VLOOKUP($A262,'Semrush Import'!$A:$D,2,FALSE),"")</f>
        <v/>
      </c>
      <c r="J262">
        <f>IFERROR(VLOOKUP($A262,'Semrush Import'!$A:$D,3,FALSE),"")</f>
        <v/>
      </c>
      <c r="K262">
        <f>IFERROR(VLOOKUP($A262,'Semrush Import'!$A:$D,4,FALSE),"")</f>
        <v/>
      </c>
      <c r="L262">
        <f>IFERROR(VLOOKUP($A262,'KP Import'!$A:$B,2,FALSE),"")</f>
        <v/>
      </c>
      <c r="M262">
        <f>IF(I262="","",ROUND(I262/(J262+10),1))</f>
        <v/>
      </c>
      <c r="N262">
        <f>IF(M262="","",IF(M262&gt;=20,"A - Go first",IF(M262&gt;=5,"B - Next","C - Later")))</f>
        <v/>
      </c>
      <c r="O262" t="inlineStr">
        <is>
          <t>To research</t>
        </is>
      </c>
      <c r="P262" t="inlineStr"/>
    </row>
    <row r="263">
      <c r="A263" t="inlineStr">
        <is>
          <t>mahmood rice price in uae</t>
        </is>
      </c>
      <c r="B263" t="inlineStr">
        <is>
          <t>Brand price</t>
        </is>
      </c>
      <c r="C263" t="inlineStr">
        <is>
          <t>Brand</t>
        </is>
      </c>
      <c r="D263" t="inlineStr">
        <is>
          <t>Commercial</t>
        </is>
      </c>
      <c r="E263" t="inlineStr">
        <is>
          <t>MOFU</t>
        </is>
      </c>
      <c r="F263" t="inlineStr">
        <is>
          <t>UAE</t>
        </is>
      </c>
      <c r="G263" t="inlineStr">
        <is>
          <t>Brand page / product page</t>
        </is>
      </c>
      <c r="H263" t="inlineStr">
        <is>
          <t>Product</t>
        </is>
      </c>
      <c r="I263">
        <f>IFERROR(VLOOKUP($A263,'Semrush Import'!$A:$D,2,FALSE),"")</f>
        <v/>
      </c>
      <c r="J263">
        <f>IFERROR(VLOOKUP($A263,'Semrush Import'!$A:$D,3,FALSE),"")</f>
        <v/>
      </c>
      <c r="K263">
        <f>IFERROR(VLOOKUP($A263,'Semrush Import'!$A:$D,4,FALSE),"")</f>
        <v/>
      </c>
      <c r="L263">
        <f>IFERROR(VLOOKUP($A263,'KP Import'!$A:$B,2,FALSE),"")</f>
        <v/>
      </c>
      <c r="M263">
        <f>IF(I263="","",ROUND(I263/(J263+10),1))</f>
        <v/>
      </c>
      <c r="N263">
        <f>IF(M263="","",IF(M263&gt;=20,"A - Go first",IF(M263&gt;=5,"B - Next","C - Later")))</f>
        <v/>
      </c>
      <c r="O263" t="inlineStr">
        <is>
          <t>To research</t>
        </is>
      </c>
      <c r="P263" t="inlineStr"/>
    </row>
    <row r="264">
      <c r="A264" t="inlineStr">
        <is>
          <t>buy mahmood rice dubai</t>
        </is>
      </c>
      <c r="B264" t="inlineStr">
        <is>
          <t>Brand</t>
        </is>
      </c>
      <c r="C264" t="inlineStr">
        <is>
          <t>Brand</t>
        </is>
      </c>
      <c r="D264" t="inlineStr">
        <is>
          <t>Transactional</t>
        </is>
      </c>
      <c r="E264" t="inlineStr">
        <is>
          <t>BOFU</t>
        </is>
      </c>
      <c r="F264" t="inlineStr">
        <is>
          <t>Dubai</t>
        </is>
      </c>
      <c r="G264" t="inlineStr">
        <is>
          <t>Brand page / product page</t>
        </is>
      </c>
      <c r="H264" t="inlineStr">
        <is>
          <t>Product</t>
        </is>
      </c>
      <c r="I264">
        <f>IFERROR(VLOOKUP($A264,'Semrush Import'!$A:$D,2,FALSE),"")</f>
        <v/>
      </c>
      <c r="J264">
        <f>IFERROR(VLOOKUP($A264,'Semrush Import'!$A:$D,3,FALSE),"")</f>
        <v/>
      </c>
      <c r="K264">
        <f>IFERROR(VLOOKUP($A264,'Semrush Import'!$A:$D,4,FALSE),"")</f>
        <v/>
      </c>
      <c r="L264">
        <f>IFERROR(VLOOKUP($A264,'KP Import'!$A:$B,2,FALSE),"")</f>
        <v/>
      </c>
      <c r="M264">
        <f>IF(I264="","",ROUND(I264/(J264+10),1))</f>
        <v/>
      </c>
      <c r="N264">
        <f>IF(M264="","",IF(M264&gt;=20,"A - Go first",IF(M264&gt;=5,"B - Next","C - Later")))</f>
        <v/>
      </c>
      <c r="O264" t="inlineStr">
        <is>
          <t>To research</t>
        </is>
      </c>
      <c r="P264" t="inlineStr"/>
    </row>
    <row r="265">
      <c r="A265" t="inlineStr">
        <is>
          <t>royal basmati rice</t>
        </is>
      </c>
      <c r="B265" t="inlineStr">
        <is>
          <t>Brand</t>
        </is>
      </c>
      <c r="C265" t="inlineStr">
        <is>
          <t>Brand</t>
        </is>
      </c>
      <c r="D265" t="inlineStr">
        <is>
          <t>Navigational/Transactional</t>
        </is>
      </c>
      <c r="E265" t="inlineStr">
        <is>
          <t>BOFU</t>
        </is>
      </c>
      <c r="F265" t="inlineStr">
        <is>
          <t>UAE (generic)</t>
        </is>
      </c>
      <c r="G265" t="inlineStr">
        <is>
          <t>Brand page / product page</t>
        </is>
      </c>
      <c r="H265" t="inlineStr">
        <is>
          <t>Product</t>
        </is>
      </c>
      <c r="I265">
        <f>IFERROR(VLOOKUP($A265,'Semrush Import'!$A:$D,2,FALSE),"")</f>
        <v/>
      </c>
      <c r="J265">
        <f>IFERROR(VLOOKUP($A265,'Semrush Import'!$A:$D,3,FALSE),"")</f>
        <v/>
      </c>
      <c r="K265">
        <f>IFERROR(VLOOKUP($A265,'Semrush Import'!$A:$D,4,FALSE),"")</f>
        <v/>
      </c>
      <c r="L265">
        <f>IFERROR(VLOOKUP($A265,'KP Import'!$A:$B,2,FALSE),"")</f>
        <v/>
      </c>
      <c r="M265">
        <f>IF(I265="","",ROUND(I265/(J265+10),1))</f>
        <v/>
      </c>
      <c r="N265">
        <f>IF(M265="","",IF(M265&gt;=20,"A - Go first",IF(M265&gt;=5,"B - Next","C - Later")))</f>
        <v/>
      </c>
      <c r="O265" t="inlineStr">
        <is>
          <t>To research</t>
        </is>
      </c>
      <c r="P265" t="inlineStr"/>
    </row>
    <row r="266">
      <c r="A266" t="inlineStr">
        <is>
          <t>royal basmati rice price in uae</t>
        </is>
      </c>
      <c r="B266" t="inlineStr">
        <is>
          <t>Brand price</t>
        </is>
      </c>
      <c r="C266" t="inlineStr">
        <is>
          <t>Brand</t>
        </is>
      </c>
      <c r="D266" t="inlineStr">
        <is>
          <t>Commercial</t>
        </is>
      </c>
      <c r="E266" t="inlineStr">
        <is>
          <t>MOFU</t>
        </is>
      </c>
      <c r="F266" t="inlineStr">
        <is>
          <t>UAE</t>
        </is>
      </c>
      <c r="G266" t="inlineStr">
        <is>
          <t>Brand page / product page</t>
        </is>
      </c>
      <c r="H266" t="inlineStr">
        <is>
          <t>Product</t>
        </is>
      </c>
      <c r="I266">
        <f>IFERROR(VLOOKUP($A266,'Semrush Import'!$A:$D,2,FALSE),"")</f>
        <v/>
      </c>
      <c r="J266">
        <f>IFERROR(VLOOKUP($A266,'Semrush Import'!$A:$D,3,FALSE),"")</f>
        <v/>
      </c>
      <c r="K266">
        <f>IFERROR(VLOOKUP($A266,'Semrush Import'!$A:$D,4,FALSE),"")</f>
        <v/>
      </c>
      <c r="L266">
        <f>IFERROR(VLOOKUP($A266,'KP Import'!$A:$B,2,FALSE),"")</f>
        <v/>
      </c>
      <c r="M266">
        <f>IF(I266="","",ROUND(I266/(J266+10),1))</f>
        <v/>
      </c>
      <c r="N266">
        <f>IF(M266="","",IF(M266&gt;=20,"A - Go first",IF(M266&gt;=5,"B - Next","C - Later")))</f>
        <v/>
      </c>
      <c r="O266" t="inlineStr">
        <is>
          <t>To research</t>
        </is>
      </c>
      <c r="P266" t="inlineStr"/>
    </row>
    <row r="267">
      <c r="A267" t="inlineStr">
        <is>
          <t>buy royal basmati rice dubai</t>
        </is>
      </c>
      <c r="B267" t="inlineStr">
        <is>
          <t>Brand</t>
        </is>
      </c>
      <c r="C267" t="inlineStr">
        <is>
          <t>Brand</t>
        </is>
      </c>
      <c r="D267" t="inlineStr">
        <is>
          <t>Transactional</t>
        </is>
      </c>
      <c r="E267" t="inlineStr">
        <is>
          <t>BOFU</t>
        </is>
      </c>
      <c r="F267" t="inlineStr">
        <is>
          <t>Dubai</t>
        </is>
      </c>
      <c r="G267" t="inlineStr">
        <is>
          <t>Brand page / product page</t>
        </is>
      </c>
      <c r="H267" t="inlineStr">
        <is>
          <t>Product</t>
        </is>
      </c>
      <c r="I267">
        <f>IFERROR(VLOOKUP($A267,'Semrush Import'!$A:$D,2,FALSE),"")</f>
        <v/>
      </c>
      <c r="J267">
        <f>IFERROR(VLOOKUP($A267,'Semrush Import'!$A:$D,3,FALSE),"")</f>
        <v/>
      </c>
      <c r="K267">
        <f>IFERROR(VLOOKUP($A267,'Semrush Import'!$A:$D,4,FALSE),"")</f>
        <v/>
      </c>
      <c r="L267">
        <f>IFERROR(VLOOKUP($A267,'KP Import'!$A:$B,2,FALSE),"")</f>
        <v/>
      </c>
      <c r="M267">
        <f>IF(I267="","",ROUND(I267/(J267+10),1))</f>
        <v/>
      </c>
      <c r="N267">
        <f>IF(M267="","",IF(M267&gt;=20,"A - Go first",IF(M267&gt;=5,"B - Next","C - Later")))</f>
        <v/>
      </c>
      <c r="O267" t="inlineStr">
        <is>
          <t>To research</t>
        </is>
      </c>
      <c r="P267" t="inlineStr"/>
    </row>
    <row r="268">
      <c r="A268" t="inlineStr">
        <is>
          <t>al shaheen rice</t>
        </is>
      </c>
      <c r="B268" t="inlineStr">
        <is>
          <t>Brand</t>
        </is>
      </c>
      <c r="C268" t="inlineStr">
        <is>
          <t>Brand</t>
        </is>
      </c>
      <c r="D268" t="inlineStr">
        <is>
          <t>Navigational/Transactional</t>
        </is>
      </c>
      <c r="E268" t="inlineStr">
        <is>
          <t>BOFU</t>
        </is>
      </c>
      <c r="F268" t="inlineStr">
        <is>
          <t>UAE (generic)</t>
        </is>
      </c>
      <c r="G268" t="inlineStr">
        <is>
          <t>Brand page / product page</t>
        </is>
      </c>
      <c r="H268" t="inlineStr">
        <is>
          <t>Product</t>
        </is>
      </c>
      <c r="I268">
        <f>IFERROR(VLOOKUP($A268,'Semrush Import'!$A:$D,2,FALSE),"")</f>
        <v/>
      </c>
      <c r="J268">
        <f>IFERROR(VLOOKUP($A268,'Semrush Import'!$A:$D,3,FALSE),"")</f>
        <v/>
      </c>
      <c r="K268">
        <f>IFERROR(VLOOKUP($A268,'Semrush Import'!$A:$D,4,FALSE),"")</f>
        <v/>
      </c>
      <c r="L268">
        <f>IFERROR(VLOOKUP($A268,'KP Import'!$A:$B,2,FALSE),"")</f>
        <v/>
      </c>
      <c r="M268">
        <f>IF(I268="","",ROUND(I268/(J268+10),1))</f>
        <v/>
      </c>
      <c r="N268">
        <f>IF(M268="","",IF(M268&gt;=20,"A - Go first",IF(M268&gt;=5,"B - Next","C - Later")))</f>
        <v/>
      </c>
      <c r="O268" t="inlineStr">
        <is>
          <t>To research</t>
        </is>
      </c>
      <c r="P268" t="inlineStr"/>
    </row>
    <row r="269">
      <c r="A269" t="inlineStr">
        <is>
          <t>al shaheen rice price in uae</t>
        </is>
      </c>
      <c r="B269" t="inlineStr">
        <is>
          <t>Brand price</t>
        </is>
      </c>
      <c r="C269" t="inlineStr">
        <is>
          <t>Brand</t>
        </is>
      </c>
      <c r="D269" t="inlineStr">
        <is>
          <t>Commercial</t>
        </is>
      </c>
      <c r="E269" t="inlineStr">
        <is>
          <t>MOFU</t>
        </is>
      </c>
      <c r="F269" t="inlineStr">
        <is>
          <t>UAE</t>
        </is>
      </c>
      <c r="G269" t="inlineStr">
        <is>
          <t>Brand page / product page</t>
        </is>
      </c>
      <c r="H269" t="inlineStr">
        <is>
          <t>Product</t>
        </is>
      </c>
      <c r="I269">
        <f>IFERROR(VLOOKUP($A269,'Semrush Import'!$A:$D,2,FALSE),"")</f>
        <v/>
      </c>
      <c r="J269">
        <f>IFERROR(VLOOKUP($A269,'Semrush Import'!$A:$D,3,FALSE),"")</f>
        <v/>
      </c>
      <c r="K269">
        <f>IFERROR(VLOOKUP($A269,'Semrush Import'!$A:$D,4,FALSE),"")</f>
        <v/>
      </c>
      <c r="L269">
        <f>IFERROR(VLOOKUP($A269,'KP Import'!$A:$B,2,FALSE),"")</f>
        <v/>
      </c>
      <c r="M269">
        <f>IF(I269="","",ROUND(I269/(J269+10),1))</f>
        <v/>
      </c>
      <c r="N269">
        <f>IF(M269="","",IF(M269&gt;=20,"A - Go first",IF(M269&gt;=5,"B - Next","C - Later")))</f>
        <v/>
      </c>
      <c r="O269" t="inlineStr">
        <is>
          <t>To research</t>
        </is>
      </c>
      <c r="P269" t="inlineStr"/>
    </row>
    <row r="270">
      <c r="A270" t="inlineStr">
        <is>
          <t>buy al shaheen rice dubai</t>
        </is>
      </c>
      <c r="B270" t="inlineStr">
        <is>
          <t>Brand</t>
        </is>
      </c>
      <c r="C270" t="inlineStr">
        <is>
          <t>Brand</t>
        </is>
      </c>
      <c r="D270" t="inlineStr">
        <is>
          <t>Transactional</t>
        </is>
      </c>
      <c r="E270" t="inlineStr">
        <is>
          <t>BOFU</t>
        </is>
      </c>
      <c r="F270" t="inlineStr">
        <is>
          <t>Dubai</t>
        </is>
      </c>
      <c r="G270" t="inlineStr">
        <is>
          <t>Brand page / product page</t>
        </is>
      </c>
      <c r="H270" t="inlineStr">
        <is>
          <t>Product</t>
        </is>
      </c>
      <c r="I270">
        <f>IFERROR(VLOOKUP($A270,'Semrush Import'!$A:$D,2,FALSE),"")</f>
        <v/>
      </c>
      <c r="J270">
        <f>IFERROR(VLOOKUP($A270,'Semrush Import'!$A:$D,3,FALSE),"")</f>
        <v/>
      </c>
      <c r="K270">
        <f>IFERROR(VLOOKUP($A270,'Semrush Import'!$A:$D,4,FALSE),"")</f>
        <v/>
      </c>
      <c r="L270">
        <f>IFERROR(VLOOKUP($A270,'KP Import'!$A:$B,2,FALSE),"")</f>
        <v/>
      </c>
      <c r="M270">
        <f>IF(I270="","",ROUND(I270/(J270+10),1))</f>
        <v/>
      </c>
      <c r="N270">
        <f>IF(M270="","",IF(M270&gt;=20,"A - Go first",IF(M270&gt;=5,"B - Next","C - Later")))</f>
        <v/>
      </c>
      <c r="O270" t="inlineStr">
        <is>
          <t>To research</t>
        </is>
      </c>
      <c r="P270" t="inlineStr"/>
    </row>
    <row r="271">
      <c r="A271" t="inlineStr">
        <is>
          <t>falak basmati rice</t>
        </is>
      </c>
      <c r="B271" t="inlineStr">
        <is>
          <t>Brand</t>
        </is>
      </c>
      <c r="C271" t="inlineStr">
        <is>
          <t>Brand</t>
        </is>
      </c>
      <c r="D271" t="inlineStr">
        <is>
          <t>Navigational/Transactional</t>
        </is>
      </c>
      <c r="E271" t="inlineStr">
        <is>
          <t>BOFU</t>
        </is>
      </c>
      <c r="F271" t="inlineStr">
        <is>
          <t>UAE (generic)</t>
        </is>
      </c>
      <c r="G271" t="inlineStr">
        <is>
          <t>Brand page / product page</t>
        </is>
      </c>
      <c r="H271" t="inlineStr">
        <is>
          <t>Product</t>
        </is>
      </c>
      <c r="I271">
        <f>IFERROR(VLOOKUP($A271,'Semrush Import'!$A:$D,2,FALSE),"")</f>
        <v/>
      </c>
      <c r="J271">
        <f>IFERROR(VLOOKUP($A271,'Semrush Import'!$A:$D,3,FALSE),"")</f>
        <v/>
      </c>
      <c r="K271">
        <f>IFERROR(VLOOKUP($A271,'Semrush Import'!$A:$D,4,FALSE),"")</f>
        <v/>
      </c>
      <c r="L271">
        <f>IFERROR(VLOOKUP($A271,'KP Import'!$A:$B,2,FALSE),"")</f>
        <v/>
      </c>
      <c r="M271">
        <f>IF(I271="","",ROUND(I271/(J271+10),1))</f>
        <v/>
      </c>
      <c r="N271">
        <f>IF(M271="","",IF(M271&gt;=20,"A - Go first",IF(M271&gt;=5,"B - Next","C - Later")))</f>
        <v/>
      </c>
      <c r="O271" t="inlineStr">
        <is>
          <t>To research</t>
        </is>
      </c>
      <c r="P271" t="inlineStr"/>
    </row>
    <row r="272">
      <c r="A272" t="inlineStr">
        <is>
          <t>falak basmati rice price in uae</t>
        </is>
      </c>
      <c r="B272" t="inlineStr">
        <is>
          <t>Brand price</t>
        </is>
      </c>
      <c r="C272" t="inlineStr">
        <is>
          <t>Brand</t>
        </is>
      </c>
      <c r="D272" t="inlineStr">
        <is>
          <t>Commercial</t>
        </is>
      </c>
      <c r="E272" t="inlineStr">
        <is>
          <t>MOFU</t>
        </is>
      </c>
      <c r="F272" t="inlineStr">
        <is>
          <t>UAE</t>
        </is>
      </c>
      <c r="G272" t="inlineStr">
        <is>
          <t>Brand page / product page</t>
        </is>
      </c>
      <c r="H272" t="inlineStr">
        <is>
          <t>Product</t>
        </is>
      </c>
      <c r="I272">
        <f>IFERROR(VLOOKUP($A272,'Semrush Import'!$A:$D,2,FALSE),"")</f>
        <v/>
      </c>
      <c r="J272">
        <f>IFERROR(VLOOKUP($A272,'Semrush Import'!$A:$D,3,FALSE),"")</f>
        <v/>
      </c>
      <c r="K272">
        <f>IFERROR(VLOOKUP($A272,'Semrush Import'!$A:$D,4,FALSE),"")</f>
        <v/>
      </c>
      <c r="L272">
        <f>IFERROR(VLOOKUP($A272,'KP Import'!$A:$B,2,FALSE),"")</f>
        <v/>
      </c>
      <c r="M272">
        <f>IF(I272="","",ROUND(I272/(J272+10),1))</f>
        <v/>
      </c>
      <c r="N272">
        <f>IF(M272="","",IF(M272&gt;=20,"A - Go first",IF(M272&gt;=5,"B - Next","C - Later")))</f>
        <v/>
      </c>
      <c r="O272" t="inlineStr">
        <is>
          <t>To research</t>
        </is>
      </c>
      <c r="P272" t="inlineStr"/>
    </row>
    <row r="273">
      <c r="A273" t="inlineStr">
        <is>
          <t>buy falak basmati rice dubai</t>
        </is>
      </c>
      <c r="B273" t="inlineStr">
        <is>
          <t>Brand</t>
        </is>
      </c>
      <c r="C273" t="inlineStr">
        <is>
          <t>Brand</t>
        </is>
      </c>
      <c r="D273" t="inlineStr">
        <is>
          <t>Transactional</t>
        </is>
      </c>
      <c r="E273" t="inlineStr">
        <is>
          <t>BOFU</t>
        </is>
      </c>
      <c r="F273" t="inlineStr">
        <is>
          <t>Dubai</t>
        </is>
      </c>
      <c r="G273" t="inlineStr">
        <is>
          <t>Brand page / product page</t>
        </is>
      </c>
      <c r="H273" t="inlineStr">
        <is>
          <t>Product</t>
        </is>
      </c>
      <c r="I273">
        <f>IFERROR(VLOOKUP($A273,'Semrush Import'!$A:$D,2,FALSE),"")</f>
        <v/>
      </c>
      <c r="J273">
        <f>IFERROR(VLOOKUP($A273,'Semrush Import'!$A:$D,3,FALSE),"")</f>
        <v/>
      </c>
      <c r="K273">
        <f>IFERROR(VLOOKUP($A273,'Semrush Import'!$A:$D,4,FALSE),"")</f>
        <v/>
      </c>
      <c r="L273">
        <f>IFERROR(VLOOKUP($A273,'KP Import'!$A:$B,2,FALSE),"")</f>
        <v/>
      </c>
      <c r="M273">
        <f>IF(I273="","",ROUND(I273/(J273+10),1))</f>
        <v/>
      </c>
      <c r="N273">
        <f>IF(M273="","",IF(M273&gt;=20,"A - Go first",IF(M273&gt;=5,"B - Next","C - Later")))</f>
        <v/>
      </c>
      <c r="O273" t="inlineStr">
        <is>
          <t>To research</t>
        </is>
      </c>
      <c r="P273" t="inlineStr"/>
    </row>
    <row r="274">
      <c r="A274" t="inlineStr">
        <is>
          <t>basmati rice 1kg</t>
        </is>
      </c>
      <c r="B274" t="inlineStr">
        <is>
          <t>Pack size</t>
        </is>
      </c>
      <c r="C274" t="inlineStr">
        <is>
          <t>Basmati</t>
        </is>
      </c>
      <c r="D274" t="inlineStr">
        <is>
          <t>Commercial</t>
        </is>
      </c>
      <c r="E274" t="inlineStr">
        <is>
          <t>MOFU</t>
        </is>
      </c>
      <c r="F274" t="inlineStr">
        <is>
          <t>UAE (generic)</t>
        </is>
      </c>
      <c r="G274" t="inlineStr">
        <is>
          <t>Basmati Rice category</t>
        </is>
      </c>
      <c r="H274" t="inlineStr">
        <is>
          <t>Category</t>
        </is>
      </c>
      <c r="I274">
        <f>IFERROR(VLOOKUP($A274,'Semrush Import'!$A:$D,2,FALSE),"")</f>
        <v/>
      </c>
      <c r="J274">
        <f>IFERROR(VLOOKUP($A274,'Semrush Import'!$A:$D,3,FALSE),"")</f>
        <v/>
      </c>
      <c r="K274">
        <f>IFERROR(VLOOKUP($A274,'Semrush Import'!$A:$D,4,FALSE),"")</f>
        <v/>
      </c>
      <c r="L274">
        <f>IFERROR(VLOOKUP($A274,'KP Import'!$A:$B,2,FALSE),"")</f>
        <v/>
      </c>
      <c r="M274">
        <f>IF(I274="","",ROUND(I274/(J274+10),1))</f>
        <v/>
      </c>
      <c r="N274">
        <f>IF(M274="","",IF(M274&gt;=20,"A - Go first",IF(M274&gt;=5,"B - Next","C - Later")))</f>
        <v/>
      </c>
      <c r="O274" t="inlineStr">
        <is>
          <t>To research</t>
        </is>
      </c>
      <c r="P274" t="inlineStr"/>
    </row>
    <row r="275">
      <c r="A275" t="inlineStr">
        <is>
          <t>1kg rice bag price dubai</t>
        </is>
      </c>
      <c r="B275" t="inlineStr">
        <is>
          <t>Pack size</t>
        </is>
      </c>
      <c r="C275" t="inlineStr">
        <is>
          <t>Bulk</t>
        </is>
      </c>
      <c r="D275" t="inlineStr">
        <is>
          <t>Commercial</t>
        </is>
      </c>
      <c r="E275" t="inlineStr">
        <is>
          <t>MOFU</t>
        </is>
      </c>
      <c r="F275" t="inlineStr">
        <is>
          <t>Dubai</t>
        </is>
      </c>
      <c r="G275" t="inlineStr">
        <is>
          <t>Wholesale landing page</t>
        </is>
      </c>
      <c r="H275" t="inlineStr">
        <is>
          <t>Landing</t>
        </is>
      </c>
      <c r="I275">
        <f>IFERROR(VLOOKUP($A275,'Semrush Import'!$A:$D,2,FALSE),"")</f>
        <v/>
      </c>
      <c r="J275">
        <f>IFERROR(VLOOKUP($A275,'Semrush Import'!$A:$D,3,FALSE),"")</f>
        <v/>
      </c>
      <c r="K275">
        <f>IFERROR(VLOOKUP($A275,'Semrush Import'!$A:$D,4,FALSE),"")</f>
        <v/>
      </c>
      <c r="L275">
        <f>IFERROR(VLOOKUP($A275,'KP Import'!$A:$B,2,FALSE),"")</f>
        <v/>
      </c>
      <c r="M275">
        <f>IF(I275="","",ROUND(I275/(J275+10),1))</f>
        <v/>
      </c>
      <c r="N275">
        <f>IF(M275="","",IF(M275&gt;=20,"A - Go first",IF(M275&gt;=5,"B - Next","C - Later")))</f>
        <v/>
      </c>
      <c r="O275" t="inlineStr">
        <is>
          <t>To research</t>
        </is>
      </c>
      <c r="P275" t="inlineStr"/>
    </row>
    <row r="276">
      <c r="A276" t="inlineStr">
        <is>
          <t>1kg basmati rice price in uae</t>
        </is>
      </c>
      <c r="B276" t="inlineStr">
        <is>
          <t>Pack size</t>
        </is>
      </c>
      <c r="C276" t="inlineStr">
        <is>
          <t>Basmati</t>
        </is>
      </c>
      <c r="D276" t="inlineStr">
        <is>
          <t>Commercial</t>
        </is>
      </c>
      <c r="E276" t="inlineStr">
        <is>
          <t>MOFU</t>
        </is>
      </c>
      <c r="F276" t="inlineStr">
        <is>
          <t>UAE</t>
        </is>
      </c>
      <c r="G276" t="inlineStr">
        <is>
          <t>Basmati Rice category</t>
        </is>
      </c>
      <c r="H276" t="inlineStr">
        <is>
          <t>Category</t>
        </is>
      </c>
      <c r="I276">
        <f>IFERROR(VLOOKUP($A276,'Semrush Import'!$A:$D,2,FALSE),"")</f>
        <v/>
      </c>
      <c r="J276">
        <f>IFERROR(VLOOKUP($A276,'Semrush Import'!$A:$D,3,FALSE),"")</f>
        <v/>
      </c>
      <c r="K276">
        <f>IFERROR(VLOOKUP($A276,'Semrush Import'!$A:$D,4,FALSE),"")</f>
        <v/>
      </c>
      <c r="L276">
        <f>IFERROR(VLOOKUP($A276,'KP Import'!$A:$B,2,FALSE),"")</f>
        <v/>
      </c>
      <c r="M276">
        <f>IF(I276="","",ROUND(I276/(J276+10),1))</f>
        <v/>
      </c>
      <c r="N276">
        <f>IF(M276="","",IF(M276&gt;=20,"A - Go first",IF(M276&gt;=5,"B - Next","C - Later")))</f>
        <v/>
      </c>
      <c r="O276" t="inlineStr">
        <is>
          <t>To research</t>
        </is>
      </c>
      <c r="P276" t="inlineStr"/>
    </row>
    <row r="277">
      <c r="A277" t="inlineStr">
        <is>
          <t>basmati rice 5kg</t>
        </is>
      </c>
      <c r="B277" t="inlineStr">
        <is>
          <t>Pack size</t>
        </is>
      </c>
      <c r="C277" t="inlineStr">
        <is>
          <t>Basmati</t>
        </is>
      </c>
      <c r="D277" t="inlineStr">
        <is>
          <t>Commercial</t>
        </is>
      </c>
      <c r="E277" t="inlineStr">
        <is>
          <t>MOFU</t>
        </is>
      </c>
      <c r="F277" t="inlineStr">
        <is>
          <t>UAE (generic)</t>
        </is>
      </c>
      <c r="G277" t="inlineStr">
        <is>
          <t>Basmati Rice category</t>
        </is>
      </c>
      <c r="H277" t="inlineStr">
        <is>
          <t>Category</t>
        </is>
      </c>
      <c r="I277">
        <f>IFERROR(VLOOKUP($A277,'Semrush Import'!$A:$D,2,FALSE),"")</f>
        <v/>
      </c>
      <c r="J277">
        <f>IFERROR(VLOOKUP($A277,'Semrush Import'!$A:$D,3,FALSE),"")</f>
        <v/>
      </c>
      <c r="K277">
        <f>IFERROR(VLOOKUP($A277,'Semrush Import'!$A:$D,4,FALSE),"")</f>
        <v/>
      </c>
      <c r="L277">
        <f>IFERROR(VLOOKUP($A277,'KP Import'!$A:$B,2,FALSE),"")</f>
        <v/>
      </c>
      <c r="M277">
        <f>IF(I277="","",ROUND(I277/(J277+10),1))</f>
        <v/>
      </c>
      <c r="N277">
        <f>IF(M277="","",IF(M277&gt;=20,"A - Go first",IF(M277&gt;=5,"B - Next","C - Later")))</f>
        <v/>
      </c>
      <c r="O277" t="inlineStr">
        <is>
          <t>To research</t>
        </is>
      </c>
      <c r="P277" t="inlineStr"/>
    </row>
    <row r="278">
      <c r="A278" t="inlineStr">
        <is>
          <t>5kg rice bag price dubai</t>
        </is>
      </c>
      <c r="B278" t="inlineStr">
        <is>
          <t>Pack size</t>
        </is>
      </c>
      <c r="C278" t="inlineStr">
        <is>
          <t>Bulk</t>
        </is>
      </c>
      <c r="D278" t="inlineStr">
        <is>
          <t>Commercial</t>
        </is>
      </c>
      <c r="E278" t="inlineStr">
        <is>
          <t>MOFU</t>
        </is>
      </c>
      <c r="F278" t="inlineStr">
        <is>
          <t>Dubai</t>
        </is>
      </c>
      <c r="G278" t="inlineStr">
        <is>
          <t>Wholesale landing page</t>
        </is>
      </c>
      <c r="H278" t="inlineStr">
        <is>
          <t>Landing</t>
        </is>
      </c>
      <c r="I278">
        <f>IFERROR(VLOOKUP($A278,'Semrush Import'!$A:$D,2,FALSE),"")</f>
        <v/>
      </c>
      <c r="J278">
        <f>IFERROR(VLOOKUP($A278,'Semrush Import'!$A:$D,3,FALSE),"")</f>
        <v/>
      </c>
      <c r="K278">
        <f>IFERROR(VLOOKUP($A278,'Semrush Import'!$A:$D,4,FALSE),"")</f>
        <v/>
      </c>
      <c r="L278">
        <f>IFERROR(VLOOKUP($A278,'KP Import'!$A:$B,2,FALSE),"")</f>
        <v/>
      </c>
      <c r="M278">
        <f>IF(I278="","",ROUND(I278/(J278+10),1))</f>
        <v/>
      </c>
      <c r="N278">
        <f>IF(M278="","",IF(M278&gt;=20,"A - Go first",IF(M278&gt;=5,"B - Next","C - Later")))</f>
        <v/>
      </c>
      <c r="O278" t="inlineStr">
        <is>
          <t>To research</t>
        </is>
      </c>
      <c r="P278" t="inlineStr"/>
    </row>
    <row r="279">
      <c r="A279" t="inlineStr">
        <is>
          <t>5kg basmati rice price in uae</t>
        </is>
      </c>
      <c r="B279" t="inlineStr">
        <is>
          <t>Pack size</t>
        </is>
      </c>
      <c r="C279" t="inlineStr">
        <is>
          <t>Basmati</t>
        </is>
      </c>
      <c r="D279" t="inlineStr">
        <is>
          <t>Commercial</t>
        </is>
      </c>
      <c r="E279" t="inlineStr">
        <is>
          <t>MOFU</t>
        </is>
      </c>
      <c r="F279" t="inlineStr">
        <is>
          <t>UAE</t>
        </is>
      </c>
      <c r="G279" t="inlineStr">
        <is>
          <t>Basmati Rice category</t>
        </is>
      </c>
      <c r="H279" t="inlineStr">
        <is>
          <t>Category</t>
        </is>
      </c>
      <c r="I279">
        <f>IFERROR(VLOOKUP($A279,'Semrush Import'!$A:$D,2,FALSE),"")</f>
        <v/>
      </c>
      <c r="J279">
        <f>IFERROR(VLOOKUP($A279,'Semrush Import'!$A:$D,3,FALSE),"")</f>
        <v/>
      </c>
      <c r="K279">
        <f>IFERROR(VLOOKUP($A279,'Semrush Import'!$A:$D,4,FALSE),"")</f>
        <v/>
      </c>
      <c r="L279">
        <f>IFERROR(VLOOKUP($A279,'KP Import'!$A:$B,2,FALSE),"")</f>
        <v/>
      </c>
      <c r="M279">
        <f>IF(I279="","",ROUND(I279/(J279+10),1))</f>
        <v/>
      </c>
      <c r="N279">
        <f>IF(M279="","",IF(M279&gt;=20,"A - Go first",IF(M279&gt;=5,"B - Next","C - Later")))</f>
        <v/>
      </c>
      <c r="O279" t="inlineStr">
        <is>
          <t>To research</t>
        </is>
      </c>
      <c r="P279" t="inlineStr"/>
    </row>
    <row r="280">
      <c r="A280" t="inlineStr">
        <is>
          <t>basmati rice 10kg</t>
        </is>
      </c>
      <c r="B280" t="inlineStr">
        <is>
          <t>Pack size</t>
        </is>
      </c>
      <c r="C280" t="inlineStr">
        <is>
          <t>Basmati</t>
        </is>
      </c>
      <c r="D280" t="inlineStr">
        <is>
          <t>Commercial</t>
        </is>
      </c>
      <c r="E280" t="inlineStr">
        <is>
          <t>MOFU</t>
        </is>
      </c>
      <c r="F280" t="inlineStr">
        <is>
          <t>UAE (generic)</t>
        </is>
      </c>
      <c r="G280" t="inlineStr">
        <is>
          <t>Basmati Rice category</t>
        </is>
      </c>
      <c r="H280" t="inlineStr">
        <is>
          <t>Category</t>
        </is>
      </c>
      <c r="I280">
        <f>IFERROR(VLOOKUP($A280,'Semrush Import'!$A:$D,2,FALSE),"")</f>
        <v/>
      </c>
      <c r="J280">
        <f>IFERROR(VLOOKUP($A280,'Semrush Import'!$A:$D,3,FALSE),"")</f>
        <v/>
      </c>
      <c r="K280">
        <f>IFERROR(VLOOKUP($A280,'Semrush Import'!$A:$D,4,FALSE),"")</f>
        <v/>
      </c>
      <c r="L280">
        <f>IFERROR(VLOOKUP($A280,'KP Import'!$A:$B,2,FALSE),"")</f>
        <v/>
      </c>
      <c r="M280">
        <f>IF(I280="","",ROUND(I280/(J280+10),1))</f>
        <v/>
      </c>
      <c r="N280">
        <f>IF(M280="","",IF(M280&gt;=20,"A - Go first",IF(M280&gt;=5,"B - Next","C - Later")))</f>
        <v/>
      </c>
      <c r="O280" t="inlineStr">
        <is>
          <t>To research</t>
        </is>
      </c>
      <c r="P280" t="inlineStr"/>
    </row>
    <row r="281">
      <c r="A281" t="inlineStr">
        <is>
          <t>10kg rice bag price dubai</t>
        </is>
      </c>
      <c r="B281" t="inlineStr">
        <is>
          <t>Pack size</t>
        </is>
      </c>
      <c r="C281" t="inlineStr">
        <is>
          <t>Bulk</t>
        </is>
      </c>
      <c r="D281" t="inlineStr">
        <is>
          <t>Commercial</t>
        </is>
      </c>
      <c r="E281" t="inlineStr">
        <is>
          <t>MOFU</t>
        </is>
      </c>
      <c r="F281" t="inlineStr">
        <is>
          <t>Dubai</t>
        </is>
      </c>
      <c r="G281" t="inlineStr">
        <is>
          <t>Wholesale landing page</t>
        </is>
      </c>
      <c r="H281" t="inlineStr">
        <is>
          <t>Landing</t>
        </is>
      </c>
      <c r="I281">
        <f>IFERROR(VLOOKUP($A281,'Semrush Import'!$A:$D,2,FALSE),"")</f>
        <v/>
      </c>
      <c r="J281">
        <f>IFERROR(VLOOKUP($A281,'Semrush Import'!$A:$D,3,FALSE),"")</f>
        <v/>
      </c>
      <c r="K281">
        <f>IFERROR(VLOOKUP($A281,'Semrush Import'!$A:$D,4,FALSE),"")</f>
        <v/>
      </c>
      <c r="L281">
        <f>IFERROR(VLOOKUP($A281,'KP Import'!$A:$B,2,FALSE),"")</f>
        <v/>
      </c>
      <c r="M281">
        <f>IF(I281="","",ROUND(I281/(J281+10),1))</f>
        <v/>
      </c>
      <c r="N281">
        <f>IF(M281="","",IF(M281&gt;=20,"A - Go first",IF(M281&gt;=5,"B - Next","C - Later")))</f>
        <v/>
      </c>
      <c r="O281" t="inlineStr">
        <is>
          <t>To research</t>
        </is>
      </c>
      <c r="P281" t="inlineStr"/>
    </row>
    <row r="282">
      <c r="A282" t="inlineStr">
        <is>
          <t>10kg basmati rice price in uae</t>
        </is>
      </c>
      <c r="B282" t="inlineStr">
        <is>
          <t>Pack size</t>
        </is>
      </c>
      <c r="C282" t="inlineStr">
        <is>
          <t>Basmati</t>
        </is>
      </c>
      <c r="D282" t="inlineStr">
        <is>
          <t>Commercial</t>
        </is>
      </c>
      <c r="E282" t="inlineStr">
        <is>
          <t>MOFU</t>
        </is>
      </c>
      <c r="F282" t="inlineStr">
        <is>
          <t>UAE</t>
        </is>
      </c>
      <c r="G282" t="inlineStr">
        <is>
          <t>Basmati Rice category</t>
        </is>
      </c>
      <c r="H282" t="inlineStr">
        <is>
          <t>Category</t>
        </is>
      </c>
      <c r="I282">
        <f>IFERROR(VLOOKUP($A282,'Semrush Import'!$A:$D,2,FALSE),"")</f>
        <v/>
      </c>
      <c r="J282">
        <f>IFERROR(VLOOKUP($A282,'Semrush Import'!$A:$D,3,FALSE),"")</f>
        <v/>
      </c>
      <c r="K282">
        <f>IFERROR(VLOOKUP($A282,'Semrush Import'!$A:$D,4,FALSE),"")</f>
        <v/>
      </c>
      <c r="L282">
        <f>IFERROR(VLOOKUP($A282,'KP Import'!$A:$B,2,FALSE),"")</f>
        <v/>
      </c>
      <c r="M282">
        <f>IF(I282="","",ROUND(I282/(J282+10),1))</f>
        <v/>
      </c>
      <c r="N282">
        <f>IF(M282="","",IF(M282&gt;=20,"A - Go first",IF(M282&gt;=5,"B - Next","C - Later")))</f>
        <v/>
      </c>
      <c r="O282" t="inlineStr">
        <is>
          <t>To research</t>
        </is>
      </c>
      <c r="P282" t="inlineStr"/>
    </row>
    <row r="283">
      <c r="A283" t="inlineStr">
        <is>
          <t>basmati rice 20kg</t>
        </is>
      </c>
      <c r="B283" t="inlineStr">
        <is>
          <t>Pack size</t>
        </is>
      </c>
      <c r="C283" t="inlineStr">
        <is>
          <t>Basmati</t>
        </is>
      </c>
      <c r="D283" t="inlineStr">
        <is>
          <t>Commercial</t>
        </is>
      </c>
      <c r="E283" t="inlineStr">
        <is>
          <t>MOFU</t>
        </is>
      </c>
      <c r="F283" t="inlineStr">
        <is>
          <t>UAE (generic)</t>
        </is>
      </c>
      <c r="G283" t="inlineStr">
        <is>
          <t>Basmati Rice category</t>
        </is>
      </c>
      <c r="H283" t="inlineStr">
        <is>
          <t>Category</t>
        </is>
      </c>
      <c r="I283">
        <f>IFERROR(VLOOKUP($A283,'Semrush Import'!$A:$D,2,FALSE),"")</f>
        <v/>
      </c>
      <c r="J283">
        <f>IFERROR(VLOOKUP($A283,'Semrush Import'!$A:$D,3,FALSE),"")</f>
        <v/>
      </c>
      <c r="K283">
        <f>IFERROR(VLOOKUP($A283,'Semrush Import'!$A:$D,4,FALSE),"")</f>
        <v/>
      </c>
      <c r="L283">
        <f>IFERROR(VLOOKUP($A283,'KP Import'!$A:$B,2,FALSE),"")</f>
        <v/>
      </c>
      <c r="M283">
        <f>IF(I283="","",ROUND(I283/(J283+10),1))</f>
        <v/>
      </c>
      <c r="N283">
        <f>IF(M283="","",IF(M283&gt;=20,"A - Go first",IF(M283&gt;=5,"B - Next","C - Later")))</f>
        <v/>
      </c>
      <c r="O283" t="inlineStr">
        <is>
          <t>To research</t>
        </is>
      </c>
      <c r="P283" t="inlineStr"/>
    </row>
    <row r="284">
      <c r="A284" t="inlineStr">
        <is>
          <t>20kg rice bag price dubai</t>
        </is>
      </c>
      <c r="B284" t="inlineStr">
        <is>
          <t>Pack size</t>
        </is>
      </c>
      <c r="C284" t="inlineStr">
        <is>
          <t>Bulk</t>
        </is>
      </c>
      <c r="D284" t="inlineStr">
        <is>
          <t>Commercial</t>
        </is>
      </c>
      <c r="E284" t="inlineStr">
        <is>
          <t>MOFU</t>
        </is>
      </c>
      <c r="F284" t="inlineStr">
        <is>
          <t>Dubai</t>
        </is>
      </c>
      <c r="G284" t="inlineStr">
        <is>
          <t>Wholesale landing page</t>
        </is>
      </c>
      <c r="H284" t="inlineStr">
        <is>
          <t>Landing</t>
        </is>
      </c>
      <c r="I284">
        <f>IFERROR(VLOOKUP($A284,'Semrush Import'!$A:$D,2,FALSE),"")</f>
        <v/>
      </c>
      <c r="J284">
        <f>IFERROR(VLOOKUP($A284,'Semrush Import'!$A:$D,3,FALSE),"")</f>
        <v/>
      </c>
      <c r="K284">
        <f>IFERROR(VLOOKUP($A284,'Semrush Import'!$A:$D,4,FALSE),"")</f>
        <v/>
      </c>
      <c r="L284">
        <f>IFERROR(VLOOKUP($A284,'KP Import'!$A:$B,2,FALSE),"")</f>
        <v/>
      </c>
      <c r="M284">
        <f>IF(I284="","",ROUND(I284/(J284+10),1))</f>
        <v/>
      </c>
      <c r="N284">
        <f>IF(M284="","",IF(M284&gt;=20,"A - Go first",IF(M284&gt;=5,"B - Next","C - Later")))</f>
        <v/>
      </c>
      <c r="O284" t="inlineStr">
        <is>
          <t>To research</t>
        </is>
      </c>
      <c r="P284" t="inlineStr"/>
    </row>
    <row r="285">
      <c r="A285" t="inlineStr">
        <is>
          <t>20kg basmati rice price in uae</t>
        </is>
      </c>
      <c r="B285" t="inlineStr">
        <is>
          <t>Pack size</t>
        </is>
      </c>
      <c r="C285" t="inlineStr">
        <is>
          <t>Basmati</t>
        </is>
      </c>
      <c r="D285" t="inlineStr">
        <is>
          <t>Commercial</t>
        </is>
      </c>
      <c r="E285" t="inlineStr">
        <is>
          <t>MOFU</t>
        </is>
      </c>
      <c r="F285" t="inlineStr">
        <is>
          <t>UAE</t>
        </is>
      </c>
      <c r="G285" t="inlineStr">
        <is>
          <t>Basmati Rice category</t>
        </is>
      </c>
      <c r="H285" t="inlineStr">
        <is>
          <t>Category</t>
        </is>
      </c>
      <c r="I285">
        <f>IFERROR(VLOOKUP($A285,'Semrush Import'!$A:$D,2,FALSE),"")</f>
        <v/>
      </c>
      <c r="J285">
        <f>IFERROR(VLOOKUP($A285,'Semrush Import'!$A:$D,3,FALSE),"")</f>
        <v/>
      </c>
      <c r="K285">
        <f>IFERROR(VLOOKUP($A285,'Semrush Import'!$A:$D,4,FALSE),"")</f>
        <v/>
      </c>
      <c r="L285">
        <f>IFERROR(VLOOKUP($A285,'KP Import'!$A:$B,2,FALSE),"")</f>
        <v/>
      </c>
      <c r="M285">
        <f>IF(I285="","",ROUND(I285/(J285+10),1))</f>
        <v/>
      </c>
      <c r="N285">
        <f>IF(M285="","",IF(M285&gt;=20,"A - Go first",IF(M285&gt;=5,"B - Next","C - Later")))</f>
        <v/>
      </c>
      <c r="O285" t="inlineStr">
        <is>
          <t>To research</t>
        </is>
      </c>
      <c r="P285" t="inlineStr"/>
    </row>
    <row r="286">
      <c r="A286" t="inlineStr">
        <is>
          <t>basmati rice 25kg</t>
        </is>
      </c>
      <c r="B286" t="inlineStr">
        <is>
          <t>Pack size</t>
        </is>
      </c>
      <c r="C286" t="inlineStr">
        <is>
          <t>Basmati</t>
        </is>
      </c>
      <c r="D286" t="inlineStr">
        <is>
          <t>Commercial</t>
        </is>
      </c>
      <c r="E286" t="inlineStr">
        <is>
          <t>MOFU</t>
        </is>
      </c>
      <c r="F286" t="inlineStr">
        <is>
          <t>UAE (generic)</t>
        </is>
      </c>
      <c r="G286" t="inlineStr">
        <is>
          <t>Basmati Rice category</t>
        </is>
      </c>
      <c r="H286" t="inlineStr">
        <is>
          <t>Category</t>
        </is>
      </c>
      <c r="I286">
        <f>IFERROR(VLOOKUP($A286,'Semrush Import'!$A:$D,2,FALSE),"")</f>
        <v/>
      </c>
      <c r="J286">
        <f>IFERROR(VLOOKUP($A286,'Semrush Import'!$A:$D,3,FALSE),"")</f>
        <v/>
      </c>
      <c r="K286">
        <f>IFERROR(VLOOKUP($A286,'Semrush Import'!$A:$D,4,FALSE),"")</f>
        <v/>
      </c>
      <c r="L286">
        <f>IFERROR(VLOOKUP($A286,'KP Import'!$A:$B,2,FALSE),"")</f>
        <v/>
      </c>
      <c r="M286">
        <f>IF(I286="","",ROUND(I286/(J286+10),1))</f>
        <v/>
      </c>
      <c r="N286">
        <f>IF(M286="","",IF(M286&gt;=20,"A - Go first",IF(M286&gt;=5,"B - Next","C - Later")))</f>
        <v/>
      </c>
      <c r="O286" t="inlineStr">
        <is>
          <t>To research</t>
        </is>
      </c>
      <c r="P286" t="inlineStr"/>
    </row>
    <row r="287">
      <c r="A287" t="inlineStr">
        <is>
          <t>25kg rice bag price dubai</t>
        </is>
      </c>
      <c r="B287" t="inlineStr">
        <is>
          <t>Pack size</t>
        </is>
      </c>
      <c r="C287" t="inlineStr">
        <is>
          <t>Bulk</t>
        </is>
      </c>
      <c r="D287" t="inlineStr">
        <is>
          <t>Commercial</t>
        </is>
      </c>
      <c r="E287" t="inlineStr">
        <is>
          <t>MOFU</t>
        </is>
      </c>
      <c r="F287" t="inlineStr">
        <is>
          <t>Dubai</t>
        </is>
      </c>
      <c r="G287" t="inlineStr">
        <is>
          <t>Wholesale landing page</t>
        </is>
      </c>
      <c r="H287" t="inlineStr">
        <is>
          <t>Landing</t>
        </is>
      </c>
      <c r="I287">
        <f>IFERROR(VLOOKUP($A287,'Semrush Import'!$A:$D,2,FALSE),"")</f>
        <v/>
      </c>
      <c r="J287">
        <f>IFERROR(VLOOKUP($A287,'Semrush Import'!$A:$D,3,FALSE),"")</f>
        <v/>
      </c>
      <c r="K287">
        <f>IFERROR(VLOOKUP($A287,'Semrush Import'!$A:$D,4,FALSE),"")</f>
        <v/>
      </c>
      <c r="L287">
        <f>IFERROR(VLOOKUP($A287,'KP Import'!$A:$B,2,FALSE),"")</f>
        <v/>
      </c>
      <c r="M287">
        <f>IF(I287="","",ROUND(I287/(J287+10),1))</f>
        <v/>
      </c>
      <c r="N287">
        <f>IF(M287="","",IF(M287&gt;=20,"A - Go first",IF(M287&gt;=5,"B - Next","C - Later")))</f>
        <v/>
      </c>
      <c r="O287" t="inlineStr">
        <is>
          <t>To research</t>
        </is>
      </c>
      <c r="P287" t="inlineStr"/>
    </row>
    <row r="288">
      <c r="A288" t="inlineStr">
        <is>
          <t>25kg basmati rice price in uae</t>
        </is>
      </c>
      <c r="B288" t="inlineStr">
        <is>
          <t>Pack size</t>
        </is>
      </c>
      <c r="C288" t="inlineStr">
        <is>
          <t>Basmati</t>
        </is>
      </c>
      <c r="D288" t="inlineStr">
        <is>
          <t>Commercial</t>
        </is>
      </c>
      <c r="E288" t="inlineStr">
        <is>
          <t>MOFU</t>
        </is>
      </c>
      <c r="F288" t="inlineStr">
        <is>
          <t>UAE</t>
        </is>
      </c>
      <c r="G288" t="inlineStr">
        <is>
          <t>Basmati Rice category</t>
        </is>
      </c>
      <c r="H288" t="inlineStr">
        <is>
          <t>Category</t>
        </is>
      </c>
      <c r="I288">
        <f>IFERROR(VLOOKUP($A288,'Semrush Import'!$A:$D,2,FALSE),"")</f>
        <v/>
      </c>
      <c r="J288">
        <f>IFERROR(VLOOKUP($A288,'Semrush Import'!$A:$D,3,FALSE),"")</f>
        <v/>
      </c>
      <c r="K288">
        <f>IFERROR(VLOOKUP($A288,'Semrush Import'!$A:$D,4,FALSE),"")</f>
        <v/>
      </c>
      <c r="L288">
        <f>IFERROR(VLOOKUP($A288,'KP Import'!$A:$B,2,FALSE),"")</f>
        <v/>
      </c>
      <c r="M288">
        <f>IF(I288="","",ROUND(I288/(J288+10),1))</f>
        <v/>
      </c>
      <c r="N288">
        <f>IF(M288="","",IF(M288&gt;=20,"A - Go first",IF(M288&gt;=5,"B - Next","C - Later")))</f>
        <v/>
      </c>
      <c r="O288" t="inlineStr">
        <is>
          <t>To research</t>
        </is>
      </c>
      <c r="P288" t="inlineStr"/>
    </row>
    <row r="289">
      <c r="A289" t="inlineStr">
        <is>
          <t>basmati rice 40kg</t>
        </is>
      </c>
      <c r="B289" t="inlineStr">
        <is>
          <t>Pack size</t>
        </is>
      </c>
      <c r="C289" t="inlineStr">
        <is>
          <t>Basmati</t>
        </is>
      </c>
      <c r="D289" t="inlineStr">
        <is>
          <t>Commercial</t>
        </is>
      </c>
      <c r="E289" t="inlineStr">
        <is>
          <t>MOFU</t>
        </is>
      </c>
      <c r="F289" t="inlineStr">
        <is>
          <t>UAE (generic)</t>
        </is>
      </c>
      <c r="G289" t="inlineStr">
        <is>
          <t>Basmati Rice category</t>
        </is>
      </c>
      <c r="H289" t="inlineStr">
        <is>
          <t>Category</t>
        </is>
      </c>
      <c r="I289">
        <f>IFERROR(VLOOKUP($A289,'Semrush Import'!$A:$D,2,FALSE),"")</f>
        <v/>
      </c>
      <c r="J289">
        <f>IFERROR(VLOOKUP($A289,'Semrush Import'!$A:$D,3,FALSE),"")</f>
        <v/>
      </c>
      <c r="K289">
        <f>IFERROR(VLOOKUP($A289,'Semrush Import'!$A:$D,4,FALSE),"")</f>
        <v/>
      </c>
      <c r="L289">
        <f>IFERROR(VLOOKUP($A289,'KP Import'!$A:$B,2,FALSE),"")</f>
        <v/>
      </c>
      <c r="M289">
        <f>IF(I289="","",ROUND(I289/(J289+10),1))</f>
        <v/>
      </c>
      <c r="N289">
        <f>IF(M289="","",IF(M289&gt;=20,"A - Go first",IF(M289&gt;=5,"B - Next","C - Later")))</f>
        <v/>
      </c>
      <c r="O289" t="inlineStr">
        <is>
          <t>To research</t>
        </is>
      </c>
      <c r="P289" t="inlineStr"/>
    </row>
    <row r="290">
      <c r="A290" t="inlineStr">
        <is>
          <t>40kg rice bag price dubai</t>
        </is>
      </c>
      <c r="B290" t="inlineStr">
        <is>
          <t>Pack size</t>
        </is>
      </c>
      <c r="C290" t="inlineStr">
        <is>
          <t>Bulk</t>
        </is>
      </c>
      <c r="D290" t="inlineStr">
        <is>
          <t>Commercial</t>
        </is>
      </c>
      <c r="E290" t="inlineStr">
        <is>
          <t>MOFU</t>
        </is>
      </c>
      <c r="F290" t="inlineStr">
        <is>
          <t>Dubai</t>
        </is>
      </c>
      <c r="G290" t="inlineStr">
        <is>
          <t>Wholesale landing page</t>
        </is>
      </c>
      <c r="H290" t="inlineStr">
        <is>
          <t>Landing</t>
        </is>
      </c>
      <c r="I290">
        <f>IFERROR(VLOOKUP($A290,'Semrush Import'!$A:$D,2,FALSE),"")</f>
        <v/>
      </c>
      <c r="J290">
        <f>IFERROR(VLOOKUP($A290,'Semrush Import'!$A:$D,3,FALSE),"")</f>
        <v/>
      </c>
      <c r="K290">
        <f>IFERROR(VLOOKUP($A290,'Semrush Import'!$A:$D,4,FALSE),"")</f>
        <v/>
      </c>
      <c r="L290">
        <f>IFERROR(VLOOKUP($A290,'KP Import'!$A:$B,2,FALSE),"")</f>
        <v/>
      </c>
      <c r="M290">
        <f>IF(I290="","",ROUND(I290/(J290+10),1))</f>
        <v/>
      </c>
      <c r="N290">
        <f>IF(M290="","",IF(M290&gt;=20,"A - Go first",IF(M290&gt;=5,"B - Next","C - Later")))</f>
        <v/>
      </c>
      <c r="O290" t="inlineStr">
        <is>
          <t>To research</t>
        </is>
      </c>
      <c r="P290" t="inlineStr"/>
    </row>
    <row r="291">
      <c r="A291" t="inlineStr">
        <is>
          <t>40kg basmati rice price in uae</t>
        </is>
      </c>
      <c r="B291" t="inlineStr">
        <is>
          <t>Pack size</t>
        </is>
      </c>
      <c r="C291" t="inlineStr">
        <is>
          <t>Basmati</t>
        </is>
      </c>
      <c r="D291" t="inlineStr">
        <is>
          <t>Commercial</t>
        </is>
      </c>
      <c r="E291" t="inlineStr">
        <is>
          <t>MOFU</t>
        </is>
      </c>
      <c r="F291" t="inlineStr">
        <is>
          <t>UAE</t>
        </is>
      </c>
      <c r="G291" t="inlineStr">
        <is>
          <t>Basmati Rice category</t>
        </is>
      </c>
      <c r="H291" t="inlineStr">
        <is>
          <t>Category</t>
        </is>
      </c>
      <c r="I291">
        <f>IFERROR(VLOOKUP($A291,'Semrush Import'!$A:$D,2,FALSE),"")</f>
        <v/>
      </c>
      <c r="J291">
        <f>IFERROR(VLOOKUP($A291,'Semrush Import'!$A:$D,3,FALSE),"")</f>
        <v/>
      </c>
      <c r="K291">
        <f>IFERROR(VLOOKUP($A291,'Semrush Import'!$A:$D,4,FALSE),"")</f>
        <v/>
      </c>
      <c r="L291">
        <f>IFERROR(VLOOKUP($A291,'KP Import'!$A:$B,2,FALSE),"")</f>
        <v/>
      </c>
      <c r="M291">
        <f>IF(I291="","",ROUND(I291/(J291+10),1))</f>
        <v/>
      </c>
      <c r="N291">
        <f>IF(M291="","",IF(M291&gt;=20,"A - Go first",IF(M291&gt;=5,"B - Next","C - Later")))</f>
        <v/>
      </c>
      <c r="O291" t="inlineStr">
        <is>
          <t>To research</t>
        </is>
      </c>
      <c r="P291" t="inlineStr"/>
    </row>
    <row r="292">
      <c r="A292" t="inlineStr">
        <is>
          <t>basmati rice 50kg</t>
        </is>
      </c>
      <c r="B292" t="inlineStr">
        <is>
          <t>Pack size</t>
        </is>
      </c>
      <c r="C292" t="inlineStr">
        <is>
          <t>Basmati</t>
        </is>
      </c>
      <c r="D292" t="inlineStr">
        <is>
          <t>Commercial</t>
        </is>
      </c>
      <c r="E292" t="inlineStr">
        <is>
          <t>MOFU</t>
        </is>
      </c>
      <c r="F292" t="inlineStr">
        <is>
          <t>UAE (generic)</t>
        </is>
      </c>
      <c r="G292" t="inlineStr">
        <is>
          <t>Basmati Rice category</t>
        </is>
      </c>
      <c r="H292" t="inlineStr">
        <is>
          <t>Category</t>
        </is>
      </c>
      <c r="I292">
        <f>IFERROR(VLOOKUP($A292,'Semrush Import'!$A:$D,2,FALSE),"")</f>
        <v/>
      </c>
      <c r="J292">
        <f>IFERROR(VLOOKUP($A292,'Semrush Import'!$A:$D,3,FALSE),"")</f>
        <v/>
      </c>
      <c r="K292">
        <f>IFERROR(VLOOKUP($A292,'Semrush Import'!$A:$D,4,FALSE),"")</f>
        <v/>
      </c>
      <c r="L292">
        <f>IFERROR(VLOOKUP($A292,'KP Import'!$A:$B,2,FALSE),"")</f>
        <v/>
      </c>
      <c r="M292">
        <f>IF(I292="","",ROUND(I292/(J292+10),1))</f>
        <v/>
      </c>
      <c r="N292">
        <f>IF(M292="","",IF(M292&gt;=20,"A - Go first",IF(M292&gt;=5,"B - Next","C - Later")))</f>
        <v/>
      </c>
      <c r="O292" t="inlineStr">
        <is>
          <t>To research</t>
        </is>
      </c>
      <c r="P292" t="inlineStr"/>
    </row>
    <row r="293">
      <c r="A293" t="inlineStr">
        <is>
          <t>50kg rice bag price dubai</t>
        </is>
      </c>
      <c r="B293" t="inlineStr">
        <is>
          <t>Pack size</t>
        </is>
      </c>
      <c r="C293" t="inlineStr">
        <is>
          <t>Bulk</t>
        </is>
      </c>
      <c r="D293" t="inlineStr">
        <is>
          <t>Commercial</t>
        </is>
      </c>
      <c r="E293" t="inlineStr">
        <is>
          <t>MOFU</t>
        </is>
      </c>
      <c r="F293" t="inlineStr">
        <is>
          <t>Dubai</t>
        </is>
      </c>
      <c r="G293" t="inlineStr">
        <is>
          <t>Wholesale landing page</t>
        </is>
      </c>
      <c r="H293" t="inlineStr">
        <is>
          <t>Landing</t>
        </is>
      </c>
      <c r="I293">
        <f>IFERROR(VLOOKUP($A293,'Semrush Import'!$A:$D,2,FALSE),"")</f>
        <v/>
      </c>
      <c r="J293">
        <f>IFERROR(VLOOKUP($A293,'Semrush Import'!$A:$D,3,FALSE),"")</f>
        <v/>
      </c>
      <c r="K293">
        <f>IFERROR(VLOOKUP($A293,'Semrush Import'!$A:$D,4,FALSE),"")</f>
        <v/>
      </c>
      <c r="L293">
        <f>IFERROR(VLOOKUP($A293,'KP Import'!$A:$B,2,FALSE),"")</f>
        <v/>
      </c>
      <c r="M293">
        <f>IF(I293="","",ROUND(I293/(J293+10),1))</f>
        <v/>
      </c>
      <c r="N293">
        <f>IF(M293="","",IF(M293&gt;=20,"A - Go first",IF(M293&gt;=5,"B - Next","C - Later")))</f>
        <v/>
      </c>
      <c r="O293" t="inlineStr">
        <is>
          <t>To research</t>
        </is>
      </c>
      <c r="P293" t="inlineStr"/>
    </row>
    <row r="294">
      <c r="A294" t="inlineStr">
        <is>
          <t>50kg basmati rice price in uae</t>
        </is>
      </c>
      <c r="B294" t="inlineStr">
        <is>
          <t>Pack size</t>
        </is>
      </c>
      <c r="C294" t="inlineStr">
        <is>
          <t>Basmati</t>
        </is>
      </c>
      <c r="D294" t="inlineStr">
        <is>
          <t>Commercial</t>
        </is>
      </c>
      <c r="E294" t="inlineStr">
        <is>
          <t>MOFU</t>
        </is>
      </c>
      <c r="F294" t="inlineStr">
        <is>
          <t>UAE</t>
        </is>
      </c>
      <c r="G294" t="inlineStr">
        <is>
          <t>Basmati Rice category</t>
        </is>
      </c>
      <c r="H294" t="inlineStr">
        <is>
          <t>Category</t>
        </is>
      </c>
      <c r="I294">
        <f>IFERROR(VLOOKUP($A294,'Semrush Import'!$A:$D,2,FALSE),"")</f>
        <v/>
      </c>
      <c r="J294">
        <f>IFERROR(VLOOKUP($A294,'Semrush Import'!$A:$D,3,FALSE),"")</f>
        <v/>
      </c>
      <c r="K294">
        <f>IFERROR(VLOOKUP($A294,'Semrush Import'!$A:$D,4,FALSE),"")</f>
        <v/>
      </c>
      <c r="L294">
        <f>IFERROR(VLOOKUP($A294,'KP Import'!$A:$B,2,FALSE),"")</f>
        <v/>
      </c>
      <c r="M294">
        <f>IF(I294="","",ROUND(I294/(J294+10),1))</f>
        <v/>
      </c>
      <c r="N294">
        <f>IF(M294="","",IF(M294&gt;=20,"A - Go first",IF(M294&gt;=5,"B - Next","C - Later")))</f>
        <v/>
      </c>
      <c r="O294" t="inlineStr">
        <is>
          <t>To research</t>
        </is>
      </c>
      <c r="P294" t="inlineStr"/>
    </row>
    <row r="295">
      <c r="A295" t="inlineStr">
        <is>
          <t>rice wholesale dubai</t>
        </is>
      </c>
      <c r="B295" t="inlineStr">
        <is>
          <t>Wholesale/B2B</t>
        </is>
      </c>
      <c r="C295" t="inlineStr">
        <is>
          <t>B2B</t>
        </is>
      </c>
      <c r="D295" t="inlineStr">
        <is>
          <t>Transactional (B2B)</t>
        </is>
      </c>
      <c r="E295" t="inlineStr">
        <is>
          <t>BOFU</t>
        </is>
      </c>
      <c r="F295" t="inlineStr">
        <is>
          <t>Dubai</t>
        </is>
      </c>
      <c r="G295" t="inlineStr">
        <is>
          <t>Wholesale landing page</t>
        </is>
      </c>
      <c r="H295" t="inlineStr">
        <is>
          <t>Landing</t>
        </is>
      </c>
      <c r="I295">
        <f>IFERROR(VLOOKUP($A295,'Semrush Import'!$A:$D,2,FALSE),"")</f>
        <v/>
      </c>
      <c r="J295">
        <f>IFERROR(VLOOKUP($A295,'Semrush Import'!$A:$D,3,FALSE),"")</f>
        <v/>
      </c>
      <c r="K295">
        <f>IFERROR(VLOOKUP($A295,'Semrush Import'!$A:$D,4,FALSE),"")</f>
        <v/>
      </c>
      <c r="L295">
        <f>IFERROR(VLOOKUP($A295,'KP Import'!$A:$B,2,FALSE),"")</f>
        <v/>
      </c>
      <c r="M295">
        <f>IF(I295="","",ROUND(I295/(J295+10),1))</f>
        <v/>
      </c>
      <c r="N295">
        <f>IF(M295="","",IF(M295&gt;=20,"A - Go first",IF(M295&gt;=5,"B - Next","C - Later")))</f>
        <v/>
      </c>
      <c r="O295" t="inlineStr">
        <is>
          <t>To research</t>
        </is>
      </c>
      <c r="P295" t="inlineStr"/>
    </row>
    <row r="296">
      <c r="A296" t="inlineStr">
        <is>
          <t>bulk rice dubai</t>
        </is>
      </c>
      <c r="B296" t="inlineStr">
        <is>
          <t>Wholesale/B2B</t>
        </is>
      </c>
      <c r="C296" t="inlineStr">
        <is>
          <t>B2B</t>
        </is>
      </c>
      <c r="D296" t="inlineStr">
        <is>
          <t>Transactional (B2B)</t>
        </is>
      </c>
      <c r="E296" t="inlineStr">
        <is>
          <t>BOFU</t>
        </is>
      </c>
      <c r="F296" t="inlineStr">
        <is>
          <t>Dubai</t>
        </is>
      </c>
      <c r="G296" t="inlineStr">
        <is>
          <t>Wholesale landing page</t>
        </is>
      </c>
      <c r="H296" t="inlineStr">
        <is>
          <t>Landing</t>
        </is>
      </c>
      <c r="I296">
        <f>IFERROR(VLOOKUP($A296,'Semrush Import'!$A:$D,2,FALSE),"")</f>
        <v/>
      </c>
      <c r="J296">
        <f>IFERROR(VLOOKUP($A296,'Semrush Import'!$A:$D,3,FALSE),"")</f>
        <v/>
      </c>
      <c r="K296">
        <f>IFERROR(VLOOKUP($A296,'Semrush Import'!$A:$D,4,FALSE),"")</f>
        <v/>
      </c>
      <c r="L296">
        <f>IFERROR(VLOOKUP($A296,'KP Import'!$A:$B,2,FALSE),"")</f>
        <v/>
      </c>
      <c r="M296">
        <f>IF(I296="","",ROUND(I296/(J296+10),1))</f>
        <v/>
      </c>
      <c r="N296">
        <f>IF(M296="","",IF(M296&gt;=20,"A - Go first",IF(M296&gt;=5,"B - Next","C - Later")))</f>
        <v/>
      </c>
      <c r="O296" t="inlineStr">
        <is>
          <t>To research</t>
        </is>
      </c>
      <c r="P296" t="inlineStr"/>
    </row>
    <row r="297">
      <c r="A297" t="inlineStr">
        <is>
          <t>rice wholesale uae</t>
        </is>
      </c>
      <c r="B297" t="inlineStr">
        <is>
          <t>Wholesale/B2B</t>
        </is>
      </c>
      <c r="C297" t="inlineStr">
        <is>
          <t>B2B</t>
        </is>
      </c>
      <c r="D297" t="inlineStr">
        <is>
          <t>Transactional (B2B)</t>
        </is>
      </c>
      <c r="E297" t="inlineStr">
        <is>
          <t>BOFU</t>
        </is>
      </c>
      <c r="F297" t="inlineStr">
        <is>
          <t>UAE</t>
        </is>
      </c>
      <c r="G297" t="inlineStr">
        <is>
          <t>Wholesale landing page</t>
        </is>
      </c>
      <c r="H297" t="inlineStr">
        <is>
          <t>Landing</t>
        </is>
      </c>
      <c r="I297">
        <f>IFERROR(VLOOKUP($A297,'Semrush Import'!$A:$D,2,FALSE),"")</f>
        <v/>
      </c>
      <c r="J297">
        <f>IFERROR(VLOOKUP($A297,'Semrush Import'!$A:$D,3,FALSE),"")</f>
        <v/>
      </c>
      <c r="K297">
        <f>IFERROR(VLOOKUP($A297,'Semrush Import'!$A:$D,4,FALSE),"")</f>
        <v/>
      </c>
      <c r="L297">
        <f>IFERROR(VLOOKUP($A297,'KP Import'!$A:$B,2,FALSE),"")</f>
        <v/>
      </c>
      <c r="M297">
        <f>IF(I297="","",ROUND(I297/(J297+10),1))</f>
        <v/>
      </c>
      <c r="N297">
        <f>IF(M297="","",IF(M297&gt;=20,"A - Go first",IF(M297&gt;=5,"B - Next","C - Later")))</f>
        <v/>
      </c>
      <c r="O297" t="inlineStr">
        <is>
          <t>To research</t>
        </is>
      </c>
      <c r="P297" t="inlineStr"/>
    </row>
    <row r="298">
      <c r="A298" t="inlineStr">
        <is>
          <t>rice supplier dubai</t>
        </is>
      </c>
      <c r="B298" t="inlineStr">
        <is>
          <t>Wholesale/B2B</t>
        </is>
      </c>
      <c r="C298" t="inlineStr">
        <is>
          <t>B2B</t>
        </is>
      </c>
      <c r="D298" t="inlineStr">
        <is>
          <t>Transactional (B2B)</t>
        </is>
      </c>
      <c r="E298" t="inlineStr">
        <is>
          <t>BOFU</t>
        </is>
      </c>
      <c r="F298" t="inlineStr">
        <is>
          <t>Dubai</t>
        </is>
      </c>
      <c r="G298" t="inlineStr">
        <is>
          <t>Wholesale landing page</t>
        </is>
      </c>
      <c r="H298" t="inlineStr">
        <is>
          <t>Landing</t>
        </is>
      </c>
      <c r="I298">
        <f>IFERROR(VLOOKUP($A298,'Semrush Import'!$A:$D,2,FALSE),"")</f>
        <v/>
      </c>
      <c r="J298">
        <f>IFERROR(VLOOKUP($A298,'Semrush Import'!$A:$D,3,FALSE),"")</f>
        <v/>
      </c>
      <c r="K298">
        <f>IFERROR(VLOOKUP($A298,'Semrush Import'!$A:$D,4,FALSE),"")</f>
        <v/>
      </c>
      <c r="L298">
        <f>IFERROR(VLOOKUP($A298,'KP Import'!$A:$B,2,FALSE),"")</f>
        <v/>
      </c>
      <c r="M298">
        <f>IF(I298="","",ROUND(I298/(J298+10),1))</f>
        <v/>
      </c>
      <c r="N298">
        <f>IF(M298="","",IF(M298&gt;=20,"A - Go first",IF(M298&gt;=5,"B - Next","C - Later")))</f>
        <v/>
      </c>
      <c r="O298" t="inlineStr">
        <is>
          <t>To research</t>
        </is>
      </c>
      <c r="P298" t="inlineStr"/>
    </row>
    <row r="299">
      <c r="A299" t="inlineStr">
        <is>
          <t>rice supplier uae</t>
        </is>
      </c>
      <c r="B299" t="inlineStr">
        <is>
          <t>Wholesale/B2B</t>
        </is>
      </c>
      <c r="C299" t="inlineStr">
        <is>
          <t>B2B</t>
        </is>
      </c>
      <c r="D299" t="inlineStr">
        <is>
          <t>Transactional (B2B)</t>
        </is>
      </c>
      <c r="E299" t="inlineStr">
        <is>
          <t>BOFU</t>
        </is>
      </c>
      <c r="F299" t="inlineStr">
        <is>
          <t>UAE</t>
        </is>
      </c>
      <c r="G299" t="inlineStr">
        <is>
          <t>Wholesale landing page</t>
        </is>
      </c>
      <c r="H299" t="inlineStr">
        <is>
          <t>Landing</t>
        </is>
      </c>
      <c r="I299">
        <f>IFERROR(VLOOKUP($A299,'Semrush Import'!$A:$D,2,FALSE),"")</f>
        <v/>
      </c>
      <c r="J299">
        <f>IFERROR(VLOOKUP($A299,'Semrush Import'!$A:$D,3,FALSE),"")</f>
        <v/>
      </c>
      <c r="K299">
        <f>IFERROR(VLOOKUP($A299,'Semrush Import'!$A:$D,4,FALSE),"")</f>
        <v/>
      </c>
      <c r="L299">
        <f>IFERROR(VLOOKUP($A299,'KP Import'!$A:$B,2,FALSE),"")</f>
        <v/>
      </c>
      <c r="M299">
        <f>IF(I299="","",ROUND(I299/(J299+10),1))</f>
        <v/>
      </c>
      <c r="N299">
        <f>IF(M299="","",IF(M299&gt;=20,"A - Go first",IF(M299&gt;=5,"B - Next","C - Later")))</f>
        <v/>
      </c>
      <c r="O299" t="inlineStr">
        <is>
          <t>To research</t>
        </is>
      </c>
      <c r="P299" t="inlineStr"/>
    </row>
    <row r="300">
      <c r="A300" t="inlineStr">
        <is>
          <t>rice distributor dubai</t>
        </is>
      </c>
      <c r="B300" t="inlineStr">
        <is>
          <t>Wholesale/B2B</t>
        </is>
      </c>
      <c r="C300" t="inlineStr">
        <is>
          <t>B2B</t>
        </is>
      </c>
      <c r="D300" t="inlineStr">
        <is>
          <t>Transactional (B2B)</t>
        </is>
      </c>
      <c r="E300" t="inlineStr">
        <is>
          <t>BOFU</t>
        </is>
      </c>
      <c r="F300" t="inlineStr">
        <is>
          <t>Dubai</t>
        </is>
      </c>
      <c r="G300" t="inlineStr">
        <is>
          <t>Wholesale landing page</t>
        </is>
      </c>
      <c r="H300" t="inlineStr">
        <is>
          <t>Landing</t>
        </is>
      </c>
      <c r="I300">
        <f>IFERROR(VLOOKUP($A300,'Semrush Import'!$A:$D,2,FALSE),"")</f>
        <v/>
      </c>
      <c r="J300">
        <f>IFERROR(VLOOKUP($A300,'Semrush Import'!$A:$D,3,FALSE),"")</f>
        <v/>
      </c>
      <c r="K300">
        <f>IFERROR(VLOOKUP($A300,'Semrush Import'!$A:$D,4,FALSE),"")</f>
        <v/>
      </c>
      <c r="L300">
        <f>IFERROR(VLOOKUP($A300,'KP Import'!$A:$B,2,FALSE),"")</f>
        <v/>
      </c>
      <c r="M300">
        <f>IF(I300="","",ROUND(I300/(J300+10),1))</f>
        <v/>
      </c>
      <c r="N300">
        <f>IF(M300="","",IF(M300&gt;=20,"A - Go first",IF(M300&gt;=5,"B - Next","C - Later")))</f>
        <v/>
      </c>
      <c r="O300" t="inlineStr">
        <is>
          <t>To research</t>
        </is>
      </c>
      <c r="P300" t="inlineStr"/>
    </row>
    <row r="301">
      <c r="A301" t="inlineStr">
        <is>
          <t>rice importer uae</t>
        </is>
      </c>
      <c r="B301" t="inlineStr">
        <is>
          <t>Wholesale/B2B</t>
        </is>
      </c>
      <c r="C301" t="inlineStr">
        <is>
          <t>B2B</t>
        </is>
      </c>
      <c r="D301" t="inlineStr">
        <is>
          <t>Transactional (B2B)</t>
        </is>
      </c>
      <c r="E301" t="inlineStr">
        <is>
          <t>BOFU</t>
        </is>
      </c>
      <c r="F301" t="inlineStr">
        <is>
          <t>UAE</t>
        </is>
      </c>
      <c r="G301" t="inlineStr">
        <is>
          <t>Wholesale landing page</t>
        </is>
      </c>
      <c r="H301" t="inlineStr">
        <is>
          <t>Landing</t>
        </is>
      </c>
      <c r="I301">
        <f>IFERROR(VLOOKUP($A301,'Semrush Import'!$A:$D,2,FALSE),"")</f>
        <v/>
      </c>
      <c r="J301">
        <f>IFERROR(VLOOKUP($A301,'Semrush Import'!$A:$D,3,FALSE),"")</f>
        <v/>
      </c>
      <c r="K301">
        <f>IFERROR(VLOOKUP($A301,'Semrush Import'!$A:$D,4,FALSE),"")</f>
        <v/>
      </c>
      <c r="L301">
        <f>IFERROR(VLOOKUP($A301,'KP Import'!$A:$B,2,FALSE),"")</f>
        <v/>
      </c>
      <c r="M301">
        <f>IF(I301="","",ROUND(I301/(J301+10),1))</f>
        <v/>
      </c>
      <c r="N301">
        <f>IF(M301="","",IF(M301&gt;=20,"A - Go first",IF(M301&gt;=5,"B - Next","C - Later")))</f>
        <v/>
      </c>
      <c r="O301" t="inlineStr">
        <is>
          <t>To research</t>
        </is>
      </c>
      <c r="P301" t="inlineStr"/>
    </row>
    <row r="302">
      <c r="A302" t="inlineStr">
        <is>
          <t>rice trading company dubai</t>
        </is>
      </c>
      <c r="B302" t="inlineStr">
        <is>
          <t>Wholesale/B2B</t>
        </is>
      </c>
      <c r="C302" t="inlineStr">
        <is>
          <t>B2B</t>
        </is>
      </c>
      <c r="D302" t="inlineStr">
        <is>
          <t>Transactional (B2B)</t>
        </is>
      </c>
      <c r="E302" t="inlineStr">
        <is>
          <t>BOFU</t>
        </is>
      </c>
      <c r="F302" t="inlineStr">
        <is>
          <t>Dubai</t>
        </is>
      </c>
      <c r="G302" t="inlineStr">
        <is>
          <t>Wholesale landing page</t>
        </is>
      </c>
      <c r="H302" t="inlineStr">
        <is>
          <t>Landing</t>
        </is>
      </c>
      <c r="I302">
        <f>IFERROR(VLOOKUP($A302,'Semrush Import'!$A:$D,2,FALSE),"")</f>
        <v/>
      </c>
      <c r="J302">
        <f>IFERROR(VLOOKUP($A302,'Semrush Import'!$A:$D,3,FALSE),"")</f>
        <v/>
      </c>
      <c r="K302">
        <f>IFERROR(VLOOKUP($A302,'Semrush Import'!$A:$D,4,FALSE),"")</f>
        <v/>
      </c>
      <c r="L302">
        <f>IFERROR(VLOOKUP($A302,'KP Import'!$A:$B,2,FALSE),"")</f>
        <v/>
      </c>
      <c r="M302">
        <f>IF(I302="","",ROUND(I302/(J302+10),1))</f>
        <v/>
      </c>
      <c r="N302">
        <f>IF(M302="","",IF(M302&gt;=20,"A - Go first",IF(M302&gt;=5,"B - Next","C - Later")))</f>
        <v/>
      </c>
      <c r="O302" t="inlineStr">
        <is>
          <t>To research</t>
        </is>
      </c>
      <c r="P302" t="inlineStr"/>
    </row>
    <row r="303">
      <c r="A303" t="inlineStr">
        <is>
          <t>rice trading llc dubai</t>
        </is>
      </c>
      <c r="B303" t="inlineStr">
        <is>
          <t>Wholesale/B2B</t>
        </is>
      </c>
      <c r="C303" t="inlineStr">
        <is>
          <t>B2B</t>
        </is>
      </c>
      <c r="D303" t="inlineStr">
        <is>
          <t>Transactional (B2B)</t>
        </is>
      </c>
      <c r="E303" t="inlineStr">
        <is>
          <t>BOFU</t>
        </is>
      </c>
      <c r="F303" t="inlineStr">
        <is>
          <t>Dubai</t>
        </is>
      </c>
      <c r="G303" t="inlineStr">
        <is>
          <t>Wholesale landing page</t>
        </is>
      </c>
      <c r="H303" t="inlineStr">
        <is>
          <t>Landing</t>
        </is>
      </c>
      <c r="I303">
        <f>IFERROR(VLOOKUP($A303,'Semrush Import'!$A:$D,2,FALSE),"")</f>
        <v/>
      </c>
      <c r="J303">
        <f>IFERROR(VLOOKUP($A303,'Semrush Import'!$A:$D,3,FALSE),"")</f>
        <v/>
      </c>
      <c r="K303">
        <f>IFERROR(VLOOKUP($A303,'Semrush Import'!$A:$D,4,FALSE),"")</f>
        <v/>
      </c>
      <c r="L303">
        <f>IFERROR(VLOOKUP($A303,'KP Import'!$A:$B,2,FALSE),"")</f>
        <v/>
      </c>
      <c r="M303">
        <f>IF(I303="","",ROUND(I303/(J303+10),1))</f>
        <v/>
      </c>
      <c r="N303">
        <f>IF(M303="","",IF(M303&gt;=20,"A - Go first",IF(M303&gt;=5,"B - Next","C - Later")))</f>
        <v/>
      </c>
      <c r="O303" t="inlineStr">
        <is>
          <t>To research</t>
        </is>
      </c>
      <c r="P303" t="inlineStr"/>
    </row>
    <row r="304">
      <c r="A304" t="inlineStr">
        <is>
          <t>rice wholesale market dubai</t>
        </is>
      </c>
      <c r="B304" t="inlineStr">
        <is>
          <t>Wholesale/B2B</t>
        </is>
      </c>
      <c r="C304" t="inlineStr">
        <is>
          <t>B2B</t>
        </is>
      </c>
      <c r="D304" t="inlineStr">
        <is>
          <t>Transactional (B2B)</t>
        </is>
      </c>
      <c r="E304" t="inlineStr">
        <is>
          <t>BOFU</t>
        </is>
      </c>
      <c r="F304" t="inlineStr">
        <is>
          <t>Dubai</t>
        </is>
      </c>
      <c r="G304" t="inlineStr">
        <is>
          <t>Wholesale landing page</t>
        </is>
      </c>
      <c r="H304" t="inlineStr">
        <is>
          <t>Landing</t>
        </is>
      </c>
      <c r="I304">
        <f>IFERROR(VLOOKUP($A304,'Semrush Import'!$A:$D,2,FALSE),"")</f>
        <v/>
      </c>
      <c r="J304">
        <f>IFERROR(VLOOKUP($A304,'Semrush Import'!$A:$D,3,FALSE),"")</f>
        <v/>
      </c>
      <c r="K304">
        <f>IFERROR(VLOOKUP($A304,'Semrush Import'!$A:$D,4,FALSE),"")</f>
        <v/>
      </c>
      <c r="L304">
        <f>IFERROR(VLOOKUP($A304,'KP Import'!$A:$B,2,FALSE),"")</f>
        <v/>
      </c>
      <c r="M304">
        <f>IF(I304="","",ROUND(I304/(J304+10),1))</f>
        <v/>
      </c>
      <c r="N304">
        <f>IF(M304="","",IF(M304&gt;=20,"A - Go first",IF(M304&gt;=5,"B - Next","C - Later")))</f>
        <v/>
      </c>
      <c r="O304" t="inlineStr">
        <is>
          <t>To research</t>
        </is>
      </c>
      <c r="P304" t="inlineStr"/>
    </row>
    <row r="305">
      <c r="A305" t="inlineStr">
        <is>
          <t>rice wholesaler near me</t>
        </is>
      </c>
      <c r="B305" t="inlineStr">
        <is>
          <t>Wholesale/B2B</t>
        </is>
      </c>
      <c r="C305" t="inlineStr">
        <is>
          <t>B2B</t>
        </is>
      </c>
      <c r="D305" t="inlineStr">
        <is>
          <t>Transactional (B2B)</t>
        </is>
      </c>
      <c r="E305" t="inlineStr">
        <is>
          <t>BOFU</t>
        </is>
      </c>
      <c r="F305" t="inlineStr">
        <is>
          <t>UAE</t>
        </is>
      </c>
      <c r="G305" t="inlineStr">
        <is>
          <t>Wholesale landing page</t>
        </is>
      </c>
      <c r="H305" t="inlineStr">
        <is>
          <t>Landing</t>
        </is>
      </c>
      <c r="I305">
        <f>IFERROR(VLOOKUP($A305,'Semrush Import'!$A:$D,2,FALSE),"")</f>
        <v/>
      </c>
      <c r="J305">
        <f>IFERROR(VLOOKUP($A305,'Semrush Import'!$A:$D,3,FALSE),"")</f>
        <v/>
      </c>
      <c r="K305">
        <f>IFERROR(VLOOKUP($A305,'Semrush Import'!$A:$D,4,FALSE),"")</f>
        <v/>
      </c>
      <c r="L305">
        <f>IFERROR(VLOOKUP($A305,'KP Import'!$A:$B,2,FALSE),"")</f>
        <v/>
      </c>
      <c r="M305">
        <f>IF(I305="","",ROUND(I305/(J305+10),1))</f>
        <v/>
      </c>
      <c r="N305">
        <f>IF(M305="","",IF(M305&gt;=20,"A - Go first",IF(M305&gt;=5,"B - Next","C - Later")))</f>
        <v/>
      </c>
      <c r="O305" t="inlineStr">
        <is>
          <t>To research</t>
        </is>
      </c>
      <c r="P305" t="inlineStr"/>
    </row>
    <row r="306">
      <c r="A306" t="inlineStr">
        <is>
          <t>bulk rice for restaurants dubai</t>
        </is>
      </c>
      <c r="B306" t="inlineStr">
        <is>
          <t>Wholesale/B2B</t>
        </is>
      </c>
      <c r="C306" t="inlineStr">
        <is>
          <t>B2B</t>
        </is>
      </c>
      <c r="D306" t="inlineStr">
        <is>
          <t>Transactional (B2B)</t>
        </is>
      </c>
      <c r="E306" t="inlineStr">
        <is>
          <t>BOFU</t>
        </is>
      </c>
      <c r="F306" t="inlineStr">
        <is>
          <t>Dubai</t>
        </is>
      </c>
      <c r="G306" t="inlineStr">
        <is>
          <t>Wholesale landing page</t>
        </is>
      </c>
      <c r="H306" t="inlineStr">
        <is>
          <t>Landing</t>
        </is>
      </c>
      <c r="I306">
        <f>IFERROR(VLOOKUP($A306,'Semrush Import'!$A:$D,2,FALSE),"")</f>
        <v/>
      </c>
      <c r="J306">
        <f>IFERROR(VLOOKUP($A306,'Semrush Import'!$A:$D,3,FALSE),"")</f>
        <v/>
      </c>
      <c r="K306">
        <f>IFERROR(VLOOKUP($A306,'Semrush Import'!$A:$D,4,FALSE),"")</f>
        <v/>
      </c>
      <c r="L306">
        <f>IFERROR(VLOOKUP($A306,'KP Import'!$A:$B,2,FALSE),"")</f>
        <v/>
      </c>
      <c r="M306">
        <f>IF(I306="","",ROUND(I306/(J306+10),1))</f>
        <v/>
      </c>
      <c r="N306">
        <f>IF(M306="","",IF(M306&gt;=20,"A - Go first",IF(M306&gt;=5,"B - Next","C - Later")))</f>
        <v/>
      </c>
      <c r="O306" t="inlineStr">
        <is>
          <t>To research</t>
        </is>
      </c>
      <c r="P306" t="inlineStr"/>
    </row>
    <row r="307">
      <c r="A307" t="inlineStr">
        <is>
          <t>rice for catering dubai</t>
        </is>
      </c>
      <c r="B307" t="inlineStr">
        <is>
          <t>Wholesale/B2B</t>
        </is>
      </c>
      <c r="C307" t="inlineStr">
        <is>
          <t>B2B</t>
        </is>
      </c>
      <c r="D307" t="inlineStr">
        <is>
          <t>Transactional (B2B)</t>
        </is>
      </c>
      <c r="E307" t="inlineStr">
        <is>
          <t>BOFU</t>
        </is>
      </c>
      <c r="F307" t="inlineStr">
        <is>
          <t>Dubai</t>
        </is>
      </c>
      <c r="G307" t="inlineStr">
        <is>
          <t>Wholesale landing page</t>
        </is>
      </c>
      <c r="H307" t="inlineStr">
        <is>
          <t>Landing</t>
        </is>
      </c>
      <c r="I307">
        <f>IFERROR(VLOOKUP($A307,'Semrush Import'!$A:$D,2,FALSE),"")</f>
        <v/>
      </c>
      <c r="J307">
        <f>IFERROR(VLOOKUP($A307,'Semrush Import'!$A:$D,3,FALSE),"")</f>
        <v/>
      </c>
      <c r="K307">
        <f>IFERROR(VLOOKUP($A307,'Semrush Import'!$A:$D,4,FALSE),"")</f>
        <v/>
      </c>
      <c r="L307">
        <f>IFERROR(VLOOKUP($A307,'KP Import'!$A:$B,2,FALSE),"")</f>
        <v/>
      </c>
      <c r="M307">
        <f>IF(I307="","",ROUND(I307/(J307+10),1))</f>
        <v/>
      </c>
      <c r="N307">
        <f>IF(M307="","",IF(M307&gt;=20,"A - Go first",IF(M307&gt;=5,"B - Next","C - Later")))</f>
        <v/>
      </c>
      <c r="O307" t="inlineStr">
        <is>
          <t>To research</t>
        </is>
      </c>
      <c r="P307" t="inlineStr"/>
    </row>
    <row r="308">
      <c r="A308" t="inlineStr">
        <is>
          <t>rice supplier for hotels uae</t>
        </is>
      </c>
      <c r="B308" t="inlineStr">
        <is>
          <t>Wholesale/B2B</t>
        </is>
      </c>
      <c r="C308" t="inlineStr">
        <is>
          <t>B2B</t>
        </is>
      </c>
      <c r="D308" t="inlineStr">
        <is>
          <t>Transactional (B2B)</t>
        </is>
      </c>
      <c r="E308" t="inlineStr">
        <is>
          <t>BOFU</t>
        </is>
      </c>
      <c r="F308" t="inlineStr">
        <is>
          <t>UAE</t>
        </is>
      </c>
      <c r="G308" t="inlineStr">
        <is>
          <t>Wholesale landing page</t>
        </is>
      </c>
      <c r="H308" t="inlineStr">
        <is>
          <t>Landing</t>
        </is>
      </c>
      <c r="I308">
        <f>IFERROR(VLOOKUP($A308,'Semrush Import'!$A:$D,2,FALSE),"")</f>
        <v/>
      </c>
      <c r="J308">
        <f>IFERROR(VLOOKUP($A308,'Semrush Import'!$A:$D,3,FALSE),"")</f>
        <v/>
      </c>
      <c r="K308">
        <f>IFERROR(VLOOKUP($A308,'Semrush Import'!$A:$D,4,FALSE),"")</f>
        <v/>
      </c>
      <c r="L308">
        <f>IFERROR(VLOOKUP($A308,'KP Import'!$A:$B,2,FALSE),"")</f>
        <v/>
      </c>
      <c r="M308">
        <f>IF(I308="","",ROUND(I308/(J308+10),1))</f>
        <v/>
      </c>
      <c r="N308">
        <f>IF(M308="","",IF(M308&gt;=20,"A - Go first",IF(M308&gt;=5,"B - Next","C - Later")))</f>
        <v/>
      </c>
      <c r="O308" t="inlineStr">
        <is>
          <t>To research</t>
        </is>
      </c>
      <c r="P308" t="inlineStr"/>
    </row>
    <row r="309">
      <c r="A309" t="inlineStr">
        <is>
          <t>rice for restaurants uae</t>
        </is>
      </c>
      <c r="B309" t="inlineStr">
        <is>
          <t>Wholesale/B2B</t>
        </is>
      </c>
      <c r="C309" t="inlineStr">
        <is>
          <t>B2B</t>
        </is>
      </c>
      <c r="D309" t="inlineStr">
        <is>
          <t>Transactional (B2B)</t>
        </is>
      </c>
      <c r="E309" t="inlineStr">
        <is>
          <t>BOFU</t>
        </is>
      </c>
      <c r="F309" t="inlineStr">
        <is>
          <t>UAE</t>
        </is>
      </c>
      <c r="G309" t="inlineStr">
        <is>
          <t>Wholesale landing page</t>
        </is>
      </c>
      <c r="H309" t="inlineStr">
        <is>
          <t>Landing</t>
        </is>
      </c>
      <c r="I309">
        <f>IFERROR(VLOOKUP($A309,'Semrush Import'!$A:$D,2,FALSE),"")</f>
        <v/>
      </c>
      <c r="J309">
        <f>IFERROR(VLOOKUP($A309,'Semrush Import'!$A:$D,3,FALSE),"")</f>
        <v/>
      </c>
      <c r="K309">
        <f>IFERROR(VLOOKUP($A309,'Semrush Import'!$A:$D,4,FALSE),"")</f>
        <v/>
      </c>
      <c r="L309">
        <f>IFERROR(VLOOKUP($A309,'KP Import'!$A:$B,2,FALSE),"")</f>
        <v/>
      </c>
      <c r="M309">
        <f>IF(I309="","",ROUND(I309/(J309+10),1))</f>
        <v/>
      </c>
      <c r="N309">
        <f>IF(M309="","",IF(M309&gt;=20,"A - Go first",IF(M309&gt;=5,"B - Next","C - Later")))</f>
        <v/>
      </c>
      <c r="O309" t="inlineStr">
        <is>
          <t>To research</t>
        </is>
      </c>
      <c r="P309" t="inlineStr"/>
    </row>
    <row r="310">
      <c r="A310" t="inlineStr">
        <is>
          <t>rice for canteens dubai</t>
        </is>
      </c>
      <c r="B310" t="inlineStr">
        <is>
          <t>Wholesale/B2B</t>
        </is>
      </c>
      <c r="C310" t="inlineStr">
        <is>
          <t>B2B</t>
        </is>
      </c>
      <c r="D310" t="inlineStr">
        <is>
          <t>Transactional (B2B)</t>
        </is>
      </c>
      <c r="E310" t="inlineStr">
        <is>
          <t>BOFU</t>
        </is>
      </c>
      <c r="F310" t="inlineStr">
        <is>
          <t>Dubai</t>
        </is>
      </c>
      <c r="G310" t="inlineStr">
        <is>
          <t>Wholesale landing page</t>
        </is>
      </c>
      <c r="H310" t="inlineStr">
        <is>
          <t>Landing</t>
        </is>
      </c>
      <c r="I310">
        <f>IFERROR(VLOOKUP($A310,'Semrush Import'!$A:$D,2,FALSE),"")</f>
        <v/>
      </c>
      <c r="J310">
        <f>IFERROR(VLOOKUP($A310,'Semrush Import'!$A:$D,3,FALSE),"")</f>
        <v/>
      </c>
      <c r="K310">
        <f>IFERROR(VLOOKUP($A310,'Semrush Import'!$A:$D,4,FALSE),"")</f>
        <v/>
      </c>
      <c r="L310">
        <f>IFERROR(VLOOKUP($A310,'KP Import'!$A:$B,2,FALSE),"")</f>
        <v/>
      </c>
      <c r="M310">
        <f>IF(I310="","",ROUND(I310/(J310+10),1))</f>
        <v/>
      </c>
      <c r="N310">
        <f>IF(M310="","",IF(M310&gt;=20,"A - Go first",IF(M310&gt;=5,"B - Next","C - Later")))</f>
        <v/>
      </c>
      <c r="O310" t="inlineStr">
        <is>
          <t>To research</t>
        </is>
      </c>
      <c r="P310" t="inlineStr"/>
    </row>
    <row r="311">
      <c r="A311" t="inlineStr">
        <is>
          <t>wholesale rice price dubai</t>
        </is>
      </c>
      <c r="B311" t="inlineStr">
        <is>
          <t>Wholesale/B2B</t>
        </is>
      </c>
      <c r="C311" t="inlineStr">
        <is>
          <t>B2B</t>
        </is>
      </c>
      <c r="D311" t="inlineStr">
        <is>
          <t>Transactional (B2B)</t>
        </is>
      </c>
      <c r="E311" t="inlineStr">
        <is>
          <t>BOFU</t>
        </is>
      </c>
      <c r="F311" t="inlineStr">
        <is>
          <t>Dubai</t>
        </is>
      </c>
      <c r="G311" t="inlineStr">
        <is>
          <t>Wholesale landing page</t>
        </is>
      </c>
      <c r="H311" t="inlineStr">
        <is>
          <t>Landing</t>
        </is>
      </c>
      <c r="I311">
        <f>IFERROR(VLOOKUP($A311,'Semrush Import'!$A:$D,2,FALSE),"")</f>
        <v/>
      </c>
      <c r="J311">
        <f>IFERROR(VLOOKUP($A311,'Semrush Import'!$A:$D,3,FALSE),"")</f>
        <v/>
      </c>
      <c r="K311">
        <f>IFERROR(VLOOKUP($A311,'Semrush Import'!$A:$D,4,FALSE),"")</f>
        <v/>
      </c>
      <c r="L311">
        <f>IFERROR(VLOOKUP($A311,'KP Import'!$A:$B,2,FALSE),"")</f>
        <v/>
      </c>
      <c r="M311">
        <f>IF(I311="","",ROUND(I311/(J311+10),1))</f>
        <v/>
      </c>
      <c r="N311">
        <f>IF(M311="","",IF(M311&gt;=20,"A - Go first",IF(M311&gt;=5,"B - Next","C - Later")))</f>
        <v/>
      </c>
      <c r="O311" t="inlineStr">
        <is>
          <t>To research</t>
        </is>
      </c>
      <c r="P311" t="inlineStr"/>
    </row>
    <row r="312">
      <c r="A312" t="inlineStr">
        <is>
          <t>bulk basmati rice uae</t>
        </is>
      </c>
      <c r="B312" t="inlineStr">
        <is>
          <t>Wholesale/B2B</t>
        </is>
      </c>
      <c r="C312" t="inlineStr">
        <is>
          <t>B2B</t>
        </is>
      </c>
      <c r="D312" t="inlineStr">
        <is>
          <t>Transactional (B2B)</t>
        </is>
      </c>
      <c r="E312" t="inlineStr">
        <is>
          <t>BOFU</t>
        </is>
      </c>
      <c r="F312" t="inlineStr">
        <is>
          <t>UAE</t>
        </is>
      </c>
      <c r="G312" t="inlineStr">
        <is>
          <t>Wholesale landing page</t>
        </is>
      </c>
      <c r="H312" t="inlineStr">
        <is>
          <t>Landing</t>
        </is>
      </c>
      <c r="I312">
        <f>IFERROR(VLOOKUP($A312,'Semrush Import'!$A:$D,2,FALSE),"")</f>
        <v/>
      </c>
      <c r="J312">
        <f>IFERROR(VLOOKUP($A312,'Semrush Import'!$A:$D,3,FALSE),"")</f>
        <v/>
      </c>
      <c r="K312">
        <f>IFERROR(VLOOKUP($A312,'Semrush Import'!$A:$D,4,FALSE),"")</f>
        <v/>
      </c>
      <c r="L312">
        <f>IFERROR(VLOOKUP($A312,'KP Import'!$A:$B,2,FALSE),"")</f>
        <v/>
      </c>
      <c r="M312">
        <f>IF(I312="","",ROUND(I312/(J312+10),1))</f>
        <v/>
      </c>
      <c r="N312">
        <f>IF(M312="","",IF(M312&gt;=20,"A - Go first",IF(M312&gt;=5,"B - Next","C - Later")))</f>
        <v/>
      </c>
      <c r="O312" t="inlineStr">
        <is>
          <t>To research</t>
        </is>
      </c>
      <c r="P312" t="inlineStr"/>
    </row>
    <row r="313">
      <c r="A313" t="inlineStr">
        <is>
          <t>rice wholesale sharjah</t>
        </is>
      </c>
      <c r="B313" t="inlineStr">
        <is>
          <t>Wholesale/B2B</t>
        </is>
      </c>
      <c r="C313" t="inlineStr">
        <is>
          <t>B2B</t>
        </is>
      </c>
      <c r="D313" t="inlineStr">
        <is>
          <t>Transactional (B2B)</t>
        </is>
      </c>
      <c r="E313" t="inlineStr">
        <is>
          <t>BOFU</t>
        </is>
      </c>
      <c r="F313" t="inlineStr">
        <is>
          <t>Sharjah</t>
        </is>
      </c>
      <c r="G313" t="inlineStr">
        <is>
          <t>Wholesale landing page</t>
        </is>
      </c>
      <c r="H313" t="inlineStr">
        <is>
          <t>Landing</t>
        </is>
      </c>
      <c r="I313">
        <f>IFERROR(VLOOKUP($A313,'Semrush Import'!$A:$D,2,FALSE),"")</f>
        <v/>
      </c>
      <c r="J313">
        <f>IFERROR(VLOOKUP($A313,'Semrush Import'!$A:$D,3,FALSE),"")</f>
        <v/>
      </c>
      <c r="K313">
        <f>IFERROR(VLOOKUP($A313,'Semrush Import'!$A:$D,4,FALSE),"")</f>
        <v/>
      </c>
      <c r="L313">
        <f>IFERROR(VLOOKUP($A313,'KP Import'!$A:$B,2,FALSE),"")</f>
        <v/>
      </c>
      <c r="M313">
        <f>IF(I313="","",ROUND(I313/(J313+10),1))</f>
        <v/>
      </c>
      <c r="N313">
        <f>IF(M313="","",IF(M313&gt;=20,"A - Go first",IF(M313&gt;=5,"B - Next","C - Later")))</f>
        <v/>
      </c>
      <c r="O313" t="inlineStr">
        <is>
          <t>To research</t>
        </is>
      </c>
      <c r="P313" t="inlineStr"/>
    </row>
    <row r="314">
      <c r="A314" t="inlineStr">
        <is>
          <t>rice supplier abu dhabi</t>
        </is>
      </c>
      <c r="B314" t="inlineStr">
        <is>
          <t>Wholesale/B2B</t>
        </is>
      </c>
      <c r="C314" t="inlineStr">
        <is>
          <t>B2B</t>
        </is>
      </c>
      <c r="D314" t="inlineStr">
        <is>
          <t>Transactional (B2B)</t>
        </is>
      </c>
      <c r="E314" t="inlineStr">
        <is>
          <t>BOFU</t>
        </is>
      </c>
      <c r="F314" t="inlineStr">
        <is>
          <t>Abu Dhabi</t>
        </is>
      </c>
      <c r="G314" t="inlineStr">
        <is>
          <t>Wholesale landing page</t>
        </is>
      </c>
      <c r="H314" t="inlineStr">
        <is>
          <t>Landing</t>
        </is>
      </c>
      <c r="I314">
        <f>IFERROR(VLOOKUP($A314,'Semrush Import'!$A:$D,2,FALSE),"")</f>
        <v/>
      </c>
      <c r="J314">
        <f>IFERROR(VLOOKUP($A314,'Semrush Import'!$A:$D,3,FALSE),"")</f>
        <v/>
      </c>
      <c r="K314">
        <f>IFERROR(VLOOKUP($A314,'Semrush Import'!$A:$D,4,FALSE),"")</f>
        <v/>
      </c>
      <c r="L314">
        <f>IFERROR(VLOOKUP($A314,'KP Import'!$A:$B,2,FALSE),"")</f>
        <v/>
      </c>
      <c r="M314">
        <f>IF(I314="","",ROUND(I314/(J314+10),1))</f>
        <v/>
      </c>
      <c r="N314">
        <f>IF(M314="","",IF(M314&gt;=20,"A - Go first",IF(M314&gt;=5,"B - Next","C - Later")))</f>
        <v/>
      </c>
      <c r="O314" t="inlineStr">
        <is>
          <t>To research</t>
        </is>
      </c>
      <c r="P314" t="inlineStr"/>
    </row>
    <row r="315">
      <c r="A315" t="inlineStr">
        <is>
          <t>rice suppliers in ajman</t>
        </is>
      </c>
      <c r="B315" t="inlineStr">
        <is>
          <t>Wholesale/B2B</t>
        </is>
      </c>
      <c r="C315" t="inlineStr">
        <is>
          <t>B2B</t>
        </is>
      </c>
      <c r="D315" t="inlineStr">
        <is>
          <t>Transactional (B2B)</t>
        </is>
      </c>
      <c r="E315" t="inlineStr">
        <is>
          <t>BOFU</t>
        </is>
      </c>
      <c r="F315" t="inlineStr">
        <is>
          <t>Ajman</t>
        </is>
      </c>
      <c r="G315" t="inlineStr">
        <is>
          <t>Wholesale landing page</t>
        </is>
      </c>
      <c r="H315" t="inlineStr">
        <is>
          <t>Landing</t>
        </is>
      </c>
      <c r="I315">
        <f>IFERROR(VLOOKUP($A315,'Semrush Import'!$A:$D,2,FALSE),"")</f>
        <v/>
      </c>
      <c r="J315">
        <f>IFERROR(VLOOKUP($A315,'Semrush Import'!$A:$D,3,FALSE),"")</f>
        <v/>
      </c>
      <c r="K315">
        <f>IFERROR(VLOOKUP($A315,'Semrush Import'!$A:$D,4,FALSE),"")</f>
        <v/>
      </c>
      <c r="L315">
        <f>IFERROR(VLOOKUP($A315,'KP Import'!$A:$B,2,FALSE),"")</f>
        <v/>
      </c>
      <c r="M315">
        <f>IF(I315="","",ROUND(I315/(J315+10),1))</f>
        <v/>
      </c>
      <c r="N315">
        <f>IF(M315="","",IF(M315&gt;=20,"A - Go first",IF(M315&gt;=5,"B - Next","C - Later")))</f>
        <v/>
      </c>
      <c r="O315" t="inlineStr">
        <is>
          <t>To research</t>
        </is>
      </c>
      <c r="P315" t="inlineStr"/>
    </row>
    <row r="316">
      <c r="A316" t="inlineStr">
        <is>
          <t>rice exporter to uae</t>
        </is>
      </c>
      <c r="B316" t="inlineStr">
        <is>
          <t>Wholesale/B2B</t>
        </is>
      </c>
      <c r="C316" t="inlineStr">
        <is>
          <t>B2B</t>
        </is>
      </c>
      <c r="D316" t="inlineStr">
        <is>
          <t>Transactional (B2B)</t>
        </is>
      </c>
      <c r="E316" t="inlineStr">
        <is>
          <t>BOFU</t>
        </is>
      </c>
      <c r="F316" t="inlineStr">
        <is>
          <t>UAE</t>
        </is>
      </c>
      <c r="G316" t="inlineStr">
        <is>
          <t>Wholesale landing page</t>
        </is>
      </c>
      <c r="H316" t="inlineStr">
        <is>
          <t>Landing</t>
        </is>
      </c>
      <c r="I316">
        <f>IFERROR(VLOOKUP($A316,'Semrush Import'!$A:$D,2,FALSE),"")</f>
        <v/>
      </c>
      <c r="J316">
        <f>IFERROR(VLOOKUP($A316,'Semrush Import'!$A:$D,3,FALSE),"")</f>
        <v/>
      </c>
      <c r="K316">
        <f>IFERROR(VLOOKUP($A316,'Semrush Import'!$A:$D,4,FALSE),"")</f>
        <v/>
      </c>
      <c r="L316">
        <f>IFERROR(VLOOKUP($A316,'KP Import'!$A:$B,2,FALSE),"")</f>
        <v/>
      </c>
      <c r="M316">
        <f>IF(I316="","",ROUND(I316/(J316+10),1))</f>
        <v/>
      </c>
      <c r="N316">
        <f>IF(M316="","",IF(M316&gt;=20,"A - Go first",IF(M316&gt;=5,"B - Next","C - Later")))</f>
        <v/>
      </c>
      <c r="O316" t="inlineStr">
        <is>
          <t>To research</t>
        </is>
      </c>
      <c r="P316" t="inlineStr"/>
    </row>
    <row r="317">
      <c r="A317" t="inlineStr">
        <is>
          <t>indian rice exporters uae</t>
        </is>
      </c>
      <c r="B317" t="inlineStr">
        <is>
          <t>Wholesale/B2B</t>
        </is>
      </c>
      <c r="C317" t="inlineStr">
        <is>
          <t>B2B</t>
        </is>
      </c>
      <c r="D317" t="inlineStr">
        <is>
          <t>Transactional (B2B)</t>
        </is>
      </c>
      <c r="E317" t="inlineStr">
        <is>
          <t>BOFU</t>
        </is>
      </c>
      <c r="F317" t="inlineStr">
        <is>
          <t>UAE</t>
        </is>
      </c>
      <c r="G317" t="inlineStr">
        <is>
          <t>Wholesale landing page</t>
        </is>
      </c>
      <c r="H317" t="inlineStr">
        <is>
          <t>Landing</t>
        </is>
      </c>
      <c r="I317">
        <f>IFERROR(VLOOKUP($A317,'Semrush Import'!$A:$D,2,FALSE),"")</f>
        <v/>
      </c>
      <c r="J317">
        <f>IFERROR(VLOOKUP($A317,'Semrush Import'!$A:$D,3,FALSE),"")</f>
        <v/>
      </c>
      <c r="K317">
        <f>IFERROR(VLOOKUP($A317,'Semrush Import'!$A:$D,4,FALSE),"")</f>
        <v/>
      </c>
      <c r="L317">
        <f>IFERROR(VLOOKUP($A317,'KP Import'!$A:$B,2,FALSE),"")</f>
        <v/>
      </c>
      <c r="M317">
        <f>IF(I317="","",ROUND(I317/(J317+10),1))</f>
        <v/>
      </c>
      <c r="N317">
        <f>IF(M317="","",IF(M317&gt;=20,"A - Go first",IF(M317&gt;=5,"B - Next","C - Later")))</f>
        <v/>
      </c>
      <c r="O317" t="inlineStr">
        <is>
          <t>To research</t>
        </is>
      </c>
      <c r="P317" t="inlineStr"/>
    </row>
    <row r="318">
      <c r="A318" t="inlineStr">
        <is>
          <t>private label rice uae</t>
        </is>
      </c>
      <c r="B318" t="inlineStr">
        <is>
          <t>Wholesale/B2B</t>
        </is>
      </c>
      <c r="C318" t="inlineStr">
        <is>
          <t>B2B</t>
        </is>
      </c>
      <c r="D318" t="inlineStr">
        <is>
          <t>Transactional (B2B)</t>
        </is>
      </c>
      <c r="E318" t="inlineStr">
        <is>
          <t>BOFU</t>
        </is>
      </c>
      <c r="F318" t="inlineStr">
        <is>
          <t>UAE</t>
        </is>
      </c>
      <c r="G318" t="inlineStr">
        <is>
          <t>Wholesale landing page</t>
        </is>
      </c>
      <c r="H318" t="inlineStr">
        <is>
          <t>Landing</t>
        </is>
      </c>
      <c r="I318">
        <f>IFERROR(VLOOKUP($A318,'Semrush Import'!$A:$D,2,FALSE),"")</f>
        <v/>
      </c>
      <c r="J318">
        <f>IFERROR(VLOOKUP($A318,'Semrush Import'!$A:$D,3,FALSE),"")</f>
        <v/>
      </c>
      <c r="K318">
        <f>IFERROR(VLOOKUP($A318,'Semrush Import'!$A:$D,4,FALSE),"")</f>
        <v/>
      </c>
      <c r="L318">
        <f>IFERROR(VLOOKUP($A318,'KP Import'!$A:$B,2,FALSE),"")</f>
        <v/>
      </c>
      <c r="M318">
        <f>IF(I318="","",ROUND(I318/(J318+10),1))</f>
        <v/>
      </c>
      <c r="N318">
        <f>IF(M318="","",IF(M318&gt;=20,"A - Go first",IF(M318&gt;=5,"B - Next","C - Later")))</f>
        <v/>
      </c>
      <c r="O318" t="inlineStr">
        <is>
          <t>To research</t>
        </is>
      </c>
      <c r="P318" t="inlineStr"/>
    </row>
    <row r="319">
      <c r="A319" t="inlineStr">
        <is>
          <t>rice in bulk 50kg uae</t>
        </is>
      </c>
      <c r="B319" t="inlineStr">
        <is>
          <t>Wholesale/B2B</t>
        </is>
      </c>
      <c r="C319" t="inlineStr">
        <is>
          <t>B2B</t>
        </is>
      </c>
      <c r="D319" t="inlineStr">
        <is>
          <t>Transactional (B2B)</t>
        </is>
      </c>
      <c r="E319" t="inlineStr">
        <is>
          <t>BOFU</t>
        </is>
      </c>
      <c r="F319" t="inlineStr">
        <is>
          <t>UAE</t>
        </is>
      </c>
      <c r="G319" t="inlineStr">
        <is>
          <t>Wholesale landing page</t>
        </is>
      </c>
      <c r="H319" t="inlineStr">
        <is>
          <t>Landing</t>
        </is>
      </c>
      <c r="I319">
        <f>IFERROR(VLOOKUP($A319,'Semrush Import'!$A:$D,2,FALSE),"")</f>
        <v/>
      </c>
      <c r="J319">
        <f>IFERROR(VLOOKUP($A319,'Semrush Import'!$A:$D,3,FALSE),"")</f>
        <v/>
      </c>
      <c r="K319">
        <f>IFERROR(VLOOKUP($A319,'Semrush Import'!$A:$D,4,FALSE),"")</f>
        <v/>
      </c>
      <c r="L319">
        <f>IFERROR(VLOOKUP($A319,'KP Import'!$A:$B,2,FALSE),"")</f>
        <v/>
      </c>
      <c r="M319">
        <f>IF(I319="","",ROUND(I319/(J319+10),1))</f>
        <v/>
      </c>
      <c r="N319">
        <f>IF(M319="","",IF(M319&gt;=20,"A - Go first",IF(M319&gt;=5,"B - Next","C - Later")))</f>
        <v/>
      </c>
      <c r="O319" t="inlineStr">
        <is>
          <t>To research</t>
        </is>
      </c>
      <c r="P319" t="inlineStr"/>
    </row>
    <row r="320">
      <c r="A320" t="inlineStr">
        <is>
          <t>rice container import uae</t>
        </is>
      </c>
      <c r="B320" t="inlineStr">
        <is>
          <t>Wholesale/B2B</t>
        </is>
      </c>
      <c r="C320" t="inlineStr">
        <is>
          <t>B2B</t>
        </is>
      </c>
      <c r="D320" t="inlineStr">
        <is>
          <t>Transactional (B2B)</t>
        </is>
      </c>
      <c r="E320" t="inlineStr">
        <is>
          <t>BOFU</t>
        </is>
      </c>
      <c r="F320" t="inlineStr">
        <is>
          <t>UAE</t>
        </is>
      </c>
      <c r="G320" t="inlineStr">
        <is>
          <t>Wholesale landing page</t>
        </is>
      </c>
      <c r="H320" t="inlineStr">
        <is>
          <t>Landing</t>
        </is>
      </c>
      <c r="I320">
        <f>IFERROR(VLOOKUP($A320,'Semrush Import'!$A:$D,2,FALSE),"")</f>
        <v/>
      </c>
      <c r="J320">
        <f>IFERROR(VLOOKUP($A320,'Semrush Import'!$A:$D,3,FALSE),"")</f>
        <v/>
      </c>
      <c r="K320">
        <f>IFERROR(VLOOKUP($A320,'Semrush Import'!$A:$D,4,FALSE),"")</f>
        <v/>
      </c>
      <c r="L320">
        <f>IFERROR(VLOOKUP($A320,'KP Import'!$A:$B,2,FALSE),"")</f>
        <v/>
      </c>
      <c r="M320">
        <f>IF(I320="","",ROUND(I320/(J320+10),1))</f>
        <v/>
      </c>
      <c r="N320">
        <f>IF(M320="","",IF(M320&gt;=20,"A - Go first",IF(M320&gt;=5,"B - Next","C - Later")))</f>
        <v/>
      </c>
      <c r="O320" t="inlineStr">
        <is>
          <t>To research</t>
        </is>
      </c>
      <c r="P320" t="inlineStr"/>
    </row>
    <row r="321">
      <c r="A321" t="inlineStr">
        <is>
          <t>food stuff trading dubai</t>
        </is>
      </c>
      <c r="B321" t="inlineStr">
        <is>
          <t>Wholesale/B2B</t>
        </is>
      </c>
      <c r="C321" t="inlineStr">
        <is>
          <t>B2B</t>
        </is>
      </c>
      <c r="D321" t="inlineStr">
        <is>
          <t>Transactional (B2B)</t>
        </is>
      </c>
      <c r="E321" t="inlineStr">
        <is>
          <t>BOFU</t>
        </is>
      </c>
      <c r="F321" t="inlineStr">
        <is>
          <t>Dubai</t>
        </is>
      </c>
      <c r="G321" t="inlineStr">
        <is>
          <t>Wholesale landing page</t>
        </is>
      </c>
      <c r="H321" t="inlineStr">
        <is>
          <t>Landing</t>
        </is>
      </c>
      <c r="I321">
        <f>IFERROR(VLOOKUP($A321,'Semrush Import'!$A:$D,2,FALSE),"")</f>
        <v/>
      </c>
      <c r="J321">
        <f>IFERROR(VLOOKUP($A321,'Semrush Import'!$A:$D,3,FALSE),"")</f>
        <v/>
      </c>
      <c r="K321">
        <f>IFERROR(VLOOKUP($A321,'Semrush Import'!$A:$D,4,FALSE),"")</f>
        <v/>
      </c>
      <c r="L321">
        <f>IFERROR(VLOOKUP($A321,'KP Import'!$A:$B,2,FALSE),"")</f>
        <v/>
      </c>
      <c r="M321">
        <f>IF(I321="","",ROUND(I321/(J321+10),1))</f>
        <v/>
      </c>
      <c r="N321">
        <f>IF(M321="","",IF(M321&gt;=20,"A - Go first",IF(M321&gt;=5,"B - Next","C - Later")))</f>
        <v/>
      </c>
      <c r="O321" t="inlineStr">
        <is>
          <t>To research</t>
        </is>
      </c>
      <c r="P321" t="inlineStr"/>
    </row>
    <row r="322">
      <c r="A322" t="inlineStr">
        <is>
          <t>foodstuff wholesale dubai</t>
        </is>
      </c>
      <c r="B322" t="inlineStr">
        <is>
          <t>Wholesale/B2B</t>
        </is>
      </c>
      <c r="C322" t="inlineStr">
        <is>
          <t>B2B</t>
        </is>
      </c>
      <c r="D322" t="inlineStr">
        <is>
          <t>Transactional (B2B)</t>
        </is>
      </c>
      <c r="E322" t="inlineStr">
        <is>
          <t>BOFU</t>
        </is>
      </c>
      <c r="F322" t="inlineStr">
        <is>
          <t>Dubai</t>
        </is>
      </c>
      <c r="G322" t="inlineStr">
        <is>
          <t>Wholesale landing page</t>
        </is>
      </c>
      <c r="H322" t="inlineStr">
        <is>
          <t>Landing</t>
        </is>
      </c>
      <c r="I322">
        <f>IFERROR(VLOOKUP($A322,'Semrush Import'!$A:$D,2,FALSE),"")</f>
        <v/>
      </c>
      <c r="J322">
        <f>IFERROR(VLOOKUP($A322,'Semrush Import'!$A:$D,3,FALSE),"")</f>
        <v/>
      </c>
      <c r="K322">
        <f>IFERROR(VLOOKUP($A322,'Semrush Import'!$A:$D,4,FALSE),"")</f>
        <v/>
      </c>
      <c r="L322">
        <f>IFERROR(VLOOKUP($A322,'KP Import'!$A:$B,2,FALSE),"")</f>
        <v/>
      </c>
      <c r="M322">
        <f>IF(I322="","",ROUND(I322/(J322+10),1))</f>
        <v/>
      </c>
      <c r="N322">
        <f>IF(M322="","",IF(M322&gt;=20,"A - Go first",IF(M322&gt;=5,"B - Next","C - Later")))</f>
        <v/>
      </c>
      <c r="O322" t="inlineStr">
        <is>
          <t>To research</t>
        </is>
      </c>
      <c r="P322" t="inlineStr"/>
    </row>
    <row r="323">
      <c r="A323" t="inlineStr">
        <is>
          <t>grocery wholesale dubai</t>
        </is>
      </c>
      <c r="B323" t="inlineStr">
        <is>
          <t>Wholesale/B2B</t>
        </is>
      </c>
      <c r="C323" t="inlineStr">
        <is>
          <t>B2B</t>
        </is>
      </c>
      <c r="D323" t="inlineStr">
        <is>
          <t>Transactional (B2B)</t>
        </is>
      </c>
      <c r="E323" t="inlineStr">
        <is>
          <t>BOFU</t>
        </is>
      </c>
      <c r="F323" t="inlineStr">
        <is>
          <t>Dubai</t>
        </is>
      </c>
      <c r="G323" t="inlineStr">
        <is>
          <t>Wholesale landing page</t>
        </is>
      </c>
      <c r="H323" t="inlineStr">
        <is>
          <t>Landing</t>
        </is>
      </c>
      <c r="I323">
        <f>IFERROR(VLOOKUP($A323,'Semrush Import'!$A:$D,2,FALSE),"")</f>
        <v/>
      </c>
      <c r="J323">
        <f>IFERROR(VLOOKUP($A323,'Semrush Import'!$A:$D,3,FALSE),"")</f>
        <v/>
      </c>
      <c r="K323">
        <f>IFERROR(VLOOKUP($A323,'Semrush Import'!$A:$D,4,FALSE),"")</f>
        <v/>
      </c>
      <c r="L323">
        <f>IFERROR(VLOOKUP($A323,'KP Import'!$A:$B,2,FALSE),"")</f>
        <v/>
      </c>
      <c r="M323">
        <f>IF(I323="","",ROUND(I323/(J323+10),1))</f>
        <v/>
      </c>
      <c r="N323">
        <f>IF(M323="","",IF(M323&gt;=20,"A - Go first",IF(M323&gt;=5,"B - Next","C - Later")))</f>
        <v/>
      </c>
      <c r="O323" t="inlineStr">
        <is>
          <t>To research</t>
        </is>
      </c>
      <c r="P323" t="inlineStr"/>
    </row>
    <row r="324">
      <c r="A324" t="inlineStr">
        <is>
          <t>rice online dubai</t>
        </is>
      </c>
      <c r="B324" t="inlineStr">
        <is>
          <t>Retail/B2C</t>
        </is>
      </c>
      <c r="C324" t="inlineStr">
        <is>
          <t>Retail</t>
        </is>
      </c>
      <c r="D324" t="inlineStr">
        <is>
          <t>Transactional</t>
        </is>
      </c>
      <c r="E324" t="inlineStr">
        <is>
          <t>BOFU</t>
        </is>
      </c>
      <c r="F324" t="inlineStr">
        <is>
          <t>Dubai</t>
        </is>
      </c>
      <c r="G324" t="inlineStr">
        <is>
          <t>Home page</t>
        </is>
      </c>
      <c r="H324" t="inlineStr">
        <is>
          <t>Home</t>
        </is>
      </c>
      <c r="I324">
        <f>IFERROR(VLOOKUP($A324,'Semrush Import'!$A:$D,2,FALSE),"")</f>
        <v/>
      </c>
      <c r="J324">
        <f>IFERROR(VLOOKUP($A324,'Semrush Import'!$A:$D,3,FALSE),"")</f>
        <v/>
      </c>
      <c r="K324">
        <f>IFERROR(VLOOKUP($A324,'Semrush Import'!$A:$D,4,FALSE),"")</f>
        <v/>
      </c>
      <c r="L324">
        <f>IFERROR(VLOOKUP($A324,'KP Import'!$A:$B,2,FALSE),"")</f>
        <v/>
      </c>
      <c r="M324">
        <f>IF(I324="","",ROUND(I324/(J324+10),1))</f>
        <v/>
      </c>
      <c r="N324">
        <f>IF(M324="","",IF(M324&gt;=20,"A - Go first",IF(M324&gt;=5,"B - Next","C - Later")))</f>
        <v/>
      </c>
      <c r="O324" t="inlineStr">
        <is>
          <t>To research</t>
        </is>
      </c>
      <c r="P324" t="inlineStr"/>
    </row>
    <row r="325">
      <c r="A325" t="inlineStr">
        <is>
          <t>buy rice online uae</t>
        </is>
      </c>
      <c r="B325" t="inlineStr">
        <is>
          <t>Retail/B2C</t>
        </is>
      </c>
      <c r="C325" t="inlineStr">
        <is>
          <t>Retail</t>
        </is>
      </c>
      <c r="D325" t="inlineStr">
        <is>
          <t>Transactional</t>
        </is>
      </c>
      <c r="E325" t="inlineStr">
        <is>
          <t>BOFU</t>
        </is>
      </c>
      <c r="F325" t="inlineStr">
        <is>
          <t>UAE</t>
        </is>
      </c>
      <c r="G325" t="inlineStr">
        <is>
          <t>Home page</t>
        </is>
      </c>
      <c r="H325" t="inlineStr">
        <is>
          <t>Home</t>
        </is>
      </c>
      <c r="I325">
        <f>IFERROR(VLOOKUP($A325,'Semrush Import'!$A:$D,2,FALSE),"")</f>
        <v/>
      </c>
      <c r="J325">
        <f>IFERROR(VLOOKUP($A325,'Semrush Import'!$A:$D,3,FALSE),"")</f>
        <v/>
      </c>
      <c r="K325">
        <f>IFERROR(VLOOKUP($A325,'Semrush Import'!$A:$D,4,FALSE),"")</f>
        <v/>
      </c>
      <c r="L325">
        <f>IFERROR(VLOOKUP($A325,'KP Import'!$A:$B,2,FALSE),"")</f>
        <v/>
      </c>
      <c r="M325">
        <f>IF(I325="","",ROUND(I325/(J325+10),1))</f>
        <v/>
      </c>
      <c r="N325">
        <f>IF(M325="","",IF(M325&gt;=20,"A - Go first",IF(M325&gt;=5,"B - Next","C - Later")))</f>
        <v/>
      </c>
      <c r="O325" t="inlineStr">
        <is>
          <t>To research</t>
        </is>
      </c>
      <c r="P325" t="inlineStr"/>
    </row>
    <row r="326">
      <c r="A326" t="inlineStr">
        <is>
          <t>rice delivery dubai</t>
        </is>
      </c>
      <c r="B326" t="inlineStr">
        <is>
          <t>Retail/B2C</t>
        </is>
      </c>
      <c r="C326" t="inlineStr">
        <is>
          <t>Retail</t>
        </is>
      </c>
      <c r="D326" t="inlineStr">
        <is>
          <t>Transactional</t>
        </is>
      </c>
      <c r="E326" t="inlineStr">
        <is>
          <t>BOFU</t>
        </is>
      </c>
      <c r="F326" t="inlineStr">
        <is>
          <t>Dubai</t>
        </is>
      </c>
      <c r="G326" t="inlineStr">
        <is>
          <t>Home page</t>
        </is>
      </c>
      <c r="H326" t="inlineStr">
        <is>
          <t>Home</t>
        </is>
      </c>
      <c r="I326">
        <f>IFERROR(VLOOKUP($A326,'Semrush Import'!$A:$D,2,FALSE),"")</f>
        <v/>
      </c>
      <c r="J326">
        <f>IFERROR(VLOOKUP($A326,'Semrush Import'!$A:$D,3,FALSE),"")</f>
        <v/>
      </c>
      <c r="K326">
        <f>IFERROR(VLOOKUP($A326,'Semrush Import'!$A:$D,4,FALSE),"")</f>
        <v/>
      </c>
      <c r="L326">
        <f>IFERROR(VLOOKUP($A326,'KP Import'!$A:$B,2,FALSE),"")</f>
        <v/>
      </c>
      <c r="M326">
        <f>IF(I326="","",ROUND(I326/(J326+10),1))</f>
        <v/>
      </c>
      <c r="N326">
        <f>IF(M326="","",IF(M326&gt;=20,"A - Go first",IF(M326&gt;=5,"B - Next","C - Later")))</f>
        <v/>
      </c>
      <c r="O326" t="inlineStr">
        <is>
          <t>To research</t>
        </is>
      </c>
      <c r="P326" t="inlineStr"/>
    </row>
    <row r="327">
      <c r="A327" t="inlineStr">
        <is>
          <t>rice home delivery uae</t>
        </is>
      </c>
      <c r="B327" t="inlineStr">
        <is>
          <t>Retail/B2C</t>
        </is>
      </c>
      <c r="C327" t="inlineStr">
        <is>
          <t>Retail</t>
        </is>
      </c>
      <c r="D327" t="inlineStr">
        <is>
          <t>Transactional</t>
        </is>
      </c>
      <c r="E327" t="inlineStr">
        <is>
          <t>BOFU</t>
        </is>
      </c>
      <c r="F327" t="inlineStr">
        <is>
          <t>UAE</t>
        </is>
      </c>
      <c r="G327" t="inlineStr">
        <is>
          <t>Shop / category page</t>
        </is>
      </c>
      <c r="H327" t="inlineStr">
        <is>
          <t>Category</t>
        </is>
      </c>
      <c r="I327">
        <f>IFERROR(VLOOKUP($A327,'Semrush Import'!$A:$D,2,FALSE),"")</f>
        <v/>
      </c>
      <c r="J327">
        <f>IFERROR(VLOOKUP($A327,'Semrush Import'!$A:$D,3,FALSE),"")</f>
        <v/>
      </c>
      <c r="K327">
        <f>IFERROR(VLOOKUP($A327,'Semrush Import'!$A:$D,4,FALSE),"")</f>
        <v/>
      </c>
      <c r="L327">
        <f>IFERROR(VLOOKUP($A327,'KP Import'!$A:$B,2,FALSE),"")</f>
        <v/>
      </c>
      <c r="M327">
        <f>IF(I327="","",ROUND(I327/(J327+10),1))</f>
        <v/>
      </c>
      <c r="N327">
        <f>IF(M327="","",IF(M327&gt;=20,"A - Go first",IF(M327&gt;=5,"B - Next","C - Later")))</f>
        <v/>
      </c>
      <c r="O327" t="inlineStr">
        <is>
          <t>To research</t>
        </is>
      </c>
      <c r="P327" t="inlineStr"/>
    </row>
    <row r="328">
      <c r="A328" t="inlineStr">
        <is>
          <t>order rice online dubai</t>
        </is>
      </c>
      <c r="B328" t="inlineStr">
        <is>
          <t>Retail/B2C</t>
        </is>
      </c>
      <c r="C328" t="inlineStr">
        <is>
          <t>Retail</t>
        </is>
      </c>
      <c r="D328" t="inlineStr">
        <is>
          <t>Transactional</t>
        </is>
      </c>
      <c r="E328" t="inlineStr">
        <is>
          <t>BOFU</t>
        </is>
      </c>
      <c r="F328" t="inlineStr">
        <is>
          <t>Dubai</t>
        </is>
      </c>
      <c r="G328" t="inlineStr">
        <is>
          <t>Shop / category page</t>
        </is>
      </c>
      <c r="H328" t="inlineStr">
        <is>
          <t>Category</t>
        </is>
      </c>
      <c r="I328">
        <f>IFERROR(VLOOKUP($A328,'Semrush Import'!$A:$D,2,FALSE),"")</f>
        <v/>
      </c>
      <c r="J328">
        <f>IFERROR(VLOOKUP($A328,'Semrush Import'!$A:$D,3,FALSE),"")</f>
        <v/>
      </c>
      <c r="K328">
        <f>IFERROR(VLOOKUP($A328,'Semrush Import'!$A:$D,4,FALSE),"")</f>
        <v/>
      </c>
      <c r="L328">
        <f>IFERROR(VLOOKUP($A328,'KP Import'!$A:$B,2,FALSE),"")</f>
        <v/>
      </c>
      <c r="M328">
        <f>IF(I328="","",ROUND(I328/(J328+10),1))</f>
        <v/>
      </c>
      <c r="N328">
        <f>IF(M328="","",IF(M328&gt;=20,"A - Go first",IF(M328&gt;=5,"B - Next","C - Later")))</f>
        <v/>
      </c>
      <c r="O328" t="inlineStr">
        <is>
          <t>To research</t>
        </is>
      </c>
      <c r="P328" t="inlineStr"/>
    </row>
    <row r="329">
      <c r="A329" t="inlineStr">
        <is>
          <t>rice delivery near me</t>
        </is>
      </c>
      <c r="B329" t="inlineStr">
        <is>
          <t>Retail/B2C</t>
        </is>
      </c>
      <c r="C329" t="inlineStr">
        <is>
          <t>Retail</t>
        </is>
      </c>
      <c r="D329" t="inlineStr">
        <is>
          <t>Transactional</t>
        </is>
      </c>
      <c r="E329" t="inlineStr">
        <is>
          <t>BOFU</t>
        </is>
      </c>
      <c r="F329" t="inlineStr">
        <is>
          <t>UAE</t>
        </is>
      </c>
      <c r="G329" t="inlineStr">
        <is>
          <t>Shop / category page</t>
        </is>
      </c>
      <c r="H329" t="inlineStr">
        <is>
          <t>Category</t>
        </is>
      </c>
      <c r="I329">
        <f>IFERROR(VLOOKUP($A329,'Semrush Import'!$A:$D,2,FALSE),"")</f>
        <v/>
      </c>
      <c r="J329">
        <f>IFERROR(VLOOKUP($A329,'Semrush Import'!$A:$D,3,FALSE),"")</f>
        <v/>
      </c>
      <c r="K329">
        <f>IFERROR(VLOOKUP($A329,'Semrush Import'!$A:$D,4,FALSE),"")</f>
        <v/>
      </c>
      <c r="L329">
        <f>IFERROR(VLOOKUP($A329,'KP Import'!$A:$B,2,FALSE),"")</f>
        <v/>
      </c>
      <c r="M329">
        <f>IF(I329="","",ROUND(I329/(J329+10),1))</f>
        <v/>
      </c>
      <c r="N329">
        <f>IF(M329="","",IF(M329&gt;=20,"A - Go first",IF(M329&gt;=5,"B - Next","C - Later")))</f>
        <v/>
      </c>
      <c r="O329" t="inlineStr">
        <is>
          <t>To research</t>
        </is>
      </c>
      <c r="P329" t="inlineStr"/>
    </row>
    <row r="330">
      <c r="A330" t="inlineStr">
        <is>
          <t>online grocery rice dubai</t>
        </is>
      </c>
      <c r="B330" t="inlineStr">
        <is>
          <t>Retail/B2C</t>
        </is>
      </c>
      <c r="C330" t="inlineStr">
        <is>
          <t>Retail</t>
        </is>
      </c>
      <c r="D330" t="inlineStr">
        <is>
          <t>Transactional</t>
        </is>
      </c>
      <c r="E330" t="inlineStr">
        <is>
          <t>BOFU</t>
        </is>
      </c>
      <c r="F330" t="inlineStr">
        <is>
          <t>Dubai</t>
        </is>
      </c>
      <c r="G330" t="inlineStr">
        <is>
          <t>Shop / category page</t>
        </is>
      </c>
      <c r="H330" t="inlineStr">
        <is>
          <t>Category</t>
        </is>
      </c>
      <c r="I330">
        <f>IFERROR(VLOOKUP($A330,'Semrush Import'!$A:$D,2,FALSE),"")</f>
        <v/>
      </c>
      <c r="J330">
        <f>IFERROR(VLOOKUP($A330,'Semrush Import'!$A:$D,3,FALSE),"")</f>
        <v/>
      </c>
      <c r="K330">
        <f>IFERROR(VLOOKUP($A330,'Semrush Import'!$A:$D,4,FALSE),"")</f>
        <v/>
      </c>
      <c r="L330">
        <f>IFERROR(VLOOKUP($A330,'KP Import'!$A:$B,2,FALSE),"")</f>
        <v/>
      </c>
      <c r="M330">
        <f>IF(I330="","",ROUND(I330/(J330+10),1))</f>
        <v/>
      </c>
      <c r="N330">
        <f>IF(M330="","",IF(M330&gt;=20,"A - Go first",IF(M330&gt;=5,"B - Next","C - Later")))</f>
        <v/>
      </c>
      <c r="O330" t="inlineStr">
        <is>
          <t>To research</t>
        </is>
      </c>
      <c r="P330" t="inlineStr"/>
    </row>
    <row r="331">
      <c r="A331" t="inlineStr">
        <is>
          <t>best basmati rice in uae</t>
        </is>
      </c>
      <c r="B331" t="inlineStr">
        <is>
          <t>Retail/B2C</t>
        </is>
      </c>
      <c r="C331" t="inlineStr">
        <is>
          <t>Retail</t>
        </is>
      </c>
      <c r="D331" t="inlineStr">
        <is>
          <t>Transactional</t>
        </is>
      </c>
      <c r="E331" t="inlineStr">
        <is>
          <t>BOFU</t>
        </is>
      </c>
      <c r="F331" t="inlineStr">
        <is>
          <t>UAE</t>
        </is>
      </c>
      <c r="G331" t="inlineStr">
        <is>
          <t>Shop / category page</t>
        </is>
      </c>
      <c r="H331" t="inlineStr">
        <is>
          <t>Category</t>
        </is>
      </c>
      <c r="I331">
        <f>IFERROR(VLOOKUP($A331,'Semrush Import'!$A:$D,2,FALSE),"")</f>
        <v/>
      </c>
      <c r="J331">
        <f>IFERROR(VLOOKUP($A331,'Semrush Import'!$A:$D,3,FALSE),"")</f>
        <v/>
      </c>
      <c r="K331">
        <f>IFERROR(VLOOKUP($A331,'Semrush Import'!$A:$D,4,FALSE),"")</f>
        <v/>
      </c>
      <c r="L331">
        <f>IFERROR(VLOOKUP($A331,'KP Import'!$A:$B,2,FALSE),"")</f>
        <v/>
      </c>
      <c r="M331">
        <f>IF(I331="","",ROUND(I331/(J331+10),1))</f>
        <v/>
      </c>
      <c r="N331">
        <f>IF(M331="","",IF(M331&gt;=20,"A - Go first",IF(M331&gt;=5,"B - Next","C - Later")))</f>
        <v/>
      </c>
      <c r="O331" t="inlineStr">
        <is>
          <t>To research</t>
        </is>
      </c>
      <c r="P331" t="inlineStr"/>
    </row>
    <row r="332">
      <c r="A332" t="inlineStr">
        <is>
          <t>best basmati rice in dubai</t>
        </is>
      </c>
      <c r="B332" t="inlineStr">
        <is>
          <t>Retail/B2C</t>
        </is>
      </c>
      <c r="C332" t="inlineStr">
        <is>
          <t>Retail</t>
        </is>
      </c>
      <c r="D332" t="inlineStr">
        <is>
          <t>Transactional</t>
        </is>
      </c>
      <c r="E332" t="inlineStr">
        <is>
          <t>BOFU</t>
        </is>
      </c>
      <c r="F332" t="inlineStr">
        <is>
          <t>Dubai</t>
        </is>
      </c>
      <c r="G332" t="inlineStr">
        <is>
          <t>Shop / category page</t>
        </is>
      </c>
      <c r="H332" t="inlineStr">
        <is>
          <t>Category</t>
        </is>
      </c>
      <c r="I332">
        <f>IFERROR(VLOOKUP($A332,'Semrush Import'!$A:$D,2,FALSE),"")</f>
        <v/>
      </c>
      <c r="J332">
        <f>IFERROR(VLOOKUP($A332,'Semrush Import'!$A:$D,3,FALSE),"")</f>
        <v/>
      </c>
      <c r="K332">
        <f>IFERROR(VLOOKUP($A332,'Semrush Import'!$A:$D,4,FALSE),"")</f>
        <v/>
      </c>
      <c r="L332">
        <f>IFERROR(VLOOKUP($A332,'KP Import'!$A:$B,2,FALSE),"")</f>
        <v/>
      </c>
      <c r="M332">
        <f>IF(I332="","",ROUND(I332/(J332+10),1))</f>
        <v/>
      </c>
      <c r="N332">
        <f>IF(M332="","",IF(M332&gt;=20,"A - Go first",IF(M332&gt;=5,"B - Next","C - Later")))</f>
        <v/>
      </c>
      <c r="O332" t="inlineStr">
        <is>
          <t>To research</t>
        </is>
      </c>
      <c r="P332" t="inlineStr"/>
    </row>
    <row r="333">
      <c r="A333" t="inlineStr">
        <is>
          <t>best rice brand in uae</t>
        </is>
      </c>
      <c r="B333" t="inlineStr">
        <is>
          <t>Retail/B2C</t>
        </is>
      </c>
      <c r="C333" t="inlineStr">
        <is>
          <t>Retail</t>
        </is>
      </c>
      <c r="D333" t="inlineStr">
        <is>
          <t>Transactional</t>
        </is>
      </c>
      <c r="E333" t="inlineStr">
        <is>
          <t>BOFU</t>
        </is>
      </c>
      <c r="F333" t="inlineStr">
        <is>
          <t>UAE</t>
        </is>
      </c>
      <c r="G333" t="inlineStr">
        <is>
          <t>Shop / category page</t>
        </is>
      </c>
      <c r="H333" t="inlineStr">
        <is>
          <t>Category</t>
        </is>
      </c>
      <c r="I333">
        <f>IFERROR(VLOOKUP($A333,'Semrush Import'!$A:$D,2,FALSE),"")</f>
        <v/>
      </c>
      <c r="J333">
        <f>IFERROR(VLOOKUP($A333,'Semrush Import'!$A:$D,3,FALSE),"")</f>
        <v/>
      </c>
      <c r="K333">
        <f>IFERROR(VLOOKUP($A333,'Semrush Import'!$A:$D,4,FALSE),"")</f>
        <v/>
      </c>
      <c r="L333">
        <f>IFERROR(VLOOKUP($A333,'KP Import'!$A:$B,2,FALSE),"")</f>
        <v/>
      </c>
      <c r="M333">
        <f>IF(I333="","",ROUND(I333/(J333+10),1))</f>
        <v/>
      </c>
      <c r="N333">
        <f>IF(M333="","",IF(M333&gt;=20,"A - Go first",IF(M333&gt;=5,"B - Next","C - Later")))</f>
        <v/>
      </c>
      <c r="O333" t="inlineStr">
        <is>
          <t>To research</t>
        </is>
      </c>
      <c r="P333" t="inlineStr"/>
    </row>
    <row r="334">
      <c r="A334" t="inlineStr">
        <is>
          <t>best rice for biryani in dubai</t>
        </is>
      </c>
      <c r="B334" t="inlineStr">
        <is>
          <t>Retail/B2C</t>
        </is>
      </c>
      <c r="C334" t="inlineStr">
        <is>
          <t>Retail</t>
        </is>
      </c>
      <c r="D334" t="inlineStr">
        <is>
          <t>Transactional</t>
        </is>
      </c>
      <c r="E334" t="inlineStr">
        <is>
          <t>BOFU</t>
        </is>
      </c>
      <c r="F334" t="inlineStr">
        <is>
          <t>Dubai</t>
        </is>
      </c>
      <c r="G334" t="inlineStr">
        <is>
          <t>Shop / category page</t>
        </is>
      </c>
      <c r="H334" t="inlineStr">
        <is>
          <t>Category</t>
        </is>
      </c>
      <c r="I334">
        <f>IFERROR(VLOOKUP($A334,'Semrush Import'!$A:$D,2,FALSE),"")</f>
        <v/>
      </c>
      <c r="J334">
        <f>IFERROR(VLOOKUP($A334,'Semrush Import'!$A:$D,3,FALSE),"")</f>
        <v/>
      </c>
      <c r="K334">
        <f>IFERROR(VLOOKUP($A334,'Semrush Import'!$A:$D,4,FALSE),"")</f>
        <v/>
      </c>
      <c r="L334">
        <f>IFERROR(VLOOKUP($A334,'KP Import'!$A:$B,2,FALSE),"")</f>
        <v/>
      </c>
      <c r="M334">
        <f>IF(I334="","",ROUND(I334/(J334+10),1))</f>
        <v/>
      </c>
      <c r="N334">
        <f>IF(M334="","",IF(M334&gt;=20,"A - Go first",IF(M334&gt;=5,"B - Next","C - Later")))</f>
        <v/>
      </c>
      <c r="O334" t="inlineStr">
        <is>
          <t>To research</t>
        </is>
      </c>
      <c r="P334" t="inlineStr"/>
    </row>
    <row r="335">
      <c r="A335" t="inlineStr">
        <is>
          <t>cheap rice dubai</t>
        </is>
      </c>
      <c r="B335" t="inlineStr">
        <is>
          <t>Retail/B2C</t>
        </is>
      </c>
      <c r="C335" t="inlineStr">
        <is>
          <t>Retail</t>
        </is>
      </c>
      <c r="D335" t="inlineStr">
        <is>
          <t>Transactional</t>
        </is>
      </c>
      <c r="E335" t="inlineStr">
        <is>
          <t>BOFU</t>
        </is>
      </c>
      <c r="F335" t="inlineStr">
        <is>
          <t>Dubai</t>
        </is>
      </c>
      <c r="G335" t="inlineStr">
        <is>
          <t>Shop / category page</t>
        </is>
      </c>
      <c r="H335" t="inlineStr">
        <is>
          <t>Category</t>
        </is>
      </c>
      <c r="I335">
        <f>IFERROR(VLOOKUP($A335,'Semrush Import'!$A:$D,2,FALSE),"")</f>
        <v/>
      </c>
      <c r="J335">
        <f>IFERROR(VLOOKUP($A335,'Semrush Import'!$A:$D,3,FALSE),"")</f>
        <v/>
      </c>
      <c r="K335">
        <f>IFERROR(VLOOKUP($A335,'Semrush Import'!$A:$D,4,FALSE),"")</f>
        <v/>
      </c>
      <c r="L335">
        <f>IFERROR(VLOOKUP($A335,'KP Import'!$A:$B,2,FALSE),"")</f>
        <v/>
      </c>
      <c r="M335">
        <f>IF(I335="","",ROUND(I335/(J335+10),1))</f>
        <v/>
      </c>
      <c r="N335">
        <f>IF(M335="","",IF(M335&gt;=20,"A - Go first",IF(M335&gt;=5,"B - Next","C - Later")))</f>
        <v/>
      </c>
      <c r="O335" t="inlineStr">
        <is>
          <t>To research</t>
        </is>
      </c>
      <c r="P335" t="inlineStr"/>
    </row>
    <row r="336">
      <c r="A336" t="inlineStr">
        <is>
          <t>rice offers uae</t>
        </is>
      </c>
      <c r="B336" t="inlineStr">
        <is>
          <t>Retail/B2C</t>
        </is>
      </c>
      <c r="C336" t="inlineStr">
        <is>
          <t>Retail</t>
        </is>
      </c>
      <c r="D336" t="inlineStr">
        <is>
          <t>Transactional</t>
        </is>
      </c>
      <c r="E336" t="inlineStr">
        <is>
          <t>BOFU</t>
        </is>
      </c>
      <c r="F336" t="inlineStr">
        <is>
          <t>UAE</t>
        </is>
      </c>
      <c r="G336" t="inlineStr">
        <is>
          <t>Shop / category page</t>
        </is>
      </c>
      <c r="H336" t="inlineStr">
        <is>
          <t>Category</t>
        </is>
      </c>
      <c r="I336">
        <f>IFERROR(VLOOKUP($A336,'Semrush Import'!$A:$D,2,FALSE),"")</f>
        <v/>
      </c>
      <c r="J336">
        <f>IFERROR(VLOOKUP($A336,'Semrush Import'!$A:$D,3,FALSE),"")</f>
        <v/>
      </c>
      <c r="K336">
        <f>IFERROR(VLOOKUP($A336,'Semrush Import'!$A:$D,4,FALSE),"")</f>
        <v/>
      </c>
      <c r="L336">
        <f>IFERROR(VLOOKUP($A336,'KP Import'!$A:$B,2,FALSE),"")</f>
        <v/>
      </c>
      <c r="M336">
        <f>IF(I336="","",ROUND(I336/(J336+10),1))</f>
        <v/>
      </c>
      <c r="N336">
        <f>IF(M336="","",IF(M336&gt;=20,"A - Go first",IF(M336&gt;=5,"B - Next","C - Later")))</f>
        <v/>
      </c>
      <c r="O336" t="inlineStr">
        <is>
          <t>To research</t>
        </is>
      </c>
      <c r="P336" t="inlineStr"/>
    </row>
    <row r="337">
      <c r="A337" t="inlineStr">
        <is>
          <t>rice sale dubai</t>
        </is>
      </c>
      <c r="B337" t="inlineStr">
        <is>
          <t>Retail/B2C</t>
        </is>
      </c>
      <c r="C337" t="inlineStr">
        <is>
          <t>Retail</t>
        </is>
      </c>
      <c r="D337" t="inlineStr">
        <is>
          <t>Transactional</t>
        </is>
      </c>
      <c r="E337" t="inlineStr">
        <is>
          <t>BOFU</t>
        </is>
      </c>
      <c r="F337" t="inlineStr">
        <is>
          <t>Dubai</t>
        </is>
      </c>
      <c r="G337" t="inlineStr">
        <is>
          <t>Shop / category page</t>
        </is>
      </c>
      <c r="H337" t="inlineStr">
        <is>
          <t>Category</t>
        </is>
      </c>
      <c r="I337">
        <f>IFERROR(VLOOKUP($A337,'Semrush Import'!$A:$D,2,FALSE),"")</f>
        <v/>
      </c>
      <c r="J337">
        <f>IFERROR(VLOOKUP($A337,'Semrush Import'!$A:$D,3,FALSE),"")</f>
        <v/>
      </c>
      <c r="K337">
        <f>IFERROR(VLOOKUP($A337,'Semrush Import'!$A:$D,4,FALSE),"")</f>
        <v/>
      </c>
      <c r="L337">
        <f>IFERROR(VLOOKUP($A337,'KP Import'!$A:$B,2,FALSE),"")</f>
        <v/>
      </c>
      <c r="M337">
        <f>IF(I337="","",ROUND(I337/(J337+10),1))</f>
        <v/>
      </c>
      <c r="N337">
        <f>IF(M337="","",IF(M337&gt;=20,"A - Go first",IF(M337&gt;=5,"B - Next","C - Later")))</f>
        <v/>
      </c>
      <c r="O337" t="inlineStr">
        <is>
          <t>To research</t>
        </is>
      </c>
      <c r="P337" t="inlineStr"/>
    </row>
    <row r="338">
      <c r="A338" t="inlineStr">
        <is>
          <t>rice discount uae</t>
        </is>
      </c>
      <c r="B338" t="inlineStr">
        <is>
          <t>Retail/B2C</t>
        </is>
      </c>
      <c r="C338" t="inlineStr">
        <is>
          <t>Retail</t>
        </is>
      </c>
      <c r="D338" t="inlineStr">
        <is>
          <t>Transactional</t>
        </is>
      </c>
      <c r="E338" t="inlineStr">
        <is>
          <t>BOFU</t>
        </is>
      </c>
      <c r="F338" t="inlineStr">
        <is>
          <t>UAE</t>
        </is>
      </c>
      <c r="G338" t="inlineStr">
        <is>
          <t>Shop / category page</t>
        </is>
      </c>
      <c r="H338" t="inlineStr">
        <is>
          <t>Category</t>
        </is>
      </c>
      <c r="I338">
        <f>IFERROR(VLOOKUP($A338,'Semrush Import'!$A:$D,2,FALSE),"")</f>
        <v/>
      </c>
      <c r="J338">
        <f>IFERROR(VLOOKUP($A338,'Semrush Import'!$A:$D,3,FALSE),"")</f>
        <v/>
      </c>
      <c r="K338">
        <f>IFERROR(VLOOKUP($A338,'Semrush Import'!$A:$D,4,FALSE),"")</f>
        <v/>
      </c>
      <c r="L338">
        <f>IFERROR(VLOOKUP($A338,'KP Import'!$A:$B,2,FALSE),"")</f>
        <v/>
      </c>
      <c r="M338">
        <f>IF(I338="","",ROUND(I338/(J338+10),1))</f>
        <v/>
      </c>
      <c r="N338">
        <f>IF(M338="","",IF(M338&gt;=20,"A - Go first",IF(M338&gt;=5,"B - Next","C - Later")))</f>
        <v/>
      </c>
      <c r="O338" t="inlineStr">
        <is>
          <t>To research</t>
        </is>
      </c>
      <c r="P338" t="inlineStr"/>
    </row>
    <row r="339">
      <c r="A339" t="inlineStr">
        <is>
          <t>rice price today dubai</t>
        </is>
      </c>
      <c r="B339" t="inlineStr">
        <is>
          <t>Retail/B2C</t>
        </is>
      </c>
      <c r="C339" t="inlineStr">
        <is>
          <t>Retail</t>
        </is>
      </c>
      <c r="D339" t="inlineStr">
        <is>
          <t>Transactional</t>
        </is>
      </c>
      <c r="E339" t="inlineStr">
        <is>
          <t>BOFU</t>
        </is>
      </c>
      <c r="F339" t="inlineStr">
        <is>
          <t>Dubai</t>
        </is>
      </c>
      <c r="G339" t="inlineStr">
        <is>
          <t>Shop / category page</t>
        </is>
      </c>
      <c r="H339" t="inlineStr">
        <is>
          <t>Category</t>
        </is>
      </c>
      <c r="I339">
        <f>IFERROR(VLOOKUP($A339,'Semrush Import'!$A:$D,2,FALSE),"")</f>
        <v/>
      </c>
      <c r="J339">
        <f>IFERROR(VLOOKUP($A339,'Semrush Import'!$A:$D,3,FALSE),"")</f>
        <v/>
      </c>
      <c r="K339">
        <f>IFERROR(VLOOKUP($A339,'Semrush Import'!$A:$D,4,FALSE),"")</f>
        <v/>
      </c>
      <c r="L339">
        <f>IFERROR(VLOOKUP($A339,'KP Import'!$A:$B,2,FALSE),"")</f>
        <v/>
      </c>
      <c r="M339">
        <f>IF(I339="","",ROUND(I339/(J339+10),1))</f>
        <v/>
      </c>
      <c r="N339">
        <f>IF(M339="","",IF(M339&gt;=20,"A - Go first",IF(M339&gt;=5,"B - Next","C - Later")))</f>
        <v/>
      </c>
      <c r="O339" t="inlineStr">
        <is>
          <t>To research</t>
        </is>
      </c>
      <c r="P339" t="inlineStr"/>
    </row>
    <row r="340">
      <c r="A340" t="inlineStr">
        <is>
          <t>rice price list uae</t>
        </is>
      </c>
      <c r="B340" t="inlineStr">
        <is>
          <t>Retail/B2C</t>
        </is>
      </c>
      <c r="C340" t="inlineStr">
        <is>
          <t>Retail</t>
        </is>
      </c>
      <c r="D340" t="inlineStr">
        <is>
          <t>Transactional</t>
        </is>
      </c>
      <c r="E340" t="inlineStr">
        <is>
          <t>BOFU</t>
        </is>
      </c>
      <c r="F340" t="inlineStr">
        <is>
          <t>UAE</t>
        </is>
      </c>
      <c r="G340" t="inlineStr">
        <is>
          <t>Shop / category page</t>
        </is>
      </c>
      <c r="H340" t="inlineStr">
        <is>
          <t>Category</t>
        </is>
      </c>
      <c r="I340">
        <f>IFERROR(VLOOKUP($A340,'Semrush Import'!$A:$D,2,FALSE),"")</f>
        <v/>
      </c>
      <c r="J340">
        <f>IFERROR(VLOOKUP($A340,'Semrush Import'!$A:$D,3,FALSE),"")</f>
        <v/>
      </c>
      <c r="K340">
        <f>IFERROR(VLOOKUP($A340,'Semrush Import'!$A:$D,4,FALSE),"")</f>
        <v/>
      </c>
      <c r="L340">
        <f>IFERROR(VLOOKUP($A340,'KP Import'!$A:$B,2,FALSE),"")</f>
        <v/>
      </c>
      <c r="M340">
        <f>IF(I340="","",ROUND(I340/(J340+10),1))</f>
        <v/>
      </c>
      <c r="N340">
        <f>IF(M340="","",IF(M340&gt;=20,"A - Go first",IF(M340&gt;=5,"B - Next","C - Later")))</f>
        <v/>
      </c>
      <c r="O340" t="inlineStr">
        <is>
          <t>To research</t>
        </is>
      </c>
      <c r="P340" t="inlineStr"/>
    </row>
    <row r="341">
      <c r="A341" t="inlineStr">
        <is>
          <t>rice shop dubai</t>
        </is>
      </c>
      <c r="B341" t="inlineStr">
        <is>
          <t>Retail/B2C</t>
        </is>
      </c>
      <c r="C341" t="inlineStr">
        <is>
          <t>Retail</t>
        </is>
      </c>
      <c r="D341" t="inlineStr">
        <is>
          <t>Transactional</t>
        </is>
      </c>
      <c r="E341" t="inlineStr">
        <is>
          <t>BOFU</t>
        </is>
      </c>
      <c r="F341" t="inlineStr">
        <is>
          <t>Dubai</t>
        </is>
      </c>
      <c r="G341" t="inlineStr">
        <is>
          <t>Shop / category page</t>
        </is>
      </c>
      <c r="H341" t="inlineStr">
        <is>
          <t>Category</t>
        </is>
      </c>
      <c r="I341">
        <f>IFERROR(VLOOKUP($A341,'Semrush Import'!$A:$D,2,FALSE),"")</f>
        <v/>
      </c>
      <c r="J341">
        <f>IFERROR(VLOOKUP($A341,'Semrush Import'!$A:$D,3,FALSE),"")</f>
        <v/>
      </c>
      <c r="K341">
        <f>IFERROR(VLOOKUP($A341,'Semrush Import'!$A:$D,4,FALSE),"")</f>
        <v/>
      </c>
      <c r="L341">
        <f>IFERROR(VLOOKUP($A341,'KP Import'!$A:$B,2,FALSE),"")</f>
        <v/>
      </c>
      <c r="M341">
        <f>IF(I341="","",ROUND(I341/(J341+10),1))</f>
        <v/>
      </c>
      <c r="N341">
        <f>IF(M341="","",IF(M341&gt;=20,"A - Go first",IF(M341&gt;=5,"B - Next","C - Later")))</f>
        <v/>
      </c>
      <c r="O341" t="inlineStr">
        <is>
          <t>To research</t>
        </is>
      </c>
      <c r="P341" t="inlineStr"/>
    </row>
    <row r="342">
      <c r="A342" t="inlineStr">
        <is>
          <t>rice shop near me</t>
        </is>
      </c>
      <c r="B342" t="inlineStr">
        <is>
          <t>Retail/B2C</t>
        </is>
      </c>
      <c r="C342" t="inlineStr">
        <is>
          <t>Retail</t>
        </is>
      </c>
      <c r="D342" t="inlineStr">
        <is>
          <t>Transactional</t>
        </is>
      </c>
      <c r="E342" t="inlineStr">
        <is>
          <t>BOFU</t>
        </is>
      </c>
      <c r="F342" t="inlineStr">
        <is>
          <t>UAE</t>
        </is>
      </c>
      <c r="G342" t="inlineStr">
        <is>
          <t>Shop / category page</t>
        </is>
      </c>
      <c r="H342" t="inlineStr">
        <is>
          <t>Category</t>
        </is>
      </c>
      <c r="I342">
        <f>IFERROR(VLOOKUP($A342,'Semrush Import'!$A:$D,2,FALSE),"")</f>
        <v/>
      </c>
      <c r="J342">
        <f>IFERROR(VLOOKUP($A342,'Semrush Import'!$A:$D,3,FALSE),"")</f>
        <v/>
      </c>
      <c r="K342">
        <f>IFERROR(VLOOKUP($A342,'Semrush Import'!$A:$D,4,FALSE),"")</f>
        <v/>
      </c>
      <c r="L342">
        <f>IFERROR(VLOOKUP($A342,'KP Import'!$A:$B,2,FALSE),"")</f>
        <v/>
      </c>
      <c r="M342">
        <f>IF(I342="","",ROUND(I342/(J342+10),1))</f>
        <v/>
      </c>
      <c r="N342">
        <f>IF(M342="","",IF(M342&gt;=20,"A - Go first",IF(M342&gt;=5,"B - Next","C - Later")))</f>
        <v/>
      </c>
      <c r="O342" t="inlineStr">
        <is>
          <t>To research</t>
        </is>
      </c>
      <c r="P342" t="inlineStr"/>
    </row>
    <row r="343">
      <c r="A343" t="inlineStr">
        <is>
          <t>same day rice delivery dubai</t>
        </is>
      </c>
      <c r="B343" t="inlineStr">
        <is>
          <t>Retail/B2C</t>
        </is>
      </c>
      <c r="C343" t="inlineStr">
        <is>
          <t>Retail</t>
        </is>
      </c>
      <c r="D343" t="inlineStr">
        <is>
          <t>Transactional</t>
        </is>
      </c>
      <c r="E343" t="inlineStr">
        <is>
          <t>BOFU</t>
        </is>
      </c>
      <c r="F343" t="inlineStr">
        <is>
          <t>Dubai</t>
        </is>
      </c>
      <c r="G343" t="inlineStr">
        <is>
          <t>Shop / category page</t>
        </is>
      </c>
      <c r="H343" t="inlineStr">
        <is>
          <t>Category</t>
        </is>
      </c>
      <c r="I343">
        <f>IFERROR(VLOOKUP($A343,'Semrush Import'!$A:$D,2,FALSE),"")</f>
        <v/>
      </c>
      <c r="J343">
        <f>IFERROR(VLOOKUP($A343,'Semrush Import'!$A:$D,3,FALSE),"")</f>
        <v/>
      </c>
      <c r="K343">
        <f>IFERROR(VLOOKUP($A343,'Semrush Import'!$A:$D,4,FALSE),"")</f>
        <v/>
      </c>
      <c r="L343">
        <f>IFERROR(VLOOKUP($A343,'KP Import'!$A:$B,2,FALSE),"")</f>
        <v/>
      </c>
      <c r="M343">
        <f>IF(I343="","",ROUND(I343/(J343+10),1))</f>
        <v/>
      </c>
      <c r="N343">
        <f>IF(M343="","",IF(M343&gt;=20,"A - Go first",IF(M343&gt;=5,"B - Next","C - Later")))</f>
        <v/>
      </c>
      <c r="O343" t="inlineStr">
        <is>
          <t>To research</t>
        </is>
      </c>
      <c r="P343" t="inlineStr"/>
    </row>
    <row r="344">
      <c r="A344" t="inlineStr">
        <is>
          <t>cash on delivery rice uae</t>
        </is>
      </c>
      <c r="B344" t="inlineStr">
        <is>
          <t>Retail/B2C</t>
        </is>
      </c>
      <c r="C344" t="inlineStr">
        <is>
          <t>Retail</t>
        </is>
      </c>
      <c r="D344" t="inlineStr">
        <is>
          <t>Transactional</t>
        </is>
      </c>
      <c r="E344" t="inlineStr">
        <is>
          <t>BOFU</t>
        </is>
      </c>
      <c r="F344" t="inlineStr">
        <is>
          <t>UAE</t>
        </is>
      </c>
      <c r="G344" t="inlineStr">
        <is>
          <t>Shop / category page</t>
        </is>
      </c>
      <c r="H344" t="inlineStr">
        <is>
          <t>Category</t>
        </is>
      </c>
      <c r="I344">
        <f>IFERROR(VLOOKUP($A344,'Semrush Import'!$A:$D,2,FALSE),"")</f>
        <v/>
      </c>
      <c r="J344">
        <f>IFERROR(VLOOKUP($A344,'Semrush Import'!$A:$D,3,FALSE),"")</f>
        <v/>
      </c>
      <c r="K344">
        <f>IFERROR(VLOOKUP($A344,'Semrush Import'!$A:$D,4,FALSE),"")</f>
        <v/>
      </c>
      <c r="L344">
        <f>IFERROR(VLOOKUP($A344,'KP Import'!$A:$B,2,FALSE),"")</f>
        <v/>
      </c>
      <c r="M344">
        <f>IF(I344="","",ROUND(I344/(J344+10),1))</f>
        <v/>
      </c>
      <c r="N344">
        <f>IF(M344="","",IF(M344&gt;=20,"A - Go first",IF(M344&gt;=5,"B - Next","C - Later")))</f>
        <v/>
      </c>
      <c r="O344" t="inlineStr">
        <is>
          <t>To research</t>
        </is>
      </c>
      <c r="P344" t="inlineStr"/>
    </row>
    <row r="345">
      <c r="A345" t="inlineStr">
        <is>
          <t>rice subscription uae</t>
        </is>
      </c>
      <c r="B345" t="inlineStr">
        <is>
          <t>Retail/B2C</t>
        </is>
      </c>
      <c r="C345" t="inlineStr">
        <is>
          <t>Retail</t>
        </is>
      </c>
      <c r="D345" t="inlineStr">
        <is>
          <t>Transactional</t>
        </is>
      </c>
      <c r="E345" t="inlineStr">
        <is>
          <t>BOFU</t>
        </is>
      </c>
      <c r="F345" t="inlineStr">
        <is>
          <t>UAE</t>
        </is>
      </c>
      <c r="G345" t="inlineStr">
        <is>
          <t>Shop / category page</t>
        </is>
      </c>
      <c r="H345" t="inlineStr">
        <is>
          <t>Category</t>
        </is>
      </c>
      <c r="I345">
        <f>IFERROR(VLOOKUP($A345,'Semrush Import'!$A:$D,2,FALSE),"")</f>
        <v/>
      </c>
      <c r="J345">
        <f>IFERROR(VLOOKUP($A345,'Semrush Import'!$A:$D,3,FALSE),"")</f>
        <v/>
      </c>
      <c r="K345">
        <f>IFERROR(VLOOKUP($A345,'Semrush Import'!$A:$D,4,FALSE),"")</f>
        <v/>
      </c>
      <c r="L345">
        <f>IFERROR(VLOOKUP($A345,'KP Import'!$A:$B,2,FALSE),"")</f>
        <v/>
      </c>
      <c r="M345">
        <f>IF(I345="","",ROUND(I345/(J345+10),1))</f>
        <v/>
      </c>
      <c r="N345">
        <f>IF(M345="","",IF(M345&gt;=20,"A - Go first",IF(M345&gt;=5,"B - Next","C - Later")))</f>
        <v/>
      </c>
      <c r="O345" t="inlineStr">
        <is>
          <t>To research</t>
        </is>
      </c>
      <c r="P345" t="inlineStr"/>
    </row>
    <row r="346">
      <c r="A346" t="inlineStr">
        <is>
          <t>monthly grocery rice dubai</t>
        </is>
      </c>
      <c r="B346" t="inlineStr">
        <is>
          <t>Retail/B2C</t>
        </is>
      </c>
      <c r="C346" t="inlineStr">
        <is>
          <t>Retail</t>
        </is>
      </c>
      <c r="D346" t="inlineStr">
        <is>
          <t>Transactional</t>
        </is>
      </c>
      <c r="E346" t="inlineStr">
        <is>
          <t>BOFU</t>
        </is>
      </c>
      <c r="F346" t="inlineStr">
        <is>
          <t>Dubai</t>
        </is>
      </c>
      <c r="G346" t="inlineStr">
        <is>
          <t>Shop / category page</t>
        </is>
      </c>
      <c r="H346" t="inlineStr">
        <is>
          <t>Category</t>
        </is>
      </c>
      <c r="I346">
        <f>IFERROR(VLOOKUP($A346,'Semrush Import'!$A:$D,2,FALSE),"")</f>
        <v/>
      </c>
      <c r="J346">
        <f>IFERROR(VLOOKUP($A346,'Semrush Import'!$A:$D,3,FALSE),"")</f>
        <v/>
      </c>
      <c r="K346">
        <f>IFERROR(VLOOKUP($A346,'Semrush Import'!$A:$D,4,FALSE),"")</f>
        <v/>
      </c>
      <c r="L346">
        <f>IFERROR(VLOOKUP($A346,'KP Import'!$A:$B,2,FALSE),"")</f>
        <v/>
      </c>
      <c r="M346">
        <f>IF(I346="","",ROUND(I346/(J346+10),1))</f>
        <v/>
      </c>
      <c r="N346">
        <f>IF(M346="","",IF(M346&gt;=20,"A - Go first",IF(M346&gt;=5,"B - Next","C - Later")))</f>
        <v/>
      </c>
      <c r="O346" t="inlineStr">
        <is>
          <t>To research</t>
        </is>
      </c>
      <c r="P346" t="inlineStr"/>
    </row>
    <row r="347">
      <c r="A347" t="inlineStr">
        <is>
          <t>rice cod dubai</t>
        </is>
      </c>
      <c r="B347" t="inlineStr">
        <is>
          <t>Retail/B2C</t>
        </is>
      </c>
      <c r="C347" t="inlineStr">
        <is>
          <t>Retail</t>
        </is>
      </c>
      <c r="D347" t="inlineStr">
        <is>
          <t>Transactional</t>
        </is>
      </c>
      <c r="E347" t="inlineStr">
        <is>
          <t>BOFU</t>
        </is>
      </c>
      <c r="F347" t="inlineStr">
        <is>
          <t>Dubai</t>
        </is>
      </c>
      <c r="G347" t="inlineStr">
        <is>
          <t>Shop / category page</t>
        </is>
      </c>
      <c r="H347" t="inlineStr">
        <is>
          <t>Category</t>
        </is>
      </c>
      <c r="I347">
        <f>IFERROR(VLOOKUP($A347,'Semrush Import'!$A:$D,2,FALSE),"")</f>
        <v/>
      </c>
      <c r="J347">
        <f>IFERROR(VLOOKUP($A347,'Semrush Import'!$A:$D,3,FALSE),"")</f>
        <v/>
      </c>
      <c r="K347">
        <f>IFERROR(VLOOKUP($A347,'Semrush Import'!$A:$D,4,FALSE),"")</f>
        <v/>
      </c>
      <c r="L347">
        <f>IFERROR(VLOOKUP($A347,'KP Import'!$A:$B,2,FALSE),"")</f>
        <v/>
      </c>
      <c r="M347">
        <f>IF(I347="","",ROUND(I347/(J347+10),1))</f>
        <v/>
      </c>
      <c r="N347">
        <f>IF(M347="","",IF(M347&gt;=20,"A - Go first",IF(M347&gt;=5,"B - Next","C - Later")))</f>
        <v/>
      </c>
      <c r="O347" t="inlineStr">
        <is>
          <t>To research</t>
        </is>
      </c>
      <c r="P347" t="inlineStr"/>
    </row>
    <row r="348">
      <c r="A348" t="inlineStr">
        <is>
          <t>rice online shopping uae</t>
        </is>
      </c>
      <c r="B348" t="inlineStr">
        <is>
          <t>Retail/B2C</t>
        </is>
      </c>
      <c r="C348" t="inlineStr">
        <is>
          <t>Retail</t>
        </is>
      </c>
      <c r="D348" t="inlineStr">
        <is>
          <t>Transactional</t>
        </is>
      </c>
      <c r="E348" t="inlineStr">
        <is>
          <t>BOFU</t>
        </is>
      </c>
      <c r="F348" t="inlineStr">
        <is>
          <t>UAE</t>
        </is>
      </c>
      <c r="G348" t="inlineStr">
        <is>
          <t>Shop / category page</t>
        </is>
      </c>
      <c r="H348" t="inlineStr">
        <is>
          <t>Category</t>
        </is>
      </c>
      <c r="I348">
        <f>IFERROR(VLOOKUP($A348,'Semrush Import'!$A:$D,2,FALSE),"")</f>
        <v/>
      </c>
      <c r="J348">
        <f>IFERROR(VLOOKUP($A348,'Semrush Import'!$A:$D,3,FALSE),"")</f>
        <v/>
      </c>
      <c r="K348">
        <f>IFERROR(VLOOKUP($A348,'Semrush Import'!$A:$D,4,FALSE),"")</f>
        <v/>
      </c>
      <c r="L348">
        <f>IFERROR(VLOOKUP($A348,'KP Import'!$A:$B,2,FALSE),"")</f>
        <v/>
      </c>
      <c r="M348">
        <f>IF(I348="","",ROUND(I348/(J348+10),1))</f>
        <v/>
      </c>
      <c r="N348">
        <f>IF(M348="","",IF(M348&gt;=20,"A - Go first",IF(M348&gt;=5,"B - Next","C - Later")))</f>
        <v/>
      </c>
      <c r="O348" t="inlineStr">
        <is>
          <t>To research</t>
        </is>
      </c>
      <c r="P348" t="inlineStr"/>
    </row>
    <row r="349">
      <c r="A349" t="inlineStr">
        <is>
          <t>halal rice uae</t>
        </is>
      </c>
      <c r="B349" t="inlineStr">
        <is>
          <t>Retail/B2C</t>
        </is>
      </c>
      <c r="C349" t="inlineStr">
        <is>
          <t>Retail</t>
        </is>
      </c>
      <c r="D349" t="inlineStr">
        <is>
          <t>Transactional</t>
        </is>
      </c>
      <c r="E349" t="inlineStr">
        <is>
          <t>BOFU</t>
        </is>
      </c>
      <c r="F349" t="inlineStr">
        <is>
          <t>UAE</t>
        </is>
      </c>
      <c r="G349" t="inlineStr">
        <is>
          <t>Shop / category page</t>
        </is>
      </c>
      <c r="H349" t="inlineStr">
        <is>
          <t>Category</t>
        </is>
      </c>
      <c r="I349">
        <f>IFERROR(VLOOKUP($A349,'Semrush Import'!$A:$D,2,FALSE),"")</f>
        <v/>
      </c>
      <c r="J349">
        <f>IFERROR(VLOOKUP($A349,'Semrush Import'!$A:$D,3,FALSE),"")</f>
        <v/>
      </c>
      <c r="K349">
        <f>IFERROR(VLOOKUP($A349,'Semrush Import'!$A:$D,4,FALSE),"")</f>
        <v/>
      </c>
      <c r="L349">
        <f>IFERROR(VLOOKUP($A349,'KP Import'!$A:$B,2,FALSE),"")</f>
        <v/>
      </c>
      <c r="M349">
        <f>IF(I349="","",ROUND(I349/(J349+10),1))</f>
        <v/>
      </c>
      <c r="N349">
        <f>IF(M349="","",IF(M349&gt;=20,"A - Go first",IF(M349&gt;=5,"B - Next","C - Later")))</f>
        <v/>
      </c>
      <c r="O349" t="inlineStr">
        <is>
          <t>To research</t>
        </is>
      </c>
      <c r="P349" t="inlineStr"/>
    </row>
    <row r="350">
      <c r="A350" t="inlineStr">
        <is>
          <t>organic rice uae</t>
        </is>
      </c>
      <c r="B350" t="inlineStr">
        <is>
          <t>Retail/B2C</t>
        </is>
      </c>
      <c r="C350" t="inlineStr">
        <is>
          <t>Retail</t>
        </is>
      </c>
      <c r="D350" t="inlineStr">
        <is>
          <t>Transactional</t>
        </is>
      </c>
      <c r="E350" t="inlineStr">
        <is>
          <t>BOFU</t>
        </is>
      </c>
      <c r="F350" t="inlineStr">
        <is>
          <t>UAE</t>
        </is>
      </c>
      <c r="G350" t="inlineStr">
        <is>
          <t>Shop / category page</t>
        </is>
      </c>
      <c r="H350" t="inlineStr">
        <is>
          <t>Category</t>
        </is>
      </c>
      <c r="I350">
        <f>IFERROR(VLOOKUP($A350,'Semrush Import'!$A:$D,2,FALSE),"")</f>
        <v/>
      </c>
      <c r="J350">
        <f>IFERROR(VLOOKUP($A350,'Semrush Import'!$A:$D,3,FALSE),"")</f>
        <v/>
      </c>
      <c r="K350">
        <f>IFERROR(VLOOKUP($A350,'Semrush Import'!$A:$D,4,FALSE),"")</f>
        <v/>
      </c>
      <c r="L350">
        <f>IFERROR(VLOOKUP($A350,'KP Import'!$A:$B,2,FALSE),"")</f>
        <v/>
      </c>
      <c r="M350">
        <f>IF(I350="","",ROUND(I350/(J350+10),1))</f>
        <v/>
      </c>
      <c r="N350">
        <f>IF(M350="","",IF(M350&gt;=20,"A - Go first",IF(M350&gt;=5,"B - Next","C - Later")))</f>
        <v/>
      </c>
      <c r="O350" t="inlineStr">
        <is>
          <t>To research</t>
        </is>
      </c>
      <c r="P350" t="inlineStr"/>
    </row>
    <row r="351">
      <c r="A351" t="inlineStr">
        <is>
          <t>organic basmati rice dubai</t>
        </is>
      </c>
      <c r="B351" t="inlineStr">
        <is>
          <t>Retail/B2C</t>
        </is>
      </c>
      <c r="C351" t="inlineStr">
        <is>
          <t>Retail</t>
        </is>
      </c>
      <c r="D351" t="inlineStr">
        <is>
          <t>Transactional</t>
        </is>
      </c>
      <c r="E351" t="inlineStr">
        <is>
          <t>BOFU</t>
        </is>
      </c>
      <c r="F351" t="inlineStr">
        <is>
          <t>Dubai</t>
        </is>
      </c>
      <c r="G351" t="inlineStr">
        <is>
          <t>Shop / category page</t>
        </is>
      </c>
      <c r="H351" t="inlineStr">
        <is>
          <t>Category</t>
        </is>
      </c>
      <c r="I351">
        <f>IFERROR(VLOOKUP($A351,'Semrush Import'!$A:$D,2,FALSE),"")</f>
        <v/>
      </c>
      <c r="J351">
        <f>IFERROR(VLOOKUP($A351,'Semrush Import'!$A:$D,3,FALSE),"")</f>
        <v/>
      </c>
      <c r="K351">
        <f>IFERROR(VLOOKUP($A351,'Semrush Import'!$A:$D,4,FALSE),"")</f>
        <v/>
      </c>
      <c r="L351">
        <f>IFERROR(VLOOKUP($A351,'KP Import'!$A:$B,2,FALSE),"")</f>
        <v/>
      </c>
      <c r="M351">
        <f>IF(I351="","",ROUND(I351/(J351+10),1))</f>
        <v/>
      </c>
      <c r="N351">
        <f>IF(M351="","",IF(M351&gt;=20,"A - Go first",IF(M351&gt;=5,"B - Next","C - Later")))</f>
        <v/>
      </c>
      <c r="O351" t="inlineStr">
        <is>
          <t>To research</t>
        </is>
      </c>
      <c r="P351" t="inlineStr"/>
    </row>
    <row r="352">
      <c r="A352" t="inlineStr">
        <is>
          <t>gluten free rice uae</t>
        </is>
      </c>
      <c r="B352" t="inlineStr">
        <is>
          <t>Retail/B2C</t>
        </is>
      </c>
      <c r="C352" t="inlineStr">
        <is>
          <t>Retail</t>
        </is>
      </c>
      <c r="D352" t="inlineStr">
        <is>
          <t>Transactional</t>
        </is>
      </c>
      <c r="E352" t="inlineStr">
        <is>
          <t>BOFU</t>
        </is>
      </c>
      <c r="F352" t="inlineStr">
        <is>
          <t>UAE</t>
        </is>
      </c>
      <c r="G352" t="inlineStr">
        <is>
          <t>Shop / category page</t>
        </is>
      </c>
      <c r="H352" t="inlineStr">
        <is>
          <t>Category</t>
        </is>
      </c>
      <c r="I352">
        <f>IFERROR(VLOOKUP($A352,'Semrush Import'!$A:$D,2,FALSE),"")</f>
        <v/>
      </c>
      <c r="J352">
        <f>IFERROR(VLOOKUP($A352,'Semrush Import'!$A:$D,3,FALSE),"")</f>
        <v/>
      </c>
      <c r="K352">
        <f>IFERROR(VLOOKUP($A352,'Semrush Import'!$A:$D,4,FALSE),"")</f>
        <v/>
      </c>
      <c r="L352">
        <f>IFERROR(VLOOKUP($A352,'KP Import'!$A:$B,2,FALSE),"")</f>
        <v/>
      </c>
      <c r="M352">
        <f>IF(I352="","",ROUND(I352/(J352+10),1))</f>
        <v/>
      </c>
      <c r="N352">
        <f>IF(M352="","",IF(M352&gt;=20,"A - Go first",IF(M352&gt;=5,"B - Next","C - Later")))</f>
        <v/>
      </c>
      <c r="O352" t="inlineStr">
        <is>
          <t>To research</t>
        </is>
      </c>
      <c r="P352" t="inlineStr"/>
    </row>
    <row r="353">
      <c r="A353" t="inlineStr">
        <is>
          <t>export quality basmati rice uae</t>
        </is>
      </c>
      <c r="B353" t="inlineStr">
        <is>
          <t>Retail/B2C</t>
        </is>
      </c>
      <c r="C353" t="inlineStr">
        <is>
          <t>Retail</t>
        </is>
      </c>
      <c r="D353" t="inlineStr">
        <is>
          <t>Transactional</t>
        </is>
      </c>
      <c r="E353" t="inlineStr">
        <is>
          <t>BOFU</t>
        </is>
      </c>
      <c r="F353" t="inlineStr">
        <is>
          <t>UAE</t>
        </is>
      </c>
      <c r="G353" t="inlineStr">
        <is>
          <t>Shop / category page</t>
        </is>
      </c>
      <c r="H353" t="inlineStr">
        <is>
          <t>Category</t>
        </is>
      </c>
      <c r="I353">
        <f>IFERROR(VLOOKUP($A353,'Semrush Import'!$A:$D,2,FALSE),"")</f>
        <v/>
      </c>
      <c r="J353">
        <f>IFERROR(VLOOKUP($A353,'Semrush Import'!$A:$D,3,FALSE),"")</f>
        <v/>
      </c>
      <c r="K353">
        <f>IFERROR(VLOOKUP($A353,'Semrush Import'!$A:$D,4,FALSE),"")</f>
        <v/>
      </c>
      <c r="L353">
        <f>IFERROR(VLOOKUP($A353,'KP Import'!$A:$B,2,FALSE),"")</f>
        <v/>
      </c>
      <c r="M353">
        <f>IF(I353="","",ROUND(I353/(J353+10),1))</f>
        <v/>
      </c>
      <c r="N353">
        <f>IF(M353="","",IF(M353&gt;=20,"A - Go first",IF(M353&gt;=5,"B - Next","C - Later")))</f>
        <v/>
      </c>
      <c r="O353" t="inlineStr">
        <is>
          <t>To research</t>
        </is>
      </c>
      <c r="P353" t="inlineStr"/>
    </row>
    <row r="354">
      <c r="A354" t="inlineStr">
        <is>
          <t>basmati rice dubai</t>
        </is>
      </c>
      <c r="B354" t="inlineStr">
        <is>
          <t>Location</t>
        </is>
      </c>
      <c r="C354" t="inlineStr">
        <is>
          <t>Basmati Rice</t>
        </is>
      </c>
      <c r="D354" t="inlineStr">
        <is>
          <t>Local/Transactional</t>
        </is>
      </c>
      <c r="E354" t="inlineStr">
        <is>
          <t>BOFU</t>
        </is>
      </c>
      <c r="F354" t="inlineStr">
        <is>
          <t>Dubai</t>
        </is>
      </c>
      <c r="G354" t="inlineStr">
        <is>
          <t>Dubai location landing page</t>
        </is>
      </c>
      <c r="H354" t="inlineStr">
        <is>
          <t>Location landing</t>
        </is>
      </c>
      <c r="I354">
        <f>IFERROR(VLOOKUP($A354,'Semrush Import'!$A:$D,2,FALSE),"")</f>
        <v/>
      </c>
      <c r="J354">
        <f>IFERROR(VLOOKUP($A354,'Semrush Import'!$A:$D,3,FALSE),"")</f>
        <v/>
      </c>
      <c r="K354">
        <f>IFERROR(VLOOKUP($A354,'Semrush Import'!$A:$D,4,FALSE),"")</f>
        <v/>
      </c>
      <c r="L354">
        <f>IFERROR(VLOOKUP($A354,'KP Import'!$A:$B,2,FALSE),"")</f>
        <v/>
      </c>
      <c r="M354">
        <f>IF(I354="","",ROUND(I354/(J354+10),1))</f>
        <v/>
      </c>
      <c r="N354">
        <f>IF(M354="","",IF(M354&gt;=20,"A - Go first",IF(M354&gt;=5,"B - Next","C - Later")))</f>
        <v/>
      </c>
      <c r="O354" t="inlineStr">
        <is>
          <t>To research</t>
        </is>
      </c>
      <c r="P354" t="inlineStr"/>
    </row>
    <row r="355">
      <c r="A355" t="inlineStr">
        <is>
          <t>buy rice online dubai</t>
        </is>
      </c>
      <c r="B355" t="inlineStr">
        <is>
          <t>Location</t>
        </is>
      </c>
      <c r="C355" t="inlineStr">
        <is>
          <t>Buy Rice Online</t>
        </is>
      </c>
      <c r="D355" t="inlineStr">
        <is>
          <t>Local/Transactional</t>
        </is>
      </c>
      <c r="E355" t="inlineStr">
        <is>
          <t>BOFU</t>
        </is>
      </c>
      <c r="F355" t="inlineStr">
        <is>
          <t>Dubai</t>
        </is>
      </c>
      <c r="G355" t="inlineStr">
        <is>
          <t>Dubai location landing page</t>
        </is>
      </c>
      <c r="H355" t="inlineStr">
        <is>
          <t>Location landing</t>
        </is>
      </c>
      <c r="I355">
        <f>IFERROR(VLOOKUP($A355,'Semrush Import'!$A:$D,2,FALSE),"")</f>
        <v/>
      </c>
      <c r="J355">
        <f>IFERROR(VLOOKUP($A355,'Semrush Import'!$A:$D,3,FALSE),"")</f>
        <v/>
      </c>
      <c r="K355">
        <f>IFERROR(VLOOKUP($A355,'Semrush Import'!$A:$D,4,FALSE),"")</f>
        <v/>
      </c>
      <c r="L355">
        <f>IFERROR(VLOOKUP($A355,'KP Import'!$A:$B,2,FALSE),"")</f>
        <v/>
      </c>
      <c r="M355">
        <f>IF(I355="","",ROUND(I355/(J355+10),1))</f>
        <v/>
      </c>
      <c r="N355">
        <f>IF(M355="","",IF(M355&gt;=20,"A - Go first",IF(M355&gt;=5,"B - Next","C - Later")))</f>
        <v/>
      </c>
      <c r="O355" t="inlineStr">
        <is>
          <t>To research</t>
        </is>
      </c>
      <c r="P355" t="inlineStr"/>
    </row>
    <row r="356">
      <c r="A356" t="inlineStr">
        <is>
          <t>sella basmati rice dubai</t>
        </is>
      </c>
      <c r="B356" t="inlineStr">
        <is>
          <t>Location</t>
        </is>
      </c>
      <c r="C356" t="inlineStr">
        <is>
          <t>Sella Basmati Rice</t>
        </is>
      </c>
      <c r="D356" t="inlineStr">
        <is>
          <t>Local/Transactional</t>
        </is>
      </c>
      <c r="E356" t="inlineStr">
        <is>
          <t>BOFU</t>
        </is>
      </c>
      <c r="F356" t="inlineStr">
        <is>
          <t>Dubai</t>
        </is>
      </c>
      <c r="G356" t="inlineStr">
        <is>
          <t>Dubai location landing page</t>
        </is>
      </c>
      <c r="H356" t="inlineStr">
        <is>
          <t>Location landing</t>
        </is>
      </c>
      <c r="I356">
        <f>IFERROR(VLOOKUP($A356,'Semrush Import'!$A:$D,2,FALSE),"")</f>
        <v/>
      </c>
      <c r="J356">
        <f>IFERROR(VLOOKUP($A356,'Semrush Import'!$A:$D,3,FALSE),"")</f>
        <v/>
      </c>
      <c r="K356">
        <f>IFERROR(VLOOKUP($A356,'Semrush Import'!$A:$D,4,FALSE),"")</f>
        <v/>
      </c>
      <c r="L356">
        <f>IFERROR(VLOOKUP($A356,'KP Import'!$A:$B,2,FALSE),"")</f>
        <v/>
      </c>
      <c r="M356">
        <f>IF(I356="","",ROUND(I356/(J356+10),1))</f>
        <v/>
      </c>
      <c r="N356">
        <f>IF(M356="","",IF(M356&gt;=20,"A - Go first",IF(M356&gt;=5,"B - Next","C - Later")))</f>
        <v/>
      </c>
      <c r="O356" t="inlineStr">
        <is>
          <t>To research</t>
        </is>
      </c>
      <c r="P356" t="inlineStr"/>
    </row>
    <row r="357">
      <c r="A357" t="inlineStr">
        <is>
          <t>basmati rice abu dhabi</t>
        </is>
      </c>
      <c r="B357" t="inlineStr">
        <is>
          <t>Location</t>
        </is>
      </c>
      <c r="C357" t="inlineStr">
        <is>
          <t>Basmati Rice</t>
        </is>
      </c>
      <c r="D357" t="inlineStr">
        <is>
          <t>Local/Transactional</t>
        </is>
      </c>
      <c r="E357" t="inlineStr">
        <is>
          <t>BOFU</t>
        </is>
      </c>
      <c r="F357" t="inlineStr">
        <is>
          <t>Abu Dhabi</t>
        </is>
      </c>
      <c r="G357" t="inlineStr">
        <is>
          <t>Abu Dhabi location landing page</t>
        </is>
      </c>
      <c r="H357" t="inlineStr">
        <is>
          <t>Location landing</t>
        </is>
      </c>
      <c r="I357">
        <f>IFERROR(VLOOKUP($A357,'Semrush Import'!$A:$D,2,FALSE),"")</f>
        <v/>
      </c>
      <c r="J357">
        <f>IFERROR(VLOOKUP($A357,'Semrush Import'!$A:$D,3,FALSE),"")</f>
        <v/>
      </c>
      <c r="K357">
        <f>IFERROR(VLOOKUP($A357,'Semrush Import'!$A:$D,4,FALSE),"")</f>
        <v/>
      </c>
      <c r="L357">
        <f>IFERROR(VLOOKUP($A357,'KP Import'!$A:$B,2,FALSE),"")</f>
        <v/>
      </c>
      <c r="M357">
        <f>IF(I357="","",ROUND(I357/(J357+10),1))</f>
        <v/>
      </c>
      <c r="N357">
        <f>IF(M357="","",IF(M357&gt;=20,"A - Go first",IF(M357&gt;=5,"B - Next","C - Later")))</f>
        <v/>
      </c>
      <c r="O357" t="inlineStr">
        <is>
          <t>To research</t>
        </is>
      </c>
      <c r="P357" t="inlineStr"/>
    </row>
    <row r="358">
      <c r="A358" t="inlineStr">
        <is>
          <t>rice wholesale abu dhabi</t>
        </is>
      </c>
      <c r="B358" t="inlineStr">
        <is>
          <t>Location</t>
        </is>
      </c>
      <c r="C358" t="inlineStr">
        <is>
          <t>Rice Wholesale</t>
        </is>
      </c>
      <c r="D358" t="inlineStr">
        <is>
          <t>Local/Transactional</t>
        </is>
      </c>
      <c r="E358" t="inlineStr">
        <is>
          <t>BOFU</t>
        </is>
      </c>
      <c r="F358" t="inlineStr">
        <is>
          <t>Abu Dhabi</t>
        </is>
      </c>
      <c r="G358" t="inlineStr">
        <is>
          <t>Abu Dhabi location landing page</t>
        </is>
      </c>
      <c r="H358" t="inlineStr">
        <is>
          <t>Location landing</t>
        </is>
      </c>
      <c r="I358">
        <f>IFERROR(VLOOKUP($A358,'Semrush Import'!$A:$D,2,FALSE),"")</f>
        <v/>
      </c>
      <c r="J358">
        <f>IFERROR(VLOOKUP($A358,'Semrush Import'!$A:$D,3,FALSE),"")</f>
        <v/>
      </c>
      <c r="K358">
        <f>IFERROR(VLOOKUP($A358,'Semrush Import'!$A:$D,4,FALSE),"")</f>
        <v/>
      </c>
      <c r="L358">
        <f>IFERROR(VLOOKUP($A358,'KP Import'!$A:$B,2,FALSE),"")</f>
        <v/>
      </c>
      <c r="M358">
        <f>IF(I358="","",ROUND(I358/(J358+10),1))</f>
        <v/>
      </c>
      <c r="N358">
        <f>IF(M358="","",IF(M358&gt;=20,"A - Go first",IF(M358&gt;=5,"B - Next","C - Later")))</f>
        <v/>
      </c>
      <c r="O358" t="inlineStr">
        <is>
          <t>To research</t>
        </is>
      </c>
      <c r="P358" t="inlineStr"/>
    </row>
    <row r="359">
      <c r="A359" t="inlineStr">
        <is>
          <t>buy rice online abu dhabi</t>
        </is>
      </c>
      <c r="B359" t="inlineStr">
        <is>
          <t>Location</t>
        </is>
      </c>
      <c r="C359" t="inlineStr">
        <is>
          <t>Buy Rice Online</t>
        </is>
      </c>
      <c r="D359" t="inlineStr">
        <is>
          <t>Local/Transactional</t>
        </is>
      </c>
      <c r="E359" t="inlineStr">
        <is>
          <t>BOFU</t>
        </is>
      </c>
      <c r="F359" t="inlineStr">
        <is>
          <t>Abu Dhabi</t>
        </is>
      </c>
      <c r="G359" t="inlineStr">
        <is>
          <t>Abu Dhabi location landing page</t>
        </is>
      </c>
      <c r="H359" t="inlineStr">
        <is>
          <t>Location landing</t>
        </is>
      </c>
      <c r="I359">
        <f>IFERROR(VLOOKUP($A359,'Semrush Import'!$A:$D,2,FALSE),"")</f>
        <v/>
      </c>
      <c r="J359">
        <f>IFERROR(VLOOKUP($A359,'Semrush Import'!$A:$D,3,FALSE),"")</f>
        <v/>
      </c>
      <c r="K359">
        <f>IFERROR(VLOOKUP($A359,'Semrush Import'!$A:$D,4,FALSE),"")</f>
        <v/>
      </c>
      <c r="L359">
        <f>IFERROR(VLOOKUP($A359,'KP Import'!$A:$B,2,FALSE),"")</f>
        <v/>
      </c>
      <c r="M359">
        <f>IF(I359="","",ROUND(I359/(J359+10),1))</f>
        <v/>
      </c>
      <c r="N359">
        <f>IF(M359="","",IF(M359&gt;=20,"A - Go first",IF(M359&gt;=5,"B - Next","C - Later")))</f>
        <v/>
      </c>
      <c r="O359" t="inlineStr">
        <is>
          <t>To research</t>
        </is>
      </c>
      <c r="P359" t="inlineStr"/>
    </row>
    <row r="360">
      <c r="A360" t="inlineStr">
        <is>
          <t>rice delivery abu dhabi</t>
        </is>
      </c>
      <c r="B360" t="inlineStr">
        <is>
          <t>Location</t>
        </is>
      </c>
      <c r="C360" t="inlineStr">
        <is>
          <t>Rice Delivery</t>
        </is>
      </c>
      <c r="D360" t="inlineStr">
        <is>
          <t>Local/Transactional</t>
        </is>
      </c>
      <c r="E360" t="inlineStr">
        <is>
          <t>BOFU</t>
        </is>
      </c>
      <c r="F360" t="inlineStr">
        <is>
          <t>Abu Dhabi</t>
        </is>
      </c>
      <c r="G360" t="inlineStr">
        <is>
          <t>Abu Dhabi location landing page</t>
        </is>
      </c>
      <c r="H360" t="inlineStr">
        <is>
          <t>Location landing</t>
        </is>
      </c>
      <c r="I360">
        <f>IFERROR(VLOOKUP($A360,'Semrush Import'!$A:$D,2,FALSE),"")</f>
        <v/>
      </c>
      <c r="J360">
        <f>IFERROR(VLOOKUP($A360,'Semrush Import'!$A:$D,3,FALSE),"")</f>
        <v/>
      </c>
      <c r="K360">
        <f>IFERROR(VLOOKUP($A360,'Semrush Import'!$A:$D,4,FALSE),"")</f>
        <v/>
      </c>
      <c r="L360">
        <f>IFERROR(VLOOKUP($A360,'KP Import'!$A:$B,2,FALSE),"")</f>
        <v/>
      </c>
      <c r="M360">
        <f>IF(I360="","",ROUND(I360/(J360+10),1))</f>
        <v/>
      </c>
      <c r="N360">
        <f>IF(M360="","",IF(M360&gt;=20,"A - Go first",IF(M360&gt;=5,"B - Next","C - Later")))</f>
        <v/>
      </c>
      <c r="O360" t="inlineStr">
        <is>
          <t>To research</t>
        </is>
      </c>
      <c r="P360" t="inlineStr"/>
    </row>
    <row r="361">
      <c r="A361" t="inlineStr">
        <is>
          <t>sella basmati rice abu dhabi</t>
        </is>
      </c>
      <c r="B361" t="inlineStr">
        <is>
          <t>Location</t>
        </is>
      </c>
      <c r="C361" t="inlineStr">
        <is>
          <t>Sella Basmati Rice</t>
        </is>
      </c>
      <c r="D361" t="inlineStr">
        <is>
          <t>Local/Transactional</t>
        </is>
      </c>
      <c r="E361" t="inlineStr">
        <is>
          <t>BOFU</t>
        </is>
      </c>
      <c r="F361" t="inlineStr">
        <is>
          <t>Abu Dhabi</t>
        </is>
      </c>
      <c r="G361" t="inlineStr">
        <is>
          <t>Abu Dhabi location landing page</t>
        </is>
      </c>
      <c r="H361" t="inlineStr">
        <is>
          <t>Location landing</t>
        </is>
      </c>
      <c r="I361">
        <f>IFERROR(VLOOKUP($A361,'Semrush Import'!$A:$D,2,FALSE),"")</f>
        <v/>
      </c>
      <c r="J361">
        <f>IFERROR(VLOOKUP($A361,'Semrush Import'!$A:$D,3,FALSE),"")</f>
        <v/>
      </c>
      <c r="K361">
        <f>IFERROR(VLOOKUP($A361,'Semrush Import'!$A:$D,4,FALSE),"")</f>
        <v/>
      </c>
      <c r="L361">
        <f>IFERROR(VLOOKUP($A361,'KP Import'!$A:$B,2,FALSE),"")</f>
        <v/>
      </c>
      <c r="M361">
        <f>IF(I361="","",ROUND(I361/(J361+10),1))</f>
        <v/>
      </c>
      <c r="N361">
        <f>IF(M361="","",IF(M361&gt;=20,"A - Go first",IF(M361&gt;=5,"B - Next","C - Later")))</f>
        <v/>
      </c>
      <c r="O361" t="inlineStr">
        <is>
          <t>To research</t>
        </is>
      </c>
      <c r="P361" t="inlineStr"/>
    </row>
    <row r="362">
      <c r="A362" t="inlineStr">
        <is>
          <t>basmati rice sharjah</t>
        </is>
      </c>
      <c r="B362" t="inlineStr">
        <is>
          <t>Location</t>
        </is>
      </c>
      <c r="C362" t="inlineStr">
        <is>
          <t>Basmati Rice</t>
        </is>
      </c>
      <c r="D362" t="inlineStr">
        <is>
          <t>Local/Transactional</t>
        </is>
      </c>
      <c r="E362" t="inlineStr">
        <is>
          <t>BOFU</t>
        </is>
      </c>
      <c r="F362" t="inlineStr">
        <is>
          <t>Sharjah</t>
        </is>
      </c>
      <c r="G362" t="inlineStr">
        <is>
          <t>Sharjah location landing page</t>
        </is>
      </c>
      <c r="H362" t="inlineStr">
        <is>
          <t>Location landing</t>
        </is>
      </c>
      <c r="I362">
        <f>IFERROR(VLOOKUP($A362,'Semrush Import'!$A:$D,2,FALSE),"")</f>
        <v/>
      </c>
      <c r="J362">
        <f>IFERROR(VLOOKUP($A362,'Semrush Import'!$A:$D,3,FALSE),"")</f>
        <v/>
      </c>
      <c r="K362">
        <f>IFERROR(VLOOKUP($A362,'Semrush Import'!$A:$D,4,FALSE),"")</f>
        <v/>
      </c>
      <c r="L362">
        <f>IFERROR(VLOOKUP($A362,'KP Import'!$A:$B,2,FALSE),"")</f>
        <v/>
      </c>
      <c r="M362">
        <f>IF(I362="","",ROUND(I362/(J362+10),1))</f>
        <v/>
      </c>
      <c r="N362">
        <f>IF(M362="","",IF(M362&gt;=20,"A - Go first",IF(M362&gt;=5,"B - Next","C - Later")))</f>
        <v/>
      </c>
      <c r="O362" t="inlineStr">
        <is>
          <t>To research</t>
        </is>
      </c>
      <c r="P362" t="inlineStr"/>
    </row>
    <row r="363">
      <c r="A363" t="inlineStr">
        <is>
          <t>rice supplier sharjah</t>
        </is>
      </c>
      <c r="B363" t="inlineStr">
        <is>
          <t>Location</t>
        </is>
      </c>
      <c r="C363" t="inlineStr">
        <is>
          <t>Rice Supplier</t>
        </is>
      </c>
      <c r="D363" t="inlineStr">
        <is>
          <t>Local/Transactional</t>
        </is>
      </c>
      <c r="E363" t="inlineStr">
        <is>
          <t>BOFU</t>
        </is>
      </c>
      <c r="F363" t="inlineStr">
        <is>
          <t>Sharjah</t>
        </is>
      </c>
      <c r="G363" t="inlineStr">
        <is>
          <t>Sharjah location landing page</t>
        </is>
      </c>
      <c r="H363" t="inlineStr">
        <is>
          <t>Location landing</t>
        </is>
      </c>
      <c r="I363">
        <f>IFERROR(VLOOKUP($A363,'Semrush Import'!$A:$D,2,FALSE),"")</f>
        <v/>
      </c>
      <c r="J363">
        <f>IFERROR(VLOOKUP($A363,'Semrush Import'!$A:$D,3,FALSE),"")</f>
        <v/>
      </c>
      <c r="K363">
        <f>IFERROR(VLOOKUP($A363,'Semrush Import'!$A:$D,4,FALSE),"")</f>
        <v/>
      </c>
      <c r="L363">
        <f>IFERROR(VLOOKUP($A363,'KP Import'!$A:$B,2,FALSE),"")</f>
        <v/>
      </c>
      <c r="M363">
        <f>IF(I363="","",ROUND(I363/(J363+10),1))</f>
        <v/>
      </c>
      <c r="N363">
        <f>IF(M363="","",IF(M363&gt;=20,"A - Go first",IF(M363&gt;=5,"B - Next","C - Later")))</f>
        <v/>
      </c>
      <c r="O363" t="inlineStr">
        <is>
          <t>To research</t>
        </is>
      </c>
      <c r="P363" t="inlineStr"/>
    </row>
    <row r="364">
      <c r="A364" t="inlineStr">
        <is>
          <t>buy rice online sharjah</t>
        </is>
      </c>
      <c r="B364" t="inlineStr">
        <is>
          <t>Location</t>
        </is>
      </c>
      <c r="C364" t="inlineStr">
        <is>
          <t>Buy Rice Online</t>
        </is>
      </c>
      <c r="D364" t="inlineStr">
        <is>
          <t>Local/Transactional</t>
        </is>
      </c>
      <c r="E364" t="inlineStr">
        <is>
          <t>BOFU</t>
        </is>
      </c>
      <c r="F364" t="inlineStr">
        <is>
          <t>Sharjah</t>
        </is>
      </c>
      <c r="G364" t="inlineStr">
        <is>
          <t>Sharjah location landing page</t>
        </is>
      </c>
      <c r="H364" t="inlineStr">
        <is>
          <t>Location landing</t>
        </is>
      </c>
      <c r="I364">
        <f>IFERROR(VLOOKUP($A364,'Semrush Import'!$A:$D,2,FALSE),"")</f>
        <v/>
      </c>
      <c r="J364">
        <f>IFERROR(VLOOKUP($A364,'Semrush Import'!$A:$D,3,FALSE),"")</f>
        <v/>
      </c>
      <c r="K364">
        <f>IFERROR(VLOOKUP($A364,'Semrush Import'!$A:$D,4,FALSE),"")</f>
        <v/>
      </c>
      <c r="L364">
        <f>IFERROR(VLOOKUP($A364,'KP Import'!$A:$B,2,FALSE),"")</f>
        <v/>
      </c>
      <c r="M364">
        <f>IF(I364="","",ROUND(I364/(J364+10),1))</f>
        <v/>
      </c>
      <c r="N364">
        <f>IF(M364="","",IF(M364&gt;=20,"A - Go first",IF(M364&gt;=5,"B - Next","C - Later")))</f>
        <v/>
      </c>
      <c r="O364" t="inlineStr">
        <is>
          <t>To research</t>
        </is>
      </c>
      <c r="P364" t="inlineStr"/>
    </row>
    <row r="365">
      <c r="A365" t="inlineStr">
        <is>
          <t>rice delivery sharjah</t>
        </is>
      </c>
      <c r="B365" t="inlineStr">
        <is>
          <t>Location</t>
        </is>
      </c>
      <c r="C365" t="inlineStr">
        <is>
          <t>Rice Delivery</t>
        </is>
      </c>
      <c r="D365" t="inlineStr">
        <is>
          <t>Local/Transactional</t>
        </is>
      </c>
      <c r="E365" t="inlineStr">
        <is>
          <t>BOFU</t>
        </is>
      </c>
      <c r="F365" t="inlineStr">
        <is>
          <t>Sharjah</t>
        </is>
      </c>
      <c r="G365" t="inlineStr">
        <is>
          <t>Sharjah location landing page</t>
        </is>
      </c>
      <c r="H365" t="inlineStr">
        <is>
          <t>Location landing</t>
        </is>
      </c>
      <c r="I365">
        <f>IFERROR(VLOOKUP($A365,'Semrush Import'!$A:$D,2,FALSE),"")</f>
        <v/>
      </c>
      <c r="J365">
        <f>IFERROR(VLOOKUP($A365,'Semrush Import'!$A:$D,3,FALSE),"")</f>
        <v/>
      </c>
      <c r="K365">
        <f>IFERROR(VLOOKUP($A365,'Semrush Import'!$A:$D,4,FALSE),"")</f>
        <v/>
      </c>
      <c r="L365">
        <f>IFERROR(VLOOKUP($A365,'KP Import'!$A:$B,2,FALSE),"")</f>
        <v/>
      </c>
      <c r="M365">
        <f>IF(I365="","",ROUND(I365/(J365+10),1))</f>
        <v/>
      </c>
      <c r="N365">
        <f>IF(M365="","",IF(M365&gt;=20,"A - Go first",IF(M365&gt;=5,"B - Next","C - Later")))</f>
        <v/>
      </c>
      <c r="O365" t="inlineStr">
        <is>
          <t>To research</t>
        </is>
      </c>
      <c r="P365" t="inlineStr"/>
    </row>
    <row r="366">
      <c r="A366" t="inlineStr">
        <is>
          <t>sella basmati rice sharjah</t>
        </is>
      </c>
      <c r="B366" t="inlineStr">
        <is>
          <t>Location</t>
        </is>
      </c>
      <c r="C366" t="inlineStr">
        <is>
          <t>Sella Basmati Rice</t>
        </is>
      </c>
      <c r="D366" t="inlineStr">
        <is>
          <t>Local/Transactional</t>
        </is>
      </c>
      <c r="E366" t="inlineStr">
        <is>
          <t>BOFU</t>
        </is>
      </c>
      <c r="F366" t="inlineStr">
        <is>
          <t>Sharjah</t>
        </is>
      </c>
      <c r="G366" t="inlineStr">
        <is>
          <t>Sharjah location landing page</t>
        </is>
      </c>
      <c r="H366" t="inlineStr">
        <is>
          <t>Location landing</t>
        </is>
      </c>
      <c r="I366">
        <f>IFERROR(VLOOKUP($A366,'Semrush Import'!$A:$D,2,FALSE),"")</f>
        <v/>
      </c>
      <c r="J366">
        <f>IFERROR(VLOOKUP($A366,'Semrush Import'!$A:$D,3,FALSE),"")</f>
        <v/>
      </c>
      <c r="K366">
        <f>IFERROR(VLOOKUP($A366,'Semrush Import'!$A:$D,4,FALSE),"")</f>
        <v/>
      </c>
      <c r="L366">
        <f>IFERROR(VLOOKUP($A366,'KP Import'!$A:$B,2,FALSE),"")</f>
        <v/>
      </c>
      <c r="M366">
        <f>IF(I366="","",ROUND(I366/(J366+10),1))</f>
        <v/>
      </c>
      <c r="N366">
        <f>IF(M366="","",IF(M366&gt;=20,"A - Go first",IF(M366&gt;=5,"B - Next","C - Later")))</f>
        <v/>
      </c>
      <c r="O366" t="inlineStr">
        <is>
          <t>To research</t>
        </is>
      </c>
      <c r="P366" t="inlineStr"/>
    </row>
    <row r="367">
      <c r="A367" t="inlineStr">
        <is>
          <t>basmati rice ajman</t>
        </is>
      </c>
      <c r="B367" t="inlineStr">
        <is>
          <t>Location</t>
        </is>
      </c>
      <c r="C367" t="inlineStr">
        <is>
          <t>Basmati Rice</t>
        </is>
      </c>
      <c r="D367" t="inlineStr">
        <is>
          <t>Local/Transactional</t>
        </is>
      </c>
      <c r="E367" t="inlineStr">
        <is>
          <t>BOFU</t>
        </is>
      </c>
      <c r="F367" t="inlineStr">
        <is>
          <t>Ajman</t>
        </is>
      </c>
      <c r="G367" t="inlineStr">
        <is>
          <t>Ajman location landing page</t>
        </is>
      </c>
      <c r="H367" t="inlineStr">
        <is>
          <t>Location landing</t>
        </is>
      </c>
      <c r="I367">
        <f>IFERROR(VLOOKUP($A367,'Semrush Import'!$A:$D,2,FALSE),"")</f>
        <v/>
      </c>
      <c r="J367">
        <f>IFERROR(VLOOKUP($A367,'Semrush Import'!$A:$D,3,FALSE),"")</f>
        <v/>
      </c>
      <c r="K367">
        <f>IFERROR(VLOOKUP($A367,'Semrush Import'!$A:$D,4,FALSE),"")</f>
        <v/>
      </c>
      <c r="L367">
        <f>IFERROR(VLOOKUP($A367,'KP Import'!$A:$B,2,FALSE),"")</f>
        <v/>
      </c>
      <c r="M367">
        <f>IF(I367="","",ROUND(I367/(J367+10),1))</f>
        <v/>
      </c>
      <c r="N367">
        <f>IF(M367="","",IF(M367&gt;=20,"A - Go first",IF(M367&gt;=5,"B - Next","C - Later")))</f>
        <v/>
      </c>
      <c r="O367" t="inlineStr">
        <is>
          <t>To research</t>
        </is>
      </c>
      <c r="P367" t="inlineStr"/>
    </row>
    <row r="368">
      <c r="A368" t="inlineStr">
        <is>
          <t>rice wholesale ajman</t>
        </is>
      </c>
      <c r="B368" t="inlineStr">
        <is>
          <t>Location</t>
        </is>
      </c>
      <c r="C368" t="inlineStr">
        <is>
          <t>Rice Wholesale</t>
        </is>
      </c>
      <c r="D368" t="inlineStr">
        <is>
          <t>Local/Transactional</t>
        </is>
      </c>
      <c r="E368" t="inlineStr">
        <is>
          <t>BOFU</t>
        </is>
      </c>
      <c r="F368" t="inlineStr">
        <is>
          <t>Ajman</t>
        </is>
      </c>
      <c r="G368" t="inlineStr">
        <is>
          <t>Ajman location landing page</t>
        </is>
      </c>
      <c r="H368" t="inlineStr">
        <is>
          <t>Location landing</t>
        </is>
      </c>
      <c r="I368">
        <f>IFERROR(VLOOKUP($A368,'Semrush Import'!$A:$D,2,FALSE),"")</f>
        <v/>
      </c>
      <c r="J368">
        <f>IFERROR(VLOOKUP($A368,'Semrush Import'!$A:$D,3,FALSE),"")</f>
        <v/>
      </c>
      <c r="K368">
        <f>IFERROR(VLOOKUP($A368,'Semrush Import'!$A:$D,4,FALSE),"")</f>
        <v/>
      </c>
      <c r="L368">
        <f>IFERROR(VLOOKUP($A368,'KP Import'!$A:$B,2,FALSE),"")</f>
        <v/>
      </c>
      <c r="M368">
        <f>IF(I368="","",ROUND(I368/(J368+10),1))</f>
        <v/>
      </c>
      <c r="N368">
        <f>IF(M368="","",IF(M368&gt;=20,"A - Go first",IF(M368&gt;=5,"B - Next","C - Later")))</f>
        <v/>
      </c>
      <c r="O368" t="inlineStr">
        <is>
          <t>To research</t>
        </is>
      </c>
      <c r="P368" t="inlineStr"/>
    </row>
    <row r="369">
      <c r="A369" t="inlineStr">
        <is>
          <t>rice supplier ajman</t>
        </is>
      </c>
      <c r="B369" t="inlineStr">
        <is>
          <t>Location</t>
        </is>
      </c>
      <c r="C369" t="inlineStr">
        <is>
          <t>Rice Supplier</t>
        </is>
      </c>
      <c r="D369" t="inlineStr">
        <is>
          <t>Local/Transactional</t>
        </is>
      </c>
      <c r="E369" t="inlineStr">
        <is>
          <t>BOFU</t>
        </is>
      </c>
      <c r="F369" t="inlineStr">
        <is>
          <t>Ajman</t>
        </is>
      </c>
      <c r="G369" t="inlineStr">
        <is>
          <t>Ajman location landing page</t>
        </is>
      </c>
      <c r="H369" t="inlineStr">
        <is>
          <t>Location landing</t>
        </is>
      </c>
      <c r="I369">
        <f>IFERROR(VLOOKUP($A369,'Semrush Import'!$A:$D,2,FALSE),"")</f>
        <v/>
      </c>
      <c r="J369">
        <f>IFERROR(VLOOKUP($A369,'Semrush Import'!$A:$D,3,FALSE),"")</f>
        <v/>
      </c>
      <c r="K369">
        <f>IFERROR(VLOOKUP($A369,'Semrush Import'!$A:$D,4,FALSE),"")</f>
        <v/>
      </c>
      <c r="L369">
        <f>IFERROR(VLOOKUP($A369,'KP Import'!$A:$B,2,FALSE),"")</f>
        <v/>
      </c>
      <c r="M369">
        <f>IF(I369="","",ROUND(I369/(J369+10),1))</f>
        <v/>
      </c>
      <c r="N369">
        <f>IF(M369="","",IF(M369&gt;=20,"A - Go first",IF(M369&gt;=5,"B - Next","C - Later")))</f>
        <v/>
      </c>
      <c r="O369" t="inlineStr">
        <is>
          <t>To research</t>
        </is>
      </c>
      <c r="P369" t="inlineStr"/>
    </row>
    <row r="370">
      <c r="A370" t="inlineStr">
        <is>
          <t>buy rice online ajman</t>
        </is>
      </c>
      <c r="B370" t="inlineStr">
        <is>
          <t>Location</t>
        </is>
      </c>
      <c r="C370" t="inlineStr">
        <is>
          <t>Buy Rice Online</t>
        </is>
      </c>
      <c r="D370" t="inlineStr">
        <is>
          <t>Local/Transactional</t>
        </is>
      </c>
      <c r="E370" t="inlineStr">
        <is>
          <t>BOFU</t>
        </is>
      </c>
      <c r="F370" t="inlineStr">
        <is>
          <t>Ajman</t>
        </is>
      </c>
      <c r="G370" t="inlineStr">
        <is>
          <t>Ajman location landing page</t>
        </is>
      </c>
      <c r="H370" t="inlineStr">
        <is>
          <t>Location landing</t>
        </is>
      </c>
      <c r="I370">
        <f>IFERROR(VLOOKUP($A370,'Semrush Import'!$A:$D,2,FALSE),"")</f>
        <v/>
      </c>
      <c r="J370">
        <f>IFERROR(VLOOKUP($A370,'Semrush Import'!$A:$D,3,FALSE),"")</f>
        <v/>
      </c>
      <c r="K370">
        <f>IFERROR(VLOOKUP($A370,'Semrush Import'!$A:$D,4,FALSE),"")</f>
        <v/>
      </c>
      <c r="L370">
        <f>IFERROR(VLOOKUP($A370,'KP Import'!$A:$B,2,FALSE),"")</f>
        <v/>
      </c>
      <c r="M370">
        <f>IF(I370="","",ROUND(I370/(J370+10),1))</f>
        <v/>
      </c>
      <c r="N370">
        <f>IF(M370="","",IF(M370&gt;=20,"A - Go first",IF(M370&gt;=5,"B - Next","C - Later")))</f>
        <v/>
      </c>
      <c r="O370" t="inlineStr">
        <is>
          <t>To research</t>
        </is>
      </c>
      <c r="P370" t="inlineStr"/>
    </row>
    <row r="371">
      <c r="A371" t="inlineStr">
        <is>
          <t>rice delivery ajman</t>
        </is>
      </c>
      <c r="B371" t="inlineStr">
        <is>
          <t>Location</t>
        </is>
      </c>
      <c r="C371" t="inlineStr">
        <is>
          <t>Rice Delivery</t>
        </is>
      </c>
      <c r="D371" t="inlineStr">
        <is>
          <t>Local/Transactional</t>
        </is>
      </c>
      <c r="E371" t="inlineStr">
        <is>
          <t>BOFU</t>
        </is>
      </c>
      <c r="F371" t="inlineStr">
        <is>
          <t>Ajman</t>
        </is>
      </c>
      <c r="G371" t="inlineStr">
        <is>
          <t>Ajman location landing page</t>
        </is>
      </c>
      <c r="H371" t="inlineStr">
        <is>
          <t>Location landing</t>
        </is>
      </c>
      <c r="I371">
        <f>IFERROR(VLOOKUP($A371,'Semrush Import'!$A:$D,2,FALSE),"")</f>
        <v/>
      </c>
      <c r="J371">
        <f>IFERROR(VLOOKUP($A371,'Semrush Import'!$A:$D,3,FALSE),"")</f>
        <v/>
      </c>
      <c r="K371">
        <f>IFERROR(VLOOKUP($A371,'Semrush Import'!$A:$D,4,FALSE),"")</f>
        <v/>
      </c>
      <c r="L371">
        <f>IFERROR(VLOOKUP($A371,'KP Import'!$A:$B,2,FALSE),"")</f>
        <v/>
      </c>
      <c r="M371">
        <f>IF(I371="","",ROUND(I371/(J371+10),1))</f>
        <v/>
      </c>
      <c r="N371">
        <f>IF(M371="","",IF(M371&gt;=20,"A - Go first",IF(M371&gt;=5,"B - Next","C - Later")))</f>
        <v/>
      </c>
      <c r="O371" t="inlineStr">
        <is>
          <t>To research</t>
        </is>
      </c>
      <c r="P371" t="inlineStr"/>
    </row>
    <row r="372">
      <c r="A372" t="inlineStr">
        <is>
          <t>sella basmati rice ajman</t>
        </is>
      </c>
      <c r="B372" t="inlineStr">
        <is>
          <t>Location</t>
        </is>
      </c>
      <c r="C372" t="inlineStr">
        <is>
          <t>Sella Basmati Rice</t>
        </is>
      </c>
      <c r="D372" t="inlineStr">
        <is>
          <t>Local/Transactional</t>
        </is>
      </c>
      <c r="E372" t="inlineStr">
        <is>
          <t>BOFU</t>
        </is>
      </c>
      <c r="F372" t="inlineStr">
        <is>
          <t>Ajman</t>
        </is>
      </c>
      <c r="G372" t="inlineStr">
        <is>
          <t>Ajman location landing page</t>
        </is>
      </c>
      <c r="H372" t="inlineStr">
        <is>
          <t>Location landing</t>
        </is>
      </c>
      <c r="I372">
        <f>IFERROR(VLOOKUP($A372,'Semrush Import'!$A:$D,2,FALSE),"")</f>
        <v/>
      </c>
      <c r="J372">
        <f>IFERROR(VLOOKUP($A372,'Semrush Import'!$A:$D,3,FALSE),"")</f>
        <v/>
      </c>
      <c r="K372">
        <f>IFERROR(VLOOKUP($A372,'Semrush Import'!$A:$D,4,FALSE),"")</f>
        <v/>
      </c>
      <c r="L372">
        <f>IFERROR(VLOOKUP($A372,'KP Import'!$A:$B,2,FALSE),"")</f>
        <v/>
      </c>
      <c r="M372">
        <f>IF(I372="","",ROUND(I372/(J372+10),1))</f>
        <v/>
      </c>
      <c r="N372">
        <f>IF(M372="","",IF(M372&gt;=20,"A - Go first",IF(M372&gt;=5,"B - Next","C - Later")))</f>
        <v/>
      </c>
      <c r="O372" t="inlineStr">
        <is>
          <t>To research</t>
        </is>
      </c>
      <c r="P372" t="inlineStr"/>
    </row>
    <row r="373">
      <c r="A373" t="inlineStr">
        <is>
          <t>basmati rice ras al khaimah</t>
        </is>
      </c>
      <c r="B373" t="inlineStr">
        <is>
          <t>Location</t>
        </is>
      </c>
      <c r="C373" t="inlineStr">
        <is>
          <t>Basmati Rice</t>
        </is>
      </c>
      <c r="D373" t="inlineStr">
        <is>
          <t>Local/Transactional</t>
        </is>
      </c>
      <c r="E373" t="inlineStr">
        <is>
          <t>BOFU</t>
        </is>
      </c>
      <c r="F373" t="inlineStr">
        <is>
          <t>Ras Al Khaimah</t>
        </is>
      </c>
      <c r="G373" t="inlineStr">
        <is>
          <t>Ras Al Khaimah location landing page</t>
        </is>
      </c>
      <c r="H373" t="inlineStr">
        <is>
          <t>Location landing</t>
        </is>
      </c>
      <c r="I373">
        <f>IFERROR(VLOOKUP($A373,'Semrush Import'!$A:$D,2,FALSE),"")</f>
        <v/>
      </c>
      <c r="J373">
        <f>IFERROR(VLOOKUP($A373,'Semrush Import'!$A:$D,3,FALSE),"")</f>
        <v/>
      </c>
      <c r="K373">
        <f>IFERROR(VLOOKUP($A373,'Semrush Import'!$A:$D,4,FALSE),"")</f>
        <v/>
      </c>
      <c r="L373">
        <f>IFERROR(VLOOKUP($A373,'KP Import'!$A:$B,2,FALSE),"")</f>
        <v/>
      </c>
      <c r="M373">
        <f>IF(I373="","",ROUND(I373/(J373+10),1))</f>
        <v/>
      </c>
      <c r="N373">
        <f>IF(M373="","",IF(M373&gt;=20,"A - Go first",IF(M373&gt;=5,"B - Next","C - Later")))</f>
        <v/>
      </c>
      <c r="O373" t="inlineStr">
        <is>
          <t>To research</t>
        </is>
      </c>
      <c r="P373" t="inlineStr"/>
    </row>
    <row r="374">
      <c r="A374" t="inlineStr">
        <is>
          <t>rice wholesale ras al khaimah</t>
        </is>
      </c>
      <c r="B374" t="inlineStr">
        <is>
          <t>Location</t>
        </is>
      </c>
      <c r="C374" t="inlineStr">
        <is>
          <t>Rice Wholesale</t>
        </is>
      </c>
      <c r="D374" t="inlineStr">
        <is>
          <t>Local/Transactional</t>
        </is>
      </c>
      <c r="E374" t="inlineStr">
        <is>
          <t>BOFU</t>
        </is>
      </c>
      <c r="F374" t="inlineStr">
        <is>
          <t>Ras Al Khaimah</t>
        </is>
      </c>
      <c r="G374" t="inlineStr">
        <is>
          <t>Ras Al Khaimah location landing page</t>
        </is>
      </c>
      <c r="H374" t="inlineStr">
        <is>
          <t>Location landing</t>
        </is>
      </c>
      <c r="I374">
        <f>IFERROR(VLOOKUP($A374,'Semrush Import'!$A:$D,2,FALSE),"")</f>
        <v/>
      </c>
      <c r="J374">
        <f>IFERROR(VLOOKUP($A374,'Semrush Import'!$A:$D,3,FALSE),"")</f>
        <v/>
      </c>
      <c r="K374">
        <f>IFERROR(VLOOKUP($A374,'Semrush Import'!$A:$D,4,FALSE),"")</f>
        <v/>
      </c>
      <c r="L374">
        <f>IFERROR(VLOOKUP($A374,'KP Import'!$A:$B,2,FALSE),"")</f>
        <v/>
      </c>
      <c r="M374">
        <f>IF(I374="","",ROUND(I374/(J374+10),1))</f>
        <v/>
      </c>
      <c r="N374">
        <f>IF(M374="","",IF(M374&gt;=20,"A - Go first",IF(M374&gt;=5,"B - Next","C - Later")))</f>
        <v/>
      </c>
      <c r="O374" t="inlineStr">
        <is>
          <t>To research</t>
        </is>
      </c>
      <c r="P374" t="inlineStr"/>
    </row>
    <row r="375">
      <c r="A375" t="inlineStr">
        <is>
          <t>rice supplier ras al khaimah</t>
        </is>
      </c>
      <c r="B375" t="inlineStr">
        <is>
          <t>Location</t>
        </is>
      </c>
      <c r="C375" t="inlineStr">
        <is>
          <t>Rice Supplier</t>
        </is>
      </c>
      <c r="D375" t="inlineStr">
        <is>
          <t>Local/Transactional</t>
        </is>
      </c>
      <c r="E375" t="inlineStr">
        <is>
          <t>BOFU</t>
        </is>
      </c>
      <c r="F375" t="inlineStr">
        <is>
          <t>Ras Al Khaimah</t>
        </is>
      </c>
      <c r="G375" t="inlineStr">
        <is>
          <t>Ras Al Khaimah location landing page</t>
        </is>
      </c>
      <c r="H375" t="inlineStr">
        <is>
          <t>Location landing</t>
        </is>
      </c>
      <c r="I375">
        <f>IFERROR(VLOOKUP($A375,'Semrush Import'!$A:$D,2,FALSE),"")</f>
        <v/>
      </c>
      <c r="J375">
        <f>IFERROR(VLOOKUP($A375,'Semrush Import'!$A:$D,3,FALSE),"")</f>
        <v/>
      </c>
      <c r="K375">
        <f>IFERROR(VLOOKUP($A375,'Semrush Import'!$A:$D,4,FALSE),"")</f>
        <v/>
      </c>
      <c r="L375">
        <f>IFERROR(VLOOKUP($A375,'KP Import'!$A:$B,2,FALSE),"")</f>
        <v/>
      </c>
      <c r="M375">
        <f>IF(I375="","",ROUND(I375/(J375+10),1))</f>
        <v/>
      </c>
      <c r="N375">
        <f>IF(M375="","",IF(M375&gt;=20,"A - Go first",IF(M375&gt;=5,"B - Next","C - Later")))</f>
        <v/>
      </c>
      <c r="O375" t="inlineStr">
        <is>
          <t>To research</t>
        </is>
      </c>
      <c r="P375" t="inlineStr"/>
    </row>
    <row r="376">
      <c r="A376" t="inlineStr">
        <is>
          <t>buy rice online ras al khaimah</t>
        </is>
      </c>
      <c r="B376" t="inlineStr">
        <is>
          <t>Location</t>
        </is>
      </c>
      <c r="C376" t="inlineStr">
        <is>
          <t>Buy Rice Online</t>
        </is>
      </c>
      <c r="D376" t="inlineStr">
        <is>
          <t>Local/Transactional</t>
        </is>
      </c>
      <c r="E376" t="inlineStr">
        <is>
          <t>BOFU</t>
        </is>
      </c>
      <c r="F376" t="inlineStr">
        <is>
          <t>Ras Al Khaimah</t>
        </is>
      </c>
      <c r="G376" t="inlineStr">
        <is>
          <t>Ras Al Khaimah location landing page</t>
        </is>
      </c>
      <c r="H376" t="inlineStr">
        <is>
          <t>Location landing</t>
        </is>
      </c>
      <c r="I376">
        <f>IFERROR(VLOOKUP($A376,'Semrush Import'!$A:$D,2,FALSE),"")</f>
        <v/>
      </c>
      <c r="J376">
        <f>IFERROR(VLOOKUP($A376,'Semrush Import'!$A:$D,3,FALSE),"")</f>
        <v/>
      </c>
      <c r="K376">
        <f>IFERROR(VLOOKUP($A376,'Semrush Import'!$A:$D,4,FALSE),"")</f>
        <v/>
      </c>
      <c r="L376">
        <f>IFERROR(VLOOKUP($A376,'KP Import'!$A:$B,2,FALSE),"")</f>
        <v/>
      </c>
      <c r="M376">
        <f>IF(I376="","",ROUND(I376/(J376+10),1))</f>
        <v/>
      </c>
      <c r="N376">
        <f>IF(M376="","",IF(M376&gt;=20,"A - Go first",IF(M376&gt;=5,"B - Next","C - Later")))</f>
        <v/>
      </c>
      <c r="O376" t="inlineStr">
        <is>
          <t>To research</t>
        </is>
      </c>
      <c r="P376" t="inlineStr"/>
    </row>
    <row r="377">
      <c r="A377" t="inlineStr">
        <is>
          <t>rice delivery ras al khaimah</t>
        </is>
      </c>
      <c r="B377" t="inlineStr">
        <is>
          <t>Location</t>
        </is>
      </c>
      <c r="C377" t="inlineStr">
        <is>
          <t>Rice Delivery</t>
        </is>
      </c>
      <c r="D377" t="inlineStr">
        <is>
          <t>Local/Transactional</t>
        </is>
      </c>
      <c r="E377" t="inlineStr">
        <is>
          <t>BOFU</t>
        </is>
      </c>
      <c r="F377" t="inlineStr">
        <is>
          <t>Ras Al Khaimah</t>
        </is>
      </c>
      <c r="G377" t="inlineStr">
        <is>
          <t>Ras Al Khaimah location landing page</t>
        </is>
      </c>
      <c r="H377" t="inlineStr">
        <is>
          <t>Location landing</t>
        </is>
      </c>
      <c r="I377">
        <f>IFERROR(VLOOKUP($A377,'Semrush Import'!$A:$D,2,FALSE),"")</f>
        <v/>
      </c>
      <c r="J377">
        <f>IFERROR(VLOOKUP($A377,'Semrush Import'!$A:$D,3,FALSE),"")</f>
        <v/>
      </c>
      <c r="K377">
        <f>IFERROR(VLOOKUP($A377,'Semrush Import'!$A:$D,4,FALSE),"")</f>
        <v/>
      </c>
      <c r="L377">
        <f>IFERROR(VLOOKUP($A377,'KP Import'!$A:$B,2,FALSE),"")</f>
        <v/>
      </c>
      <c r="M377">
        <f>IF(I377="","",ROUND(I377/(J377+10),1))</f>
        <v/>
      </c>
      <c r="N377">
        <f>IF(M377="","",IF(M377&gt;=20,"A - Go first",IF(M377&gt;=5,"B - Next","C - Later")))</f>
        <v/>
      </c>
      <c r="O377" t="inlineStr">
        <is>
          <t>To research</t>
        </is>
      </c>
      <c r="P377" t="inlineStr"/>
    </row>
    <row r="378">
      <c r="A378" t="inlineStr">
        <is>
          <t>sella basmati rice ras al khaimah</t>
        </is>
      </c>
      <c r="B378" t="inlineStr">
        <is>
          <t>Location</t>
        </is>
      </c>
      <c r="C378" t="inlineStr">
        <is>
          <t>Sella Basmati Rice</t>
        </is>
      </c>
      <c r="D378" t="inlineStr">
        <is>
          <t>Local/Transactional</t>
        </is>
      </c>
      <c r="E378" t="inlineStr">
        <is>
          <t>BOFU</t>
        </is>
      </c>
      <c r="F378" t="inlineStr">
        <is>
          <t>Ras Al Khaimah</t>
        </is>
      </c>
      <c r="G378" t="inlineStr">
        <is>
          <t>Ras Al Khaimah location landing page</t>
        </is>
      </c>
      <c r="H378" t="inlineStr">
        <is>
          <t>Location landing</t>
        </is>
      </c>
      <c r="I378">
        <f>IFERROR(VLOOKUP($A378,'Semrush Import'!$A:$D,2,FALSE),"")</f>
        <v/>
      </c>
      <c r="J378">
        <f>IFERROR(VLOOKUP($A378,'Semrush Import'!$A:$D,3,FALSE),"")</f>
        <v/>
      </c>
      <c r="K378">
        <f>IFERROR(VLOOKUP($A378,'Semrush Import'!$A:$D,4,FALSE),"")</f>
        <v/>
      </c>
      <c r="L378">
        <f>IFERROR(VLOOKUP($A378,'KP Import'!$A:$B,2,FALSE),"")</f>
        <v/>
      </c>
      <c r="M378">
        <f>IF(I378="","",ROUND(I378/(J378+10),1))</f>
        <v/>
      </c>
      <c r="N378">
        <f>IF(M378="","",IF(M378&gt;=20,"A - Go first",IF(M378&gt;=5,"B - Next","C - Later")))</f>
        <v/>
      </c>
      <c r="O378" t="inlineStr">
        <is>
          <t>To research</t>
        </is>
      </c>
      <c r="P378" t="inlineStr"/>
    </row>
    <row r="379">
      <c r="A379" t="inlineStr">
        <is>
          <t>basmati rice fujairah</t>
        </is>
      </c>
      <c r="B379" t="inlineStr">
        <is>
          <t>Location</t>
        </is>
      </c>
      <c r="C379" t="inlineStr">
        <is>
          <t>Basmati Rice</t>
        </is>
      </c>
      <c r="D379" t="inlineStr">
        <is>
          <t>Local/Transactional</t>
        </is>
      </c>
      <c r="E379" t="inlineStr">
        <is>
          <t>BOFU</t>
        </is>
      </c>
      <c r="F379" t="inlineStr">
        <is>
          <t>Fujairah</t>
        </is>
      </c>
      <c r="G379" t="inlineStr">
        <is>
          <t>Fujairah location landing page</t>
        </is>
      </c>
      <c r="H379" t="inlineStr">
        <is>
          <t>Location landing</t>
        </is>
      </c>
      <c r="I379">
        <f>IFERROR(VLOOKUP($A379,'Semrush Import'!$A:$D,2,FALSE),"")</f>
        <v/>
      </c>
      <c r="J379">
        <f>IFERROR(VLOOKUP($A379,'Semrush Import'!$A:$D,3,FALSE),"")</f>
        <v/>
      </c>
      <c r="K379">
        <f>IFERROR(VLOOKUP($A379,'Semrush Import'!$A:$D,4,FALSE),"")</f>
        <v/>
      </c>
      <c r="L379">
        <f>IFERROR(VLOOKUP($A379,'KP Import'!$A:$B,2,FALSE),"")</f>
        <v/>
      </c>
      <c r="M379">
        <f>IF(I379="","",ROUND(I379/(J379+10),1))</f>
        <v/>
      </c>
      <c r="N379">
        <f>IF(M379="","",IF(M379&gt;=20,"A - Go first",IF(M379&gt;=5,"B - Next","C - Later")))</f>
        <v/>
      </c>
      <c r="O379" t="inlineStr">
        <is>
          <t>To research</t>
        </is>
      </c>
      <c r="P379" t="inlineStr"/>
    </row>
    <row r="380">
      <c r="A380" t="inlineStr">
        <is>
          <t>rice wholesale fujairah</t>
        </is>
      </c>
      <c r="B380" t="inlineStr">
        <is>
          <t>Location</t>
        </is>
      </c>
      <c r="C380" t="inlineStr">
        <is>
          <t>Rice Wholesale</t>
        </is>
      </c>
      <c r="D380" t="inlineStr">
        <is>
          <t>Local/Transactional</t>
        </is>
      </c>
      <c r="E380" t="inlineStr">
        <is>
          <t>BOFU</t>
        </is>
      </c>
      <c r="F380" t="inlineStr">
        <is>
          <t>Fujairah</t>
        </is>
      </c>
      <c r="G380" t="inlineStr">
        <is>
          <t>Fujairah location landing page</t>
        </is>
      </c>
      <c r="H380" t="inlineStr">
        <is>
          <t>Location landing</t>
        </is>
      </c>
      <c r="I380">
        <f>IFERROR(VLOOKUP($A380,'Semrush Import'!$A:$D,2,FALSE),"")</f>
        <v/>
      </c>
      <c r="J380">
        <f>IFERROR(VLOOKUP($A380,'Semrush Import'!$A:$D,3,FALSE),"")</f>
        <v/>
      </c>
      <c r="K380">
        <f>IFERROR(VLOOKUP($A380,'Semrush Import'!$A:$D,4,FALSE),"")</f>
        <v/>
      </c>
      <c r="L380">
        <f>IFERROR(VLOOKUP($A380,'KP Import'!$A:$B,2,FALSE),"")</f>
        <v/>
      </c>
      <c r="M380">
        <f>IF(I380="","",ROUND(I380/(J380+10),1))</f>
        <v/>
      </c>
      <c r="N380">
        <f>IF(M380="","",IF(M380&gt;=20,"A - Go first",IF(M380&gt;=5,"B - Next","C - Later")))</f>
        <v/>
      </c>
      <c r="O380" t="inlineStr">
        <is>
          <t>To research</t>
        </is>
      </c>
      <c r="P380" t="inlineStr"/>
    </row>
    <row r="381">
      <c r="A381" t="inlineStr">
        <is>
          <t>rice supplier fujairah</t>
        </is>
      </c>
      <c r="B381" t="inlineStr">
        <is>
          <t>Location</t>
        </is>
      </c>
      <c r="C381" t="inlineStr">
        <is>
          <t>Rice Supplier</t>
        </is>
      </c>
      <c r="D381" t="inlineStr">
        <is>
          <t>Local/Transactional</t>
        </is>
      </c>
      <c r="E381" t="inlineStr">
        <is>
          <t>BOFU</t>
        </is>
      </c>
      <c r="F381" t="inlineStr">
        <is>
          <t>Fujairah</t>
        </is>
      </c>
      <c r="G381" t="inlineStr">
        <is>
          <t>Fujairah location landing page</t>
        </is>
      </c>
      <c r="H381" t="inlineStr">
        <is>
          <t>Location landing</t>
        </is>
      </c>
      <c r="I381">
        <f>IFERROR(VLOOKUP($A381,'Semrush Import'!$A:$D,2,FALSE),"")</f>
        <v/>
      </c>
      <c r="J381">
        <f>IFERROR(VLOOKUP($A381,'Semrush Import'!$A:$D,3,FALSE),"")</f>
        <v/>
      </c>
      <c r="K381">
        <f>IFERROR(VLOOKUP($A381,'Semrush Import'!$A:$D,4,FALSE),"")</f>
        <v/>
      </c>
      <c r="L381">
        <f>IFERROR(VLOOKUP($A381,'KP Import'!$A:$B,2,FALSE),"")</f>
        <v/>
      </c>
      <c r="M381">
        <f>IF(I381="","",ROUND(I381/(J381+10),1))</f>
        <v/>
      </c>
      <c r="N381">
        <f>IF(M381="","",IF(M381&gt;=20,"A - Go first",IF(M381&gt;=5,"B - Next","C - Later")))</f>
        <v/>
      </c>
      <c r="O381" t="inlineStr">
        <is>
          <t>To research</t>
        </is>
      </c>
      <c r="P381" t="inlineStr"/>
    </row>
    <row r="382">
      <c r="A382" t="inlineStr">
        <is>
          <t>buy rice online fujairah</t>
        </is>
      </c>
      <c r="B382" t="inlineStr">
        <is>
          <t>Location</t>
        </is>
      </c>
      <c r="C382" t="inlineStr">
        <is>
          <t>Buy Rice Online</t>
        </is>
      </c>
      <c r="D382" t="inlineStr">
        <is>
          <t>Local/Transactional</t>
        </is>
      </c>
      <c r="E382" t="inlineStr">
        <is>
          <t>BOFU</t>
        </is>
      </c>
      <c r="F382" t="inlineStr">
        <is>
          <t>Fujairah</t>
        </is>
      </c>
      <c r="G382" t="inlineStr">
        <is>
          <t>Fujairah location landing page</t>
        </is>
      </c>
      <c r="H382" t="inlineStr">
        <is>
          <t>Location landing</t>
        </is>
      </c>
      <c r="I382">
        <f>IFERROR(VLOOKUP($A382,'Semrush Import'!$A:$D,2,FALSE),"")</f>
        <v/>
      </c>
      <c r="J382">
        <f>IFERROR(VLOOKUP($A382,'Semrush Import'!$A:$D,3,FALSE),"")</f>
        <v/>
      </c>
      <c r="K382">
        <f>IFERROR(VLOOKUP($A382,'Semrush Import'!$A:$D,4,FALSE),"")</f>
        <v/>
      </c>
      <c r="L382">
        <f>IFERROR(VLOOKUP($A382,'KP Import'!$A:$B,2,FALSE),"")</f>
        <v/>
      </c>
      <c r="M382">
        <f>IF(I382="","",ROUND(I382/(J382+10),1))</f>
        <v/>
      </c>
      <c r="N382">
        <f>IF(M382="","",IF(M382&gt;=20,"A - Go first",IF(M382&gt;=5,"B - Next","C - Later")))</f>
        <v/>
      </c>
      <c r="O382" t="inlineStr">
        <is>
          <t>To research</t>
        </is>
      </c>
      <c r="P382" t="inlineStr"/>
    </row>
    <row r="383">
      <c r="A383" t="inlineStr">
        <is>
          <t>rice delivery fujairah</t>
        </is>
      </c>
      <c r="B383" t="inlineStr">
        <is>
          <t>Location</t>
        </is>
      </c>
      <c r="C383" t="inlineStr">
        <is>
          <t>Rice Delivery</t>
        </is>
      </c>
      <c r="D383" t="inlineStr">
        <is>
          <t>Local/Transactional</t>
        </is>
      </c>
      <c r="E383" t="inlineStr">
        <is>
          <t>BOFU</t>
        </is>
      </c>
      <c r="F383" t="inlineStr">
        <is>
          <t>Fujairah</t>
        </is>
      </c>
      <c r="G383" t="inlineStr">
        <is>
          <t>Fujairah location landing page</t>
        </is>
      </c>
      <c r="H383" t="inlineStr">
        <is>
          <t>Location landing</t>
        </is>
      </c>
      <c r="I383">
        <f>IFERROR(VLOOKUP($A383,'Semrush Import'!$A:$D,2,FALSE),"")</f>
        <v/>
      </c>
      <c r="J383">
        <f>IFERROR(VLOOKUP($A383,'Semrush Import'!$A:$D,3,FALSE),"")</f>
        <v/>
      </c>
      <c r="K383">
        <f>IFERROR(VLOOKUP($A383,'Semrush Import'!$A:$D,4,FALSE),"")</f>
        <v/>
      </c>
      <c r="L383">
        <f>IFERROR(VLOOKUP($A383,'KP Import'!$A:$B,2,FALSE),"")</f>
        <v/>
      </c>
      <c r="M383">
        <f>IF(I383="","",ROUND(I383/(J383+10),1))</f>
        <v/>
      </c>
      <c r="N383">
        <f>IF(M383="","",IF(M383&gt;=20,"A - Go first",IF(M383&gt;=5,"B - Next","C - Later")))</f>
        <v/>
      </c>
      <c r="O383" t="inlineStr">
        <is>
          <t>To research</t>
        </is>
      </c>
      <c r="P383" t="inlineStr"/>
    </row>
    <row r="384">
      <c r="A384" t="inlineStr">
        <is>
          <t>sella basmati rice fujairah</t>
        </is>
      </c>
      <c r="B384" t="inlineStr">
        <is>
          <t>Location</t>
        </is>
      </c>
      <c r="C384" t="inlineStr">
        <is>
          <t>Sella Basmati Rice</t>
        </is>
      </c>
      <c r="D384" t="inlineStr">
        <is>
          <t>Local/Transactional</t>
        </is>
      </c>
      <c r="E384" t="inlineStr">
        <is>
          <t>BOFU</t>
        </is>
      </c>
      <c r="F384" t="inlineStr">
        <is>
          <t>Fujairah</t>
        </is>
      </c>
      <c r="G384" t="inlineStr">
        <is>
          <t>Fujairah location landing page</t>
        </is>
      </c>
      <c r="H384" t="inlineStr">
        <is>
          <t>Location landing</t>
        </is>
      </c>
      <c r="I384">
        <f>IFERROR(VLOOKUP($A384,'Semrush Import'!$A:$D,2,FALSE),"")</f>
        <v/>
      </c>
      <c r="J384">
        <f>IFERROR(VLOOKUP($A384,'Semrush Import'!$A:$D,3,FALSE),"")</f>
        <v/>
      </c>
      <c r="K384">
        <f>IFERROR(VLOOKUP($A384,'Semrush Import'!$A:$D,4,FALSE),"")</f>
        <v/>
      </c>
      <c r="L384">
        <f>IFERROR(VLOOKUP($A384,'KP Import'!$A:$B,2,FALSE),"")</f>
        <v/>
      </c>
      <c r="M384">
        <f>IF(I384="","",ROUND(I384/(J384+10),1))</f>
        <v/>
      </c>
      <c r="N384">
        <f>IF(M384="","",IF(M384&gt;=20,"A - Go first",IF(M384&gt;=5,"B - Next","C - Later")))</f>
        <v/>
      </c>
      <c r="O384" t="inlineStr">
        <is>
          <t>To research</t>
        </is>
      </c>
      <c r="P384" t="inlineStr"/>
    </row>
    <row r="385">
      <c r="A385" t="inlineStr">
        <is>
          <t>basmati rice umm al quwain</t>
        </is>
      </c>
      <c r="B385" t="inlineStr">
        <is>
          <t>Location</t>
        </is>
      </c>
      <c r="C385" t="inlineStr">
        <is>
          <t>Basmati Rice</t>
        </is>
      </c>
      <c r="D385" t="inlineStr">
        <is>
          <t>Local/Transactional</t>
        </is>
      </c>
      <c r="E385" t="inlineStr">
        <is>
          <t>BOFU</t>
        </is>
      </c>
      <c r="F385" t="inlineStr">
        <is>
          <t>Umm Al Quwain</t>
        </is>
      </c>
      <c r="G385" t="inlineStr">
        <is>
          <t>Umm Al Quwain location landing page</t>
        </is>
      </c>
      <c r="H385" t="inlineStr">
        <is>
          <t>Location landing</t>
        </is>
      </c>
      <c r="I385">
        <f>IFERROR(VLOOKUP($A385,'Semrush Import'!$A:$D,2,FALSE),"")</f>
        <v/>
      </c>
      <c r="J385">
        <f>IFERROR(VLOOKUP($A385,'Semrush Import'!$A:$D,3,FALSE),"")</f>
        <v/>
      </c>
      <c r="K385">
        <f>IFERROR(VLOOKUP($A385,'Semrush Import'!$A:$D,4,FALSE),"")</f>
        <v/>
      </c>
      <c r="L385">
        <f>IFERROR(VLOOKUP($A385,'KP Import'!$A:$B,2,FALSE),"")</f>
        <v/>
      </c>
      <c r="M385">
        <f>IF(I385="","",ROUND(I385/(J385+10),1))</f>
        <v/>
      </c>
      <c r="N385">
        <f>IF(M385="","",IF(M385&gt;=20,"A - Go first",IF(M385&gt;=5,"B - Next","C - Later")))</f>
        <v/>
      </c>
      <c r="O385" t="inlineStr">
        <is>
          <t>To research</t>
        </is>
      </c>
      <c r="P385" t="inlineStr"/>
    </row>
    <row r="386">
      <c r="A386" t="inlineStr">
        <is>
          <t>rice wholesale umm al quwain</t>
        </is>
      </c>
      <c r="B386" t="inlineStr">
        <is>
          <t>Location</t>
        </is>
      </c>
      <c r="C386" t="inlineStr">
        <is>
          <t>Rice Wholesale</t>
        </is>
      </c>
      <c r="D386" t="inlineStr">
        <is>
          <t>Local/Transactional</t>
        </is>
      </c>
      <c r="E386" t="inlineStr">
        <is>
          <t>BOFU</t>
        </is>
      </c>
      <c r="F386" t="inlineStr">
        <is>
          <t>Umm Al Quwain</t>
        </is>
      </c>
      <c r="G386" t="inlineStr">
        <is>
          <t>Umm Al Quwain location landing page</t>
        </is>
      </c>
      <c r="H386" t="inlineStr">
        <is>
          <t>Location landing</t>
        </is>
      </c>
      <c r="I386">
        <f>IFERROR(VLOOKUP($A386,'Semrush Import'!$A:$D,2,FALSE),"")</f>
        <v/>
      </c>
      <c r="J386">
        <f>IFERROR(VLOOKUP($A386,'Semrush Import'!$A:$D,3,FALSE),"")</f>
        <v/>
      </c>
      <c r="K386">
        <f>IFERROR(VLOOKUP($A386,'Semrush Import'!$A:$D,4,FALSE),"")</f>
        <v/>
      </c>
      <c r="L386">
        <f>IFERROR(VLOOKUP($A386,'KP Import'!$A:$B,2,FALSE),"")</f>
        <v/>
      </c>
      <c r="M386">
        <f>IF(I386="","",ROUND(I386/(J386+10),1))</f>
        <v/>
      </c>
      <c r="N386">
        <f>IF(M386="","",IF(M386&gt;=20,"A - Go first",IF(M386&gt;=5,"B - Next","C - Later")))</f>
        <v/>
      </c>
      <c r="O386" t="inlineStr">
        <is>
          <t>To research</t>
        </is>
      </c>
      <c r="P386" t="inlineStr"/>
    </row>
    <row r="387">
      <c r="A387" t="inlineStr">
        <is>
          <t>rice supplier umm al quwain</t>
        </is>
      </c>
      <c r="B387" t="inlineStr">
        <is>
          <t>Location</t>
        </is>
      </c>
      <c r="C387" t="inlineStr">
        <is>
          <t>Rice Supplier</t>
        </is>
      </c>
      <c r="D387" t="inlineStr">
        <is>
          <t>Local/Transactional</t>
        </is>
      </c>
      <c r="E387" t="inlineStr">
        <is>
          <t>BOFU</t>
        </is>
      </c>
      <c r="F387" t="inlineStr">
        <is>
          <t>Umm Al Quwain</t>
        </is>
      </c>
      <c r="G387" t="inlineStr">
        <is>
          <t>Umm Al Quwain location landing page</t>
        </is>
      </c>
      <c r="H387" t="inlineStr">
        <is>
          <t>Location landing</t>
        </is>
      </c>
      <c r="I387">
        <f>IFERROR(VLOOKUP($A387,'Semrush Import'!$A:$D,2,FALSE),"")</f>
        <v/>
      </c>
      <c r="J387">
        <f>IFERROR(VLOOKUP($A387,'Semrush Import'!$A:$D,3,FALSE),"")</f>
        <v/>
      </c>
      <c r="K387">
        <f>IFERROR(VLOOKUP($A387,'Semrush Import'!$A:$D,4,FALSE),"")</f>
        <v/>
      </c>
      <c r="L387">
        <f>IFERROR(VLOOKUP($A387,'KP Import'!$A:$B,2,FALSE),"")</f>
        <v/>
      </c>
      <c r="M387">
        <f>IF(I387="","",ROUND(I387/(J387+10),1))</f>
        <v/>
      </c>
      <c r="N387">
        <f>IF(M387="","",IF(M387&gt;=20,"A - Go first",IF(M387&gt;=5,"B - Next","C - Later")))</f>
        <v/>
      </c>
      <c r="O387" t="inlineStr">
        <is>
          <t>To research</t>
        </is>
      </c>
      <c r="P387" t="inlineStr"/>
    </row>
    <row r="388">
      <c r="A388" t="inlineStr">
        <is>
          <t>buy rice online umm al quwain</t>
        </is>
      </c>
      <c r="B388" t="inlineStr">
        <is>
          <t>Location</t>
        </is>
      </c>
      <c r="C388" t="inlineStr">
        <is>
          <t>Buy Rice Online</t>
        </is>
      </c>
      <c r="D388" t="inlineStr">
        <is>
          <t>Local/Transactional</t>
        </is>
      </c>
      <c r="E388" t="inlineStr">
        <is>
          <t>BOFU</t>
        </is>
      </c>
      <c r="F388" t="inlineStr">
        <is>
          <t>Umm Al Quwain</t>
        </is>
      </c>
      <c r="G388" t="inlineStr">
        <is>
          <t>Umm Al Quwain location landing page</t>
        </is>
      </c>
      <c r="H388" t="inlineStr">
        <is>
          <t>Location landing</t>
        </is>
      </c>
      <c r="I388">
        <f>IFERROR(VLOOKUP($A388,'Semrush Import'!$A:$D,2,FALSE),"")</f>
        <v/>
      </c>
      <c r="J388">
        <f>IFERROR(VLOOKUP($A388,'Semrush Import'!$A:$D,3,FALSE),"")</f>
        <v/>
      </c>
      <c r="K388">
        <f>IFERROR(VLOOKUP($A388,'Semrush Import'!$A:$D,4,FALSE),"")</f>
        <v/>
      </c>
      <c r="L388">
        <f>IFERROR(VLOOKUP($A388,'KP Import'!$A:$B,2,FALSE),"")</f>
        <v/>
      </c>
      <c r="M388">
        <f>IF(I388="","",ROUND(I388/(J388+10),1))</f>
        <v/>
      </c>
      <c r="N388">
        <f>IF(M388="","",IF(M388&gt;=20,"A - Go first",IF(M388&gt;=5,"B - Next","C - Later")))</f>
        <v/>
      </c>
      <c r="O388" t="inlineStr">
        <is>
          <t>To research</t>
        </is>
      </c>
      <c r="P388" t="inlineStr"/>
    </row>
    <row r="389">
      <c r="A389" t="inlineStr">
        <is>
          <t>rice delivery umm al quwain</t>
        </is>
      </c>
      <c r="B389" t="inlineStr">
        <is>
          <t>Location</t>
        </is>
      </c>
      <c r="C389" t="inlineStr">
        <is>
          <t>Rice Delivery</t>
        </is>
      </c>
      <c r="D389" t="inlineStr">
        <is>
          <t>Local/Transactional</t>
        </is>
      </c>
      <c r="E389" t="inlineStr">
        <is>
          <t>BOFU</t>
        </is>
      </c>
      <c r="F389" t="inlineStr">
        <is>
          <t>Umm Al Quwain</t>
        </is>
      </c>
      <c r="G389" t="inlineStr">
        <is>
          <t>Umm Al Quwain location landing page</t>
        </is>
      </c>
      <c r="H389" t="inlineStr">
        <is>
          <t>Location landing</t>
        </is>
      </c>
      <c r="I389">
        <f>IFERROR(VLOOKUP($A389,'Semrush Import'!$A:$D,2,FALSE),"")</f>
        <v/>
      </c>
      <c r="J389">
        <f>IFERROR(VLOOKUP($A389,'Semrush Import'!$A:$D,3,FALSE),"")</f>
        <v/>
      </c>
      <c r="K389">
        <f>IFERROR(VLOOKUP($A389,'Semrush Import'!$A:$D,4,FALSE),"")</f>
        <v/>
      </c>
      <c r="L389">
        <f>IFERROR(VLOOKUP($A389,'KP Import'!$A:$B,2,FALSE),"")</f>
        <v/>
      </c>
      <c r="M389">
        <f>IF(I389="","",ROUND(I389/(J389+10),1))</f>
        <v/>
      </c>
      <c r="N389">
        <f>IF(M389="","",IF(M389&gt;=20,"A - Go first",IF(M389&gt;=5,"B - Next","C - Later")))</f>
        <v/>
      </c>
      <c r="O389" t="inlineStr">
        <is>
          <t>To research</t>
        </is>
      </c>
      <c r="P389" t="inlineStr"/>
    </row>
    <row r="390">
      <c r="A390" t="inlineStr">
        <is>
          <t>sella basmati rice umm al quwain</t>
        </is>
      </c>
      <c r="B390" t="inlineStr">
        <is>
          <t>Location</t>
        </is>
      </c>
      <c r="C390" t="inlineStr">
        <is>
          <t>Sella Basmati Rice</t>
        </is>
      </c>
      <c r="D390" t="inlineStr">
        <is>
          <t>Local/Transactional</t>
        </is>
      </c>
      <c r="E390" t="inlineStr">
        <is>
          <t>BOFU</t>
        </is>
      </c>
      <c r="F390" t="inlineStr">
        <is>
          <t>Umm Al Quwain</t>
        </is>
      </c>
      <c r="G390" t="inlineStr">
        <is>
          <t>Umm Al Quwain location landing page</t>
        </is>
      </c>
      <c r="H390" t="inlineStr">
        <is>
          <t>Location landing</t>
        </is>
      </c>
      <c r="I390">
        <f>IFERROR(VLOOKUP($A390,'Semrush Import'!$A:$D,2,FALSE),"")</f>
        <v/>
      </c>
      <c r="J390">
        <f>IFERROR(VLOOKUP($A390,'Semrush Import'!$A:$D,3,FALSE),"")</f>
        <v/>
      </c>
      <c r="K390">
        <f>IFERROR(VLOOKUP($A390,'Semrush Import'!$A:$D,4,FALSE),"")</f>
        <v/>
      </c>
      <c r="L390">
        <f>IFERROR(VLOOKUP($A390,'KP Import'!$A:$B,2,FALSE),"")</f>
        <v/>
      </c>
      <c r="M390">
        <f>IF(I390="","",ROUND(I390/(J390+10),1))</f>
        <v/>
      </c>
      <c r="N390">
        <f>IF(M390="","",IF(M390&gt;=20,"A - Go first",IF(M390&gt;=5,"B - Next","C - Later")))</f>
        <v/>
      </c>
      <c r="O390" t="inlineStr">
        <is>
          <t>To research</t>
        </is>
      </c>
      <c r="P390" t="inlineStr"/>
    </row>
    <row r="391">
      <c r="A391" t="inlineStr">
        <is>
          <t>basmati rice al ain</t>
        </is>
      </c>
      <c r="B391" t="inlineStr">
        <is>
          <t>Location</t>
        </is>
      </c>
      <c r="C391" t="inlineStr">
        <is>
          <t>Basmati Rice</t>
        </is>
      </c>
      <c r="D391" t="inlineStr">
        <is>
          <t>Local/Transactional</t>
        </is>
      </c>
      <c r="E391" t="inlineStr">
        <is>
          <t>BOFU</t>
        </is>
      </c>
      <c r="F391" t="inlineStr">
        <is>
          <t>Al Ain</t>
        </is>
      </c>
      <c r="G391" t="inlineStr">
        <is>
          <t>Al Ain location landing page</t>
        </is>
      </c>
      <c r="H391" t="inlineStr">
        <is>
          <t>Location landing</t>
        </is>
      </c>
      <c r="I391">
        <f>IFERROR(VLOOKUP($A391,'Semrush Import'!$A:$D,2,FALSE),"")</f>
        <v/>
      </c>
      <c r="J391">
        <f>IFERROR(VLOOKUP($A391,'Semrush Import'!$A:$D,3,FALSE),"")</f>
        <v/>
      </c>
      <c r="K391">
        <f>IFERROR(VLOOKUP($A391,'Semrush Import'!$A:$D,4,FALSE),"")</f>
        <v/>
      </c>
      <c r="L391">
        <f>IFERROR(VLOOKUP($A391,'KP Import'!$A:$B,2,FALSE),"")</f>
        <v/>
      </c>
      <c r="M391">
        <f>IF(I391="","",ROUND(I391/(J391+10),1))</f>
        <v/>
      </c>
      <c r="N391">
        <f>IF(M391="","",IF(M391&gt;=20,"A - Go first",IF(M391&gt;=5,"B - Next","C - Later")))</f>
        <v/>
      </c>
      <c r="O391" t="inlineStr">
        <is>
          <t>To research</t>
        </is>
      </c>
      <c r="P391" t="inlineStr"/>
    </row>
    <row r="392">
      <c r="A392" t="inlineStr">
        <is>
          <t>rice wholesale al ain</t>
        </is>
      </c>
      <c r="B392" t="inlineStr">
        <is>
          <t>Location</t>
        </is>
      </c>
      <c r="C392" t="inlineStr">
        <is>
          <t>Rice Wholesale</t>
        </is>
      </c>
      <c r="D392" t="inlineStr">
        <is>
          <t>Local/Transactional</t>
        </is>
      </c>
      <c r="E392" t="inlineStr">
        <is>
          <t>BOFU</t>
        </is>
      </c>
      <c r="F392" t="inlineStr">
        <is>
          <t>Al Ain</t>
        </is>
      </c>
      <c r="G392" t="inlineStr">
        <is>
          <t>Al Ain location landing page</t>
        </is>
      </c>
      <c r="H392" t="inlineStr">
        <is>
          <t>Location landing</t>
        </is>
      </c>
      <c r="I392">
        <f>IFERROR(VLOOKUP($A392,'Semrush Import'!$A:$D,2,FALSE),"")</f>
        <v/>
      </c>
      <c r="J392">
        <f>IFERROR(VLOOKUP($A392,'Semrush Import'!$A:$D,3,FALSE),"")</f>
        <v/>
      </c>
      <c r="K392">
        <f>IFERROR(VLOOKUP($A392,'Semrush Import'!$A:$D,4,FALSE),"")</f>
        <v/>
      </c>
      <c r="L392">
        <f>IFERROR(VLOOKUP($A392,'KP Import'!$A:$B,2,FALSE),"")</f>
        <v/>
      </c>
      <c r="M392">
        <f>IF(I392="","",ROUND(I392/(J392+10),1))</f>
        <v/>
      </c>
      <c r="N392">
        <f>IF(M392="","",IF(M392&gt;=20,"A - Go first",IF(M392&gt;=5,"B - Next","C - Later")))</f>
        <v/>
      </c>
      <c r="O392" t="inlineStr">
        <is>
          <t>To research</t>
        </is>
      </c>
      <c r="P392" t="inlineStr"/>
    </row>
    <row r="393">
      <c r="A393" t="inlineStr">
        <is>
          <t>rice supplier al ain</t>
        </is>
      </c>
      <c r="B393" t="inlineStr">
        <is>
          <t>Location</t>
        </is>
      </c>
      <c r="C393" t="inlineStr">
        <is>
          <t>Rice Supplier</t>
        </is>
      </c>
      <c r="D393" t="inlineStr">
        <is>
          <t>Local/Transactional</t>
        </is>
      </c>
      <c r="E393" t="inlineStr">
        <is>
          <t>BOFU</t>
        </is>
      </c>
      <c r="F393" t="inlineStr">
        <is>
          <t>Al Ain</t>
        </is>
      </c>
      <c r="G393" t="inlineStr">
        <is>
          <t>Al Ain location landing page</t>
        </is>
      </c>
      <c r="H393" t="inlineStr">
        <is>
          <t>Location landing</t>
        </is>
      </c>
      <c r="I393">
        <f>IFERROR(VLOOKUP($A393,'Semrush Import'!$A:$D,2,FALSE),"")</f>
        <v/>
      </c>
      <c r="J393">
        <f>IFERROR(VLOOKUP($A393,'Semrush Import'!$A:$D,3,FALSE),"")</f>
        <v/>
      </c>
      <c r="K393">
        <f>IFERROR(VLOOKUP($A393,'Semrush Import'!$A:$D,4,FALSE),"")</f>
        <v/>
      </c>
      <c r="L393">
        <f>IFERROR(VLOOKUP($A393,'KP Import'!$A:$B,2,FALSE),"")</f>
        <v/>
      </c>
      <c r="M393">
        <f>IF(I393="","",ROUND(I393/(J393+10),1))</f>
        <v/>
      </c>
      <c r="N393">
        <f>IF(M393="","",IF(M393&gt;=20,"A - Go first",IF(M393&gt;=5,"B - Next","C - Later")))</f>
        <v/>
      </c>
      <c r="O393" t="inlineStr">
        <is>
          <t>To research</t>
        </is>
      </c>
      <c r="P393" t="inlineStr"/>
    </row>
    <row r="394">
      <c r="A394" t="inlineStr">
        <is>
          <t>buy rice online al ain</t>
        </is>
      </c>
      <c r="B394" t="inlineStr">
        <is>
          <t>Location</t>
        </is>
      </c>
      <c r="C394" t="inlineStr">
        <is>
          <t>Buy Rice Online</t>
        </is>
      </c>
      <c r="D394" t="inlineStr">
        <is>
          <t>Local/Transactional</t>
        </is>
      </c>
      <c r="E394" t="inlineStr">
        <is>
          <t>BOFU</t>
        </is>
      </c>
      <c r="F394" t="inlineStr">
        <is>
          <t>Al Ain</t>
        </is>
      </c>
      <c r="G394" t="inlineStr">
        <is>
          <t>Al Ain location landing page</t>
        </is>
      </c>
      <c r="H394" t="inlineStr">
        <is>
          <t>Location landing</t>
        </is>
      </c>
      <c r="I394">
        <f>IFERROR(VLOOKUP($A394,'Semrush Import'!$A:$D,2,FALSE),"")</f>
        <v/>
      </c>
      <c r="J394">
        <f>IFERROR(VLOOKUP($A394,'Semrush Import'!$A:$D,3,FALSE),"")</f>
        <v/>
      </c>
      <c r="K394">
        <f>IFERROR(VLOOKUP($A394,'Semrush Import'!$A:$D,4,FALSE),"")</f>
        <v/>
      </c>
      <c r="L394">
        <f>IFERROR(VLOOKUP($A394,'KP Import'!$A:$B,2,FALSE),"")</f>
        <v/>
      </c>
      <c r="M394">
        <f>IF(I394="","",ROUND(I394/(J394+10),1))</f>
        <v/>
      </c>
      <c r="N394">
        <f>IF(M394="","",IF(M394&gt;=20,"A - Go first",IF(M394&gt;=5,"B - Next","C - Later")))</f>
        <v/>
      </c>
      <c r="O394" t="inlineStr">
        <is>
          <t>To research</t>
        </is>
      </c>
      <c r="P394" t="inlineStr"/>
    </row>
    <row r="395">
      <c r="A395" t="inlineStr">
        <is>
          <t>rice delivery al ain</t>
        </is>
      </c>
      <c r="B395" t="inlineStr">
        <is>
          <t>Location</t>
        </is>
      </c>
      <c r="C395" t="inlineStr">
        <is>
          <t>Rice Delivery</t>
        </is>
      </c>
      <c r="D395" t="inlineStr">
        <is>
          <t>Local/Transactional</t>
        </is>
      </c>
      <c r="E395" t="inlineStr">
        <is>
          <t>BOFU</t>
        </is>
      </c>
      <c r="F395" t="inlineStr">
        <is>
          <t>Al Ain</t>
        </is>
      </c>
      <c r="G395" t="inlineStr">
        <is>
          <t>Al Ain location landing page</t>
        </is>
      </c>
      <c r="H395" t="inlineStr">
        <is>
          <t>Location landing</t>
        </is>
      </c>
      <c r="I395">
        <f>IFERROR(VLOOKUP($A395,'Semrush Import'!$A:$D,2,FALSE),"")</f>
        <v/>
      </c>
      <c r="J395">
        <f>IFERROR(VLOOKUP($A395,'Semrush Import'!$A:$D,3,FALSE),"")</f>
        <v/>
      </c>
      <c r="K395">
        <f>IFERROR(VLOOKUP($A395,'Semrush Import'!$A:$D,4,FALSE),"")</f>
        <v/>
      </c>
      <c r="L395">
        <f>IFERROR(VLOOKUP($A395,'KP Import'!$A:$B,2,FALSE),"")</f>
        <v/>
      </c>
      <c r="M395">
        <f>IF(I395="","",ROUND(I395/(J395+10),1))</f>
        <v/>
      </c>
      <c r="N395">
        <f>IF(M395="","",IF(M395&gt;=20,"A - Go first",IF(M395&gt;=5,"B - Next","C - Later")))</f>
        <v/>
      </c>
      <c r="O395" t="inlineStr">
        <is>
          <t>To research</t>
        </is>
      </c>
      <c r="P395" t="inlineStr"/>
    </row>
    <row r="396">
      <c r="A396" t="inlineStr">
        <is>
          <t>sella basmati rice al ain</t>
        </is>
      </c>
      <c r="B396" t="inlineStr">
        <is>
          <t>Location</t>
        </is>
      </c>
      <c r="C396" t="inlineStr">
        <is>
          <t>Sella Basmati Rice</t>
        </is>
      </c>
      <c r="D396" t="inlineStr">
        <is>
          <t>Local/Transactional</t>
        </is>
      </c>
      <c r="E396" t="inlineStr">
        <is>
          <t>BOFU</t>
        </is>
      </c>
      <c r="F396" t="inlineStr">
        <is>
          <t>Al Ain</t>
        </is>
      </c>
      <c r="G396" t="inlineStr">
        <is>
          <t>Al Ain location landing page</t>
        </is>
      </c>
      <c r="H396" t="inlineStr">
        <is>
          <t>Location landing</t>
        </is>
      </c>
      <c r="I396">
        <f>IFERROR(VLOOKUP($A396,'Semrush Import'!$A:$D,2,FALSE),"")</f>
        <v/>
      </c>
      <c r="J396">
        <f>IFERROR(VLOOKUP($A396,'Semrush Import'!$A:$D,3,FALSE),"")</f>
        <v/>
      </c>
      <c r="K396">
        <f>IFERROR(VLOOKUP($A396,'Semrush Import'!$A:$D,4,FALSE),"")</f>
        <v/>
      </c>
      <c r="L396">
        <f>IFERROR(VLOOKUP($A396,'KP Import'!$A:$B,2,FALSE),"")</f>
        <v/>
      </c>
      <c r="M396">
        <f>IF(I396="","",ROUND(I396/(J396+10),1))</f>
        <v/>
      </c>
      <c r="N396">
        <f>IF(M396="","",IF(M396&gt;=20,"A - Go first",IF(M396&gt;=5,"B - Next","C - Later")))</f>
        <v/>
      </c>
      <c r="O396" t="inlineStr">
        <is>
          <t>To research</t>
        </is>
      </c>
      <c r="P396" t="inlineStr"/>
    </row>
    <row r="397">
      <c r="A397" t="inlineStr">
        <is>
          <t>rice delivery deira</t>
        </is>
      </c>
      <c r="B397" t="inlineStr">
        <is>
          <t>Dubai area</t>
        </is>
      </c>
      <c r="C397" t="inlineStr">
        <is>
          <t>Rice Delivery</t>
        </is>
      </c>
      <c r="D397" t="inlineStr">
        <is>
          <t>Local/Transactional</t>
        </is>
      </c>
      <c r="E397" t="inlineStr">
        <is>
          <t>BOFU</t>
        </is>
      </c>
      <c r="F397" t="inlineStr">
        <is>
          <t>Dubai - Deira</t>
        </is>
      </c>
      <c r="G397" t="inlineStr">
        <is>
          <t>Dubai location page (area section)</t>
        </is>
      </c>
      <c r="H397" t="inlineStr">
        <is>
          <t>Location landing</t>
        </is>
      </c>
      <c r="I397">
        <f>IFERROR(VLOOKUP($A397,'Semrush Import'!$A:$D,2,FALSE),"")</f>
        <v/>
      </c>
      <c r="J397">
        <f>IFERROR(VLOOKUP($A397,'Semrush Import'!$A:$D,3,FALSE),"")</f>
        <v/>
      </c>
      <c r="K397">
        <f>IFERROR(VLOOKUP($A397,'Semrush Import'!$A:$D,4,FALSE),"")</f>
        <v/>
      </c>
      <c r="L397">
        <f>IFERROR(VLOOKUP($A397,'KP Import'!$A:$B,2,FALSE),"")</f>
        <v/>
      </c>
      <c r="M397">
        <f>IF(I397="","",ROUND(I397/(J397+10),1))</f>
        <v/>
      </c>
      <c r="N397">
        <f>IF(M397="","",IF(M397&gt;=20,"A - Go first",IF(M397&gt;=5,"B - Next","C - Later")))</f>
        <v/>
      </c>
      <c r="O397" t="inlineStr">
        <is>
          <t>To research</t>
        </is>
      </c>
      <c r="P397" t="inlineStr"/>
    </row>
    <row r="398">
      <c r="A398" t="inlineStr">
        <is>
          <t>rice wholesale deira</t>
        </is>
      </c>
      <c r="B398" t="inlineStr">
        <is>
          <t>Dubai area</t>
        </is>
      </c>
      <c r="C398" t="inlineStr">
        <is>
          <t>Rice Wholesale</t>
        </is>
      </c>
      <c r="D398" t="inlineStr">
        <is>
          <t>Local/Transactional</t>
        </is>
      </c>
      <c r="E398" t="inlineStr">
        <is>
          <t>BOFU</t>
        </is>
      </c>
      <c r="F398" t="inlineStr">
        <is>
          <t>Dubai - Deira</t>
        </is>
      </c>
      <c r="G398" t="inlineStr">
        <is>
          <t>Dubai location page (area section)</t>
        </is>
      </c>
      <c r="H398" t="inlineStr">
        <is>
          <t>Location landing</t>
        </is>
      </c>
      <c r="I398">
        <f>IFERROR(VLOOKUP($A398,'Semrush Import'!$A:$D,2,FALSE),"")</f>
        <v/>
      </c>
      <c r="J398">
        <f>IFERROR(VLOOKUP($A398,'Semrush Import'!$A:$D,3,FALSE),"")</f>
        <v/>
      </c>
      <c r="K398">
        <f>IFERROR(VLOOKUP($A398,'Semrush Import'!$A:$D,4,FALSE),"")</f>
        <v/>
      </c>
      <c r="L398">
        <f>IFERROR(VLOOKUP($A398,'KP Import'!$A:$B,2,FALSE),"")</f>
        <v/>
      </c>
      <c r="M398">
        <f>IF(I398="","",ROUND(I398/(J398+10),1))</f>
        <v/>
      </c>
      <c r="N398">
        <f>IF(M398="","",IF(M398&gt;=20,"A - Go first",IF(M398&gt;=5,"B - Next","C - Later")))</f>
        <v/>
      </c>
      <c r="O398" t="inlineStr">
        <is>
          <t>To research</t>
        </is>
      </c>
      <c r="P398" t="inlineStr"/>
    </row>
    <row r="399">
      <c r="A399" t="inlineStr">
        <is>
          <t>basmati rice deira</t>
        </is>
      </c>
      <c r="B399" t="inlineStr">
        <is>
          <t>Dubai area</t>
        </is>
      </c>
      <c r="C399" t="inlineStr">
        <is>
          <t>Basmati Rice</t>
        </is>
      </c>
      <c r="D399" t="inlineStr">
        <is>
          <t>Local/Transactional</t>
        </is>
      </c>
      <c r="E399" t="inlineStr">
        <is>
          <t>BOFU</t>
        </is>
      </c>
      <c r="F399" t="inlineStr">
        <is>
          <t>Dubai - Deira</t>
        </is>
      </c>
      <c r="G399" t="inlineStr">
        <is>
          <t>Dubai location page (area section)</t>
        </is>
      </c>
      <c r="H399" t="inlineStr">
        <is>
          <t>Location landing</t>
        </is>
      </c>
      <c r="I399">
        <f>IFERROR(VLOOKUP($A399,'Semrush Import'!$A:$D,2,FALSE),"")</f>
        <v/>
      </c>
      <c r="J399">
        <f>IFERROR(VLOOKUP($A399,'Semrush Import'!$A:$D,3,FALSE),"")</f>
        <v/>
      </c>
      <c r="K399">
        <f>IFERROR(VLOOKUP($A399,'Semrush Import'!$A:$D,4,FALSE),"")</f>
        <v/>
      </c>
      <c r="L399">
        <f>IFERROR(VLOOKUP($A399,'KP Import'!$A:$B,2,FALSE),"")</f>
        <v/>
      </c>
      <c r="M399">
        <f>IF(I399="","",ROUND(I399/(J399+10),1))</f>
        <v/>
      </c>
      <c r="N399">
        <f>IF(M399="","",IF(M399&gt;=20,"A - Go first",IF(M399&gt;=5,"B - Next","C - Later")))</f>
        <v/>
      </c>
      <c r="O399" t="inlineStr">
        <is>
          <t>To research</t>
        </is>
      </c>
      <c r="P399" t="inlineStr"/>
    </row>
    <row r="400">
      <c r="A400" t="inlineStr">
        <is>
          <t>rice delivery bur dubai</t>
        </is>
      </c>
      <c r="B400" t="inlineStr">
        <is>
          <t>Dubai area</t>
        </is>
      </c>
      <c r="C400" t="inlineStr">
        <is>
          <t>Rice Delivery</t>
        </is>
      </c>
      <c r="D400" t="inlineStr">
        <is>
          <t>Local/Transactional</t>
        </is>
      </c>
      <c r="E400" t="inlineStr">
        <is>
          <t>BOFU</t>
        </is>
      </c>
      <c r="F400" t="inlineStr">
        <is>
          <t>Dubai - Bur Dubai</t>
        </is>
      </c>
      <c r="G400" t="inlineStr">
        <is>
          <t>Dubai location page (area section)</t>
        </is>
      </c>
      <c r="H400" t="inlineStr">
        <is>
          <t>Location landing</t>
        </is>
      </c>
      <c r="I400">
        <f>IFERROR(VLOOKUP($A400,'Semrush Import'!$A:$D,2,FALSE),"")</f>
        <v/>
      </c>
      <c r="J400">
        <f>IFERROR(VLOOKUP($A400,'Semrush Import'!$A:$D,3,FALSE),"")</f>
        <v/>
      </c>
      <c r="K400">
        <f>IFERROR(VLOOKUP($A400,'Semrush Import'!$A:$D,4,FALSE),"")</f>
        <v/>
      </c>
      <c r="L400">
        <f>IFERROR(VLOOKUP($A400,'KP Import'!$A:$B,2,FALSE),"")</f>
        <v/>
      </c>
      <c r="M400">
        <f>IF(I400="","",ROUND(I400/(J400+10),1))</f>
        <v/>
      </c>
      <c r="N400">
        <f>IF(M400="","",IF(M400&gt;=20,"A - Go first",IF(M400&gt;=5,"B - Next","C - Later")))</f>
        <v/>
      </c>
      <c r="O400" t="inlineStr">
        <is>
          <t>To research</t>
        </is>
      </c>
      <c r="P400" t="inlineStr"/>
    </row>
    <row r="401">
      <c r="A401" t="inlineStr">
        <is>
          <t>rice wholesale bur dubai</t>
        </is>
      </c>
      <c r="B401" t="inlineStr">
        <is>
          <t>Dubai area</t>
        </is>
      </c>
      <c r="C401" t="inlineStr">
        <is>
          <t>Rice Wholesale</t>
        </is>
      </c>
      <c r="D401" t="inlineStr">
        <is>
          <t>Local/Transactional</t>
        </is>
      </c>
      <c r="E401" t="inlineStr">
        <is>
          <t>BOFU</t>
        </is>
      </c>
      <c r="F401" t="inlineStr">
        <is>
          <t>Dubai - Bur Dubai</t>
        </is>
      </c>
      <c r="G401" t="inlineStr">
        <is>
          <t>Dubai location page (area section)</t>
        </is>
      </c>
      <c r="H401" t="inlineStr">
        <is>
          <t>Location landing</t>
        </is>
      </c>
      <c r="I401">
        <f>IFERROR(VLOOKUP($A401,'Semrush Import'!$A:$D,2,FALSE),"")</f>
        <v/>
      </c>
      <c r="J401">
        <f>IFERROR(VLOOKUP($A401,'Semrush Import'!$A:$D,3,FALSE),"")</f>
        <v/>
      </c>
      <c r="K401">
        <f>IFERROR(VLOOKUP($A401,'Semrush Import'!$A:$D,4,FALSE),"")</f>
        <v/>
      </c>
      <c r="L401">
        <f>IFERROR(VLOOKUP($A401,'KP Import'!$A:$B,2,FALSE),"")</f>
        <v/>
      </c>
      <c r="M401">
        <f>IF(I401="","",ROUND(I401/(J401+10),1))</f>
        <v/>
      </c>
      <c r="N401">
        <f>IF(M401="","",IF(M401&gt;=20,"A - Go first",IF(M401&gt;=5,"B - Next","C - Later")))</f>
        <v/>
      </c>
      <c r="O401" t="inlineStr">
        <is>
          <t>To research</t>
        </is>
      </c>
      <c r="P401" t="inlineStr"/>
    </row>
    <row r="402">
      <c r="A402" t="inlineStr">
        <is>
          <t>basmati rice bur dubai</t>
        </is>
      </c>
      <c r="B402" t="inlineStr">
        <is>
          <t>Dubai area</t>
        </is>
      </c>
      <c r="C402" t="inlineStr">
        <is>
          <t>Basmati Rice</t>
        </is>
      </c>
      <c r="D402" t="inlineStr">
        <is>
          <t>Local/Transactional</t>
        </is>
      </c>
      <c r="E402" t="inlineStr">
        <is>
          <t>BOFU</t>
        </is>
      </c>
      <c r="F402" t="inlineStr">
        <is>
          <t>Dubai - Bur Dubai</t>
        </is>
      </c>
      <c r="G402" t="inlineStr">
        <is>
          <t>Dubai location page (area section)</t>
        </is>
      </c>
      <c r="H402" t="inlineStr">
        <is>
          <t>Location landing</t>
        </is>
      </c>
      <c r="I402">
        <f>IFERROR(VLOOKUP($A402,'Semrush Import'!$A:$D,2,FALSE),"")</f>
        <v/>
      </c>
      <c r="J402">
        <f>IFERROR(VLOOKUP($A402,'Semrush Import'!$A:$D,3,FALSE),"")</f>
        <v/>
      </c>
      <c r="K402">
        <f>IFERROR(VLOOKUP($A402,'Semrush Import'!$A:$D,4,FALSE),"")</f>
        <v/>
      </c>
      <c r="L402">
        <f>IFERROR(VLOOKUP($A402,'KP Import'!$A:$B,2,FALSE),"")</f>
        <v/>
      </c>
      <c r="M402">
        <f>IF(I402="","",ROUND(I402/(J402+10),1))</f>
        <v/>
      </c>
      <c r="N402">
        <f>IF(M402="","",IF(M402&gt;=20,"A - Go first",IF(M402&gt;=5,"B - Next","C - Later")))</f>
        <v/>
      </c>
      <c r="O402" t="inlineStr">
        <is>
          <t>To research</t>
        </is>
      </c>
      <c r="P402" t="inlineStr"/>
    </row>
    <row r="403">
      <c r="A403" t="inlineStr">
        <is>
          <t>rice delivery al quoz</t>
        </is>
      </c>
      <c r="B403" t="inlineStr">
        <is>
          <t>Dubai area</t>
        </is>
      </c>
      <c r="C403" t="inlineStr">
        <is>
          <t>Rice Delivery</t>
        </is>
      </c>
      <c r="D403" t="inlineStr">
        <is>
          <t>Local/Transactional</t>
        </is>
      </c>
      <c r="E403" t="inlineStr">
        <is>
          <t>BOFU</t>
        </is>
      </c>
      <c r="F403" t="inlineStr">
        <is>
          <t>Dubai - Al Quoz</t>
        </is>
      </c>
      <c r="G403" t="inlineStr">
        <is>
          <t>Dubai location page (area section)</t>
        </is>
      </c>
      <c r="H403" t="inlineStr">
        <is>
          <t>Location landing</t>
        </is>
      </c>
      <c r="I403">
        <f>IFERROR(VLOOKUP($A403,'Semrush Import'!$A:$D,2,FALSE),"")</f>
        <v/>
      </c>
      <c r="J403">
        <f>IFERROR(VLOOKUP($A403,'Semrush Import'!$A:$D,3,FALSE),"")</f>
        <v/>
      </c>
      <c r="K403">
        <f>IFERROR(VLOOKUP($A403,'Semrush Import'!$A:$D,4,FALSE),"")</f>
        <v/>
      </c>
      <c r="L403">
        <f>IFERROR(VLOOKUP($A403,'KP Import'!$A:$B,2,FALSE),"")</f>
        <v/>
      </c>
      <c r="M403">
        <f>IF(I403="","",ROUND(I403/(J403+10),1))</f>
        <v/>
      </c>
      <c r="N403">
        <f>IF(M403="","",IF(M403&gt;=20,"A - Go first",IF(M403&gt;=5,"B - Next","C - Later")))</f>
        <v/>
      </c>
      <c r="O403" t="inlineStr">
        <is>
          <t>To research</t>
        </is>
      </c>
      <c r="P403" t="inlineStr"/>
    </row>
    <row r="404">
      <c r="A404" t="inlineStr">
        <is>
          <t>rice wholesale al quoz</t>
        </is>
      </c>
      <c r="B404" t="inlineStr">
        <is>
          <t>Dubai area</t>
        </is>
      </c>
      <c r="C404" t="inlineStr">
        <is>
          <t>Rice Wholesale</t>
        </is>
      </c>
      <c r="D404" t="inlineStr">
        <is>
          <t>Local/Transactional</t>
        </is>
      </c>
      <c r="E404" t="inlineStr">
        <is>
          <t>BOFU</t>
        </is>
      </c>
      <c r="F404" t="inlineStr">
        <is>
          <t>Dubai - Al Quoz</t>
        </is>
      </c>
      <c r="G404" t="inlineStr">
        <is>
          <t>Dubai location page (area section)</t>
        </is>
      </c>
      <c r="H404" t="inlineStr">
        <is>
          <t>Location landing</t>
        </is>
      </c>
      <c r="I404">
        <f>IFERROR(VLOOKUP($A404,'Semrush Import'!$A:$D,2,FALSE),"")</f>
        <v/>
      </c>
      <c r="J404">
        <f>IFERROR(VLOOKUP($A404,'Semrush Import'!$A:$D,3,FALSE),"")</f>
        <v/>
      </c>
      <c r="K404">
        <f>IFERROR(VLOOKUP($A404,'Semrush Import'!$A:$D,4,FALSE),"")</f>
        <v/>
      </c>
      <c r="L404">
        <f>IFERROR(VLOOKUP($A404,'KP Import'!$A:$B,2,FALSE),"")</f>
        <v/>
      </c>
      <c r="M404">
        <f>IF(I404="","",ROUND(I404/(J404+10),1))</f>
        <v/>
      </c>
      <c r="N404">
        <f>IF(M404="","",IF(M404&gt;=20,"A - Go first",IF(M404&gt;=5,"B - Next","C - Later")))</f>
        <v/>
      </c>
      <c r="O404" t="inlineStr">
        <is>
          <t>To research</t>
        </is>
      </c>
      <c r="P404" t="inlineStr"/>
    </row>
    <row r="405">
      <c r="A405" t="inlineStr">
        <is>
          <t>basmati rice al quoz</t>
        </is>
      </c>
      <c r="B405" t="inlineStr">
        <is>
          <t>Dubai area</t>
        </is>
      </c>
      <c r="C405" t="inlineStr">
        <is>
          <t>Basmati Rice</t>
        </is>
      </c>
      <c r="D405" t="inlineStr">
        <is>
          <t>Local/Transactional</t>
        </is>
      </c>
      <c r="E405" t="inlineStr">
        <is>
          <t>BOFU</t>
        </is>
      </c>
      <c r="F405" t="inlineStr">
        <is>
          <t>Dubai - Al Quoz</t>
        </is>
      </c>
      <c r="G405" t="inlineStr">
        <is>
          <t>Dubai location page (area section)</t>
        </is>
      </c>
      <c r="H405" t="inlineStr">
        <is>
          <t>Location landing</t>
        </is>
      </c>
      <c r="I405">
        <f>IFERROR(VLOOKUP($A405,'Semrush Import'!$A:$D,2,FALSE),"")</f>
        <v/>
      </c>
      <c r="J405">
        <f>IFERROR(VLOOKUP($A405,'Semrush Import'!$A:$D,3,FALSE),"")</f>
        <v/>
      </c>
      <c r="K405">
        <f>IFERROR(VLOOKUP($A405,'Semrush Import'!$A:$D,4,FALSE),"")</f>
        <v/>
      </c>
      <c r="L405">
        <f>IFERROR(VLOOKUP($A405,'KP Import'!$A:$B,2,FALSE),"")</f>
        <v/>
      </c>
      <c r="M405">
        <f>IF(I405="","",ROUND(I405/(J405+10),1))</f>
        <v/>
      </c>
      <c r="N405">
        <f>IF(M405="","",IF(M405&gt;=20,"A - Go first",IF(M405&gt;=5,"B - Next","C - Later")))</f>
        <v/>
      </c>
      <c r="O405" t="inlineStr">
        <is>
          <t>To research</t>
        </is>
      </c>
      <c r="P405" t="inlineStr"/>
    </row>
    <row r="406">
      <c r="A406" t="inlineStr">
        <is>
          <t>rice delivery karama</t>
        </is>
      </c>
      <c r="B406" t="inlineStr">
        <is>
          <t>Dubai area</t>
        </is>
      </c>
      <c r="C406" t="inlineStr">
        <is>
          <t>Rice Delivery</t>
        </is>
      </c>
      <c r="D406" t="inlineStr">
        <is>
          <t>Local/Transactional</t>
        </is>
      </c>
      <c r="E406" t="inlineStr">
        <is>
          <t>BOFU</t>
        </is>
      </c>
      <c r="F406" t="inlineStr">
        <is>
          <t>Dubai - Karama</t>
        </is>
      </c>
      <c r="G406" t="inlineStr">
        <is>
          <t>Dubai location page (area section)</t>
        </is>
      </c>
      <c r="H406" t="inlineStr">
        <is>
          <t>Location landing</t>
        </is>
      </c>
      <c r="I406">
        <f>IFERROR(VLOOKUP($A406,'Semrush Import'!$A:$D,2,FALSE),"")</f>
        <v/>
      </c>
      <c r="J406">
        <f>IFERROR(VLOOKUP($A406,'Semrush Import'!$A:$D,3,FALSE),"")</f>
        <v/>
      </c>
      <c r="K406">
        <f>IFERROR(VLOOKUP($A406,'Semrush Import'!$A:$D,4,FALSE),"")</f>
        <v/>
      </c>
      <c r="L406">
        <f>IFERROR(VLOOKUP($A406,'KP Import'!$A:$B,2,FALSE),"")</f>
        <v/>
      </c>
      <c r="M406">
        <f>IF(I406="","",ROUND(I406/(J406+10),1))</f>
        <v/>
      </c>
      <c r="N406">
        <f>IF(M406="","",IF(M406&gt;=20,"A - Go first",IF(M406&gt;=5,"B - Next","C - Later")))</f>
        <v/>
      </c>
      <c r="O406" t="inlineStr">
        <is>
          <t>To research</t>
        </is>
      </c>
      <c r="P406" t="inlineStr"/>
    </row>
    <row r="407">
      <c r="A407" t="inlineStr">
        <is>
          <t>rice wholesale karama</t>
        </is>
      </c>
      <c r="B407" t="inlineStr">
        <is>
          <t>Dubai area</t>
        </is>
      </c>
      <c r="C407" t="inlineStr">
        <is>
          <t>Rice Wholesale</t>
        </is>
      </c>
      <c r="D407" t="inlineStr">
        <is>
          <t>Local/Transactional</t>
        </is>
      </c>
      <c r="E407" t="inlineStr">
        <is>
          <t>BOFU</t>
        </is>
      </c>
      <c r="F407" t="inlineStr">
        <is>
          <t>Dubai - Karama</t>
        </is>
      </c>
      <c r="G407" t="inlineStr">
        <is>
          <t>Dubai location page (area section)</t>
        </is>
      </c>
      <c r="H407" t="inlineStr">
        <is>
          <t>Location landing</t>
        </is>
      </c>
      <c r="I407">
        <f>IFERROR(VLOOKUP($A407,'Semrush Import'!$A:$D,2,FALSE),"")</f>
        <v/>
      </c>
      <c r="J407">
        <f>IFERROR(VLOOKUP($A407,'Semrush Import'!$A:$D,3,FALSE),"")</f>
        <v/>
      </c>
      <c r="K407">
        <f>IFERROR(VLOOKUP($A407,'Semrush Import'!$A:$D,4,FALSE),"")</f>
        <v/>
      </c>
      <c r="L407">
        <f>IFERROR(VLOOKUP($A407,'KP Import'!$A:$B,2,FALSE),"")</f>
        <v/>
      </c>
      <c r="M407">
        <f>IF(I407="","",ROUND(I407/(J407+10),1))</f>
        <v/>
      </c>
      <c r="N407">
        <f>IF(M407="","",IF(M407&gt;=20,"A - Go first",IF(M407&gt;=5,"B - Next","C - Later")))</f>
        <v/>
      </c>
      <c r="O407" t="inlineStr">
        <is>
          <t>To research</t>
        </is>
      </c>
      <c r="P407" t="inlineStr"/>
    </row>
    <row r="408">
      <c r="A408" t="inlineStr">
        <is>
          <t>basmati rice karama</t>
        </is>
      </c>
      <c r="B408" t="inlineStr">
        <is>
          <t>Dubai area</t>
        </is>
      </c>
      <c r="C408" t="inlineStr">
        <is>
          <t>Basmati Rice</t>
        </is>
      </c>
      <c r="D408" t="inlineStr">
        <is>
          <t>Local/Transactional</t>
        </is>
      </c>
      <c r="E408" t="inlineStr">
        <is>
          <t>BOFU</t>
        </is>
      </c>
      <c r="F408" t="inlineStr">
        <is>
          <t>Dubai - Karama</t>
        </is>
      </c>
      <c r="G408" t="inlineStr">
        <is>
          <t>Dubai location page (area section)</t>
        </is>
      </c>
      <c r="H408" t="inlineStr">
        <is>
          <t>Location landing</t>
        </is>
      </c>
      <c r="I408">
        <f>IFERROR(VLOOKUP($A408,'Semrush Import'!$A:$D,2,FALSE),"")</f>
        <v/>
      </c>
      <c r="J408">
        <f>IFERROR(VLOOKUP($A408,'Semrush Import'!$A:$D,3,FALSE),"")</f>
        <v/>
      </c>
      <c r="K408">
        <f>IFERROR(VLOOKUP($A408,'Semrush Import'!$A:$D,4,FALSE),"")</f>
        <v/>
      </c>
      <c r="L408">
        <f>IFERROR(VLOOKUP($A408,'KP Import'!$A:$B,2,FALSE),"")</f>
        <v/>
      </c>
      <c r="M408">
        <f>IF(I408="","",ROUND(I408/(J408+10),1))</f>
        <v/>
      </c>
      <c r="N408">
        <f>IF(M408="","",IF(M408&gt;=20,"A - Go first",IF(M408&gt;=5,"B - Next","C - Later")))</f>
        <v/>
      </c>
      <c r="O408" t="inlineStr">
        <is>
          <t>To research</t>
        </is>
      </c>
      <c r="P408" t="inlineStr"/>
    </row>
    <row r="409">
      <c r="A409" t="inlineStr">
        <is>
          <t>rice delivery satwa</t>
        </is>
      </c>
      <c r="B409" t="inlineStr">
        <is>
          <t>Dubai area</t>
        </is>
      </c>
      <c r="C409" t="inlineStr">
        <is>
          <t>Rice Delivery</t>
        </is>
      </c>
      <c r="D409" t="inlineStr">
        <is>
          <t>Local/Transactional</t>
        </is>
      </c>
      <c r="E409" t="inlineStr">
        <is>
          <t>BOFU</t>
        </is>
      </c>
      <c r="F409" t="inlineStr">
        <is>
          <t>Dubai - Satwa</t>
        </is>
      </c>
      <c r="G409" t="inlineStr">
        <is>
          <t>Dubai location page (area section)</t>
        </is>
      </c>
      <c r="H409" t="inlineStr">
        <is>
          <t>Location landing</t>
        </is>
      </c>
      <c r="I409">
        <f>IFERROR(VLOOKUP($A409,'Semrush Import'!$A:$D,2,FALSE),"")</f>
        <v/>
      </c>
      <c r="J409">
        <f>IFERROR(VLOOKUP($A409,'Semrush Import'!$A:$D,3,FALSE),"")</f>
        <v/>
      </c>
      <c r="K409">
        <f>IFERROR(VLOOKUP($A409,'Semrush Import'!$A:$D,4,FALSE),"")</f>
        <v/>
      </c>
      <c r="L409">
        <f>IFERROR(VLOOKUP($A409,'KP Import'!$A:$B,2,FALSE),"")</f>
        <v/>
      </c>
      <c r="M409">
        <f>IF(I409="","",ROUND(I409/(J409+10),1))</f>
        <v/>
      </c>
      <c r="N409">
        <f>IF(M409="","",IF(M409&gt;=20,"A - Go first",IF(M409&gt;=5,"B - Next","C - Later")))</f>
        <v/>
      </c>
      <c r="O409" t="inlineStr">
        <is>
          <t>To research</t>
        </is>
      </c>
      <c r="P409" t="inlineStr"/>
    </row>
    <row r="410">
      <c r="A410" t="inlineStr">
        <is>
          <t>rice wholesale satwa</t>
        </is>
      </c>
      <c r="B410" t="inlineStr">
        <is>
          <t>Dubai area</t>
        </is>
      </c>
      <c r="C410" t="inlineStr">
        <is>
          <t>Rice Wholesale</t>
        </is>
      </c>
      <c r="D410" t="inlineStr">
        <is>
          <t>Local/Transactional</t>
        </is>
      </c>
      <c r="E410" t="inlineStr">
        <is>
          <t>BOFU</t>
        </is>
      </c>
      <c r="F410" t="inlineStr">
        <is>
          <t>Dubai - Satwa</t>
        </is>
      </c>
      <c r="G410" t="inlineStr">
        <is>
          <t>Dubai location page (area section)</t>
        </is>
      </c>
      <c r="H410" t="inlineStr">
        <is>
          <t>Location landing</t>
        </is>
      </c>
      <c r="I410">
        <f>IFERROR(VLOOKUP($A410,'Semrush Import'!$A:$D,2,FALSE),"")</f>
        <v/>
      </c>
      <c r="J410">
        <f>IFERROR(VLOOKUP($A410,'Semrush Import'!$A:$D,3,FALSE),"")</f>
        <v/>
      </c>
      <c r="K410">
        <f>IFERROR(VLOOKUP($A410,'Semrush Import'!$A:$D,4,FALSE),"")</f>
        <v/>
      </c>
      <c r="L410">
        <f>IFERROR(VLOOKUP($A410,'KP Import'!$A:$B,2,FALSE),"")</f>
        <v/>
      </c>
      <c r="M410">
        <f>IF(I410="","",ROUND(I410/(J410+10),1))</f>
        <v/>
      </c>
      <c r="N410">
        <f>IF(M410="","",IF(M410&gt;=20,"A - Go first",IF(M410&gt;=5,"B - Next","C - Later")))</f>
        <v/>
      </c>
      <c r="O410" t="inlineStr">
        <is>
          <t>To research</t>
        </is>
      </c>
      <c r="P410" t="inlineStr"/>
    </row>
    <row r="411">
      <c r="A411" t="inlineStr">
        <is>
          <t>basmati rice satwa</t>
        </is>
      </c>
      <c r="B411" t="inlineStr">
        <is>
          <t>Dubai area</t>
        </is>
      </c>
      <c r="C411" t="inlineStr">
        <is>
          <t>Basmati Rice</t>
        </is>
      </c>
      <c r="D411" t="inlineStr">
        <is>
          <t>Local/Transactional</t>
        </is>
      </c>
      <c r="E411" t="inlineStr">
        <is>
          <t>BOFU</t>
        </is>
      </c>
      <c r="F411" t="inlineStr">
        <is>
          <t>Dubai - Satwa</t>
        </is>
      </c>
      <c r="G411" t="inlineStr">
        <is>
          <t>Dubai location page (area section)</t>
        </is>
      </c>
      <c r="H411" t="inlineStr">
        <is>
          <t>Location landing</t>
        </is>
      </c>
      <c r="I411">
        <f>IFERROR(VLOOKUP($A411,'Semrush Import'!$A:$D,2,FALSE),"")</f>
        <v/>
      </c>
      <c r="J411">
        <f>IFERROR(VLOOKUP($A411,'Semrush Import'!$A:$D,3,FALSE),"")</f>
        <v/>
      </c>
      <c r="K411">
        <f>IFERROR(VLOOKUP($A411,'Semrush Import'!$A:$D,4,FALSE),"")</f>
        <v/>
      </c>
      <c r="L411">
        <f>IFERROR(VLOOKUP($A411,'KP Import'!$A:$B,2,FALSE),"")</f>
        <v/>
      </c>
      <c r="M411">
        <f>IF(I411="","",ROUND(I411/(J411+10),1))</f>
        <v/>
      </c>
      <c r="N411">
        <f>IF(M411="","",IF(M411&gt;=20,"A - Go first",IF(M411&gt;=5,"B - Next","C - Later")))</f>
        <v/>
      </c>
      <c r="O411" t="inlineStr">
        <is>
          <t>To research</t>
        </is>
      </c>
      <c r="P411" t="inlineStr"/>
    </row>
    <row r="412">
      <c r="A412" t="inlineStr">
        <is>
          <t>rice delivery jebel ali</t>
        </is>
      </c>
      <c r="B412" t="inlineStr">
        <is>
          <t>Dubai area</t>
        </is>
      </c>
      <c r="C412" t="inlineStr">
        <is>
          <t>Rice Delivery</t>
        </is>
      </c>
      <c r="D412" t="inlineStr">
        <is>
          <t>Local/Transactional</t>
        </is>
      </c>
      <c r="E412" t="inlineStr">
        <is>
          <t>BOFU</t>
        </is>
      </c>
      <c r="F412" t="inlineStr">
        <is>
          <t>Dubai - Jebel Ali</t>
        </is>
      </c>
      <c r="G412" t="inlineStr">
        <is>
          <t>Dubai location page (area section)</t>
        </is>
      </c>
      <c r="H412" t="inlineStr">
        <is>
          <t>Location landing</t>
        </is>
      </c>
      <c r="I412">
        <f>IFERROR(VLOOKUP($A412,'Semrush Import'!$A:$D,2,FALSE),"")</f>
        <v/>
      </c>
      <c r="J412">
        <f>IFERROR(VLOOKUP($A412,'Semrush Import'!$A:$D,3,FALSE),"")</f>
        <v/>
      </c>
      <c r="K412">
        <f>IFERROR(VLOOKUP($A412,'Semrush Import'!$A:$D,4,FALSE),"")</f>
        <v/>
      </c>
      <c r="L412">
        <f>IFERROR(VLOOKUP($A412,'KP Import'!$A:$B,2,FALSE),"")</f>
        <v/>
      </c>
      <c r="M412">
        <f>IF(I412="","",ROUND(I412/(J412+10),1))</f>
        <v/>
      </c>
      <c r="N412">
        <f>IF(M412="","",IF(M412&gt;=20,"A - Go first",IF(M412&gt;=5,"B - Next","C - Later")))</f>
        <v/>
      </c>
      <c r="O412" t="inlineStr">
        <is>
          <t>To research</t>
        </is>
      </c>
      <c r="P412" t="inlineStr"/>
    </row>
    <row r="413">
      <c r="A413" t="inlineStr">
        <is>
          <t>rice wholesale jebel ali</t>
        </is>
      </c>
      <c r="B413" t="inlineStr">
        <is>
          <t>Dubai area</t>
        </is>
      </c>
      <c r="C413" t="inlineStr">
        <is>
          <t>Rice Wholesale</t>
        </is>
      </c>
      <c r="D413" t="inlineStr">
        <is>
          <t>Local/Transactional</t>
        </is>
      </c>
      <c r="E413" t="inlineStr">
        <is>
          <t>BOFU</t>
        </is>
      </c>
      <c r="F413" t="inlineStr">
        <is>
          <t>Dubai - Jebel Ali</t>
        </is>
      </c>
      <c r="G413" t="inlineStr">
        <is>
          <t>Dubai location page (area section)</t>
        </is>
      </c>
      <c r="H413" t="inlineStr">
        <is>
          <t>Location landing</t>
        </is>
      </c>
      <c r="I413">
        <f>IFERROR(VLOOKUP($A413,'Semrush Import'!$A:$D,2,FALSE),"")</f>
        <v/>
      </c>
      <c r="J413">
        <f>IFERROR(VLOOKUP($A413,'Semrush Import'!$A:$D,3,FALSE),"")</f>
        <v/>
      </c>
      <c r="K413">
        <f>IFERROR(VLOOKUP($A413,'Semrush Import'!$A:$D,4,FALSE),"")</f>
        <v/>
      </c>
      <c r="L413">
        <f>IFERROR(VLOOKUP($A413,'KP Import'!$A:$B,2,FALSE),"")</f>
        <v/>
      </c>
      <c r="M413">
        <f>IF(I413="","",ROUND(I413/(J413+10),1))</f>
        <v/>
      </c>
      <c r="N413">
        <f>IF(M413="","",IF(M413&gt;=20,"A - Go first",IF(M413&gt;=5,"B - Next","C - Later")))</f>
        <v/>
      </c>
      <c r="O413" t="inlineStr">
        <is>
          <t>To research</t>
        </is>
      </c>
      <c r="P413" t="inlineStr"/>
    </row>
    <row r="414">
      <c r="A414" t="inlineStr">
        <is>
          <t>basmati rice jebel ali</t>
        </is>
      </c>
      <c r="B414" t="inlineStr">
        <is>
          <t>Dubai area</t>
        </is>
      </c>
      <c r="C414" t="inlineStr">
        <is>
          <t>Basmati Rice</t>
        </is>
      </c>
      <c r="D414" t="inlineStr">
        <is>
          <t>Local/Transactional</t>
        </is>
      </c>
      <c r="E414" t="inlineStr">
        <is>
          <t>BOFU</t>
        </is>
      </c>
      <c r="F414" t="inlineStr">
        <is>
          <t>Dubai - Jebel Ali</t>
        </is>
      </c>
      <c r="G414" t="inlineStr">
        <is>
          <t>Dubai location page (area section)</t>
        </is>
      </c>
      <c r="H414" t="inlineStr">
        <is>
          <t>Location landing</t>
        </is>
      </c>
      <c r="I414">
        <f>IFERROR(VLOOKUP($A414,'Semrush Import'!$A:$D,2,FALSE),"")</f>
        <v/>
      </c>
      <c r="J414">
        <f>IFERROR(VLOOKUP($A414,'Semrush Import'!$A:$D,3,FALSE),"")</f>
        <v/>
      </c>
      <c r="K414">
        <f>IFERROR(VLOOKUP($A414,'Semrush Import'!$A:$D,4,FALSE),"")</f>
        <v/>
      </c>
      <c r="L414">
        <f>IFERROR(VLOOKUP($A414,'KP Import'!$A:$B,2,FALSE),"")</f>
        <v/>
      </c>
      <c r="M414">
        <f>IF(I414="","",ROUND(I414/(J414+10),1))</f>
        <v/>
      </c>
      <c r="N414">
        <f>IF(M414="","",IF(M414&gt;=20,"A - Go first",IF(M414&gt;=5,"B - Next","C - Later")))</f>
        <v/>
      </c>
      <c r="O414" t="inlineStr">
        <is>
          <t>To research</t>
        </is>
      </c>
      <c r="P414" t="inlineStr"/>
    </row>
    <row r="415">
      <c r="A415" t="inlineStr">
        <is>
          <t>rice delivery jlt</t>
        </is>
      </c>
      <c r="B415" t="inlineStr">
        <is>
          <t>Dubai area</t>
        </is>
      </c>
      <c r="C415" t="inlineStr">
        <is>
          <t>Rice Delivery</t>
        </is>
      </c>
      <c r="D415" t="inlineStr">
        <is>
          <t>Local/Transactional</t>
        </is>
      </c>
      <c r="E415" t="inlineStr">
        <is>
          <t>BOFU</t>
        </is>
      </c>
      <c r="F415" t="inlineStr">
        <is>
          <t>Dubai - JLT</t>
        </is>
      </c>
      <c r="G415" t="inlineStr">
        <is>
          <t>Dubai location page (area section)</t>
        </is>
      </c>
      <c r="H415" t="inlineStr">
        <is>
          <t>Location landing</t>
        </is>
      </c>
      <c r="I415">
        <f>IFERROR(VLOOKUP($A415,'Semrush Import'!$A:$D,2,FALSE),"")</f>
        <v/>
      </c>
      <c r="J415">
        <f>IFERROR(VLOOKUP($A415,'Semrush Import'!$A:$D,3,FALSE),"")</f>
        <v/>
      </c>
      <c r="K415">
        <f>IFERROR(VLOOKUP($A415,'Semrush Import'!$A:$D,4,FALSE),"")</f>
        <v/>
      </c>
      <c r="L415">
        <f>IFERROR(VLOOKUP($A415,'KP Import'!$A:$B,2,FALSE),"")</f>
        <v/>
      </c>
      <c r="M415">
        <f>IF(I415="","",ROUND(I415/(J415+10),1))</f>
        <v/>
      </c>
      <c r="N415">
        <f>IF(M415="","",IF(M415&gt;=20,"A - Go first",IF(M415&gt;=5,"B - Next","C - Later")))</f>
        <v/>
      </c>
      <c r="O415" t="inlineStr">
        <is>
          <t>To research</t>
        </is>
      </c>
      <c r="P415" t="inlineStr"/>
    </row>
    <row r="416">
      <c r="A416" t="inlineStr">
        <is>
          <t>rice wholesale jlt</t>
        </is>
      </c>
      <c r="B416" t="inlineStr">
        <is>
          <t>Dubai area</t>
        </is>
      </c>
      <c r="C416" t="inlineStr">
        <is>
          <t>Rice Wholesale</t>
        </is>
      </c>
      <c r="D416" t="inlineStr">
        <is>
          <t>Local/Transactional</t>
        </is>
      </c>
      <c r="E416" t="inlineStr">
        <is>
          <t>BOFU</t>
        </is>
      </c>
      <c r="F416" t="inlineStr">
        <is>
          <t>Dubai - JLT</t>
        </is>
      </c>
      <c r="G416" t="inlineStr">
        <is>
          <t>Dubai location page (area section)</t>
        </is>
      </c>
      <c r="H416" t="inlineStr">
        <is>
          <t>Location landing</t>
        </is>
      </c>
      <c r="I416">
        <f>IFERROR(VLOOKUP($A416,'Semrush Import'!$A:$D,2,FALSE),"")</f>
        <v/>
      </c>
      <c r="J416">
        <f>IFERROR(VLOOKUP($A416,'Semrush Import'!$A:$D,3,FALSE),"")</f>
        <v/>
      </c>
      <c r="K416">
        <f>IFERROR(VLOOKUP($A416,'Semrush Import'!$A:$D,4,FALSE),"")</f>
        <v/>
      </c>
      <c r="L416">
        <f>IFERROR(VLOOKUP($A416,'KP Import'!$A:$B,2,FALSE),"")</f>
        <v/>
      </c>
      <c r="M416">
        <f>IF(I416="","",ROUND(I416/(J416+10),1))</f>
        <v/>
      </c>
      <c r="N416">
        <f>IF(M416="","",IF(M416&gt;=20,"A - Go first",IF(M416&gt;=5,"B - Next","C - Later")))</f>
        <v/>
      </c>
      <c r="O416" t="inlineStr">
        <is>
          <t>To research</t>
        </is>
      </c>
      <c r="P416" t="inlineStr"/>
    </row>
    <row r="417">
      <c r="A417" t="inlineStr">
        <is>
          <t>basmati rice jlt</t>
        </is>
      </c>
      <c r="B417" t="inlineStr">
        <is>
          <t>Dubai area</t>
        </is>
      </c>
      <c r="C417" t="inlineStr">
        <is>
          <t>Basmati Rice</t>
        </is>
      </c>
      <c r="D417" t="inlineStr">
        <is>
          <t>Local/Transactional</t>
        </is>
      </c>
      <c r="E417" t="inlineStr">
        <is>
          <t>BOFU</t>
        </is>
      </c>
      <c r="F417" t="inlineStr">
        <is>
          <t>Dubai - JLT</t>
        </is>
      </c>
      <c r="G417" t="inlineStr">
        <is>
          <t>Dubai location page (area section)</t>
        </is>
      </c>
      <c r="H417" t="inlineStr">
        <is>
          <t>Location landing</t>
        </is>
      </c>
      <c r="I417">
        <f>IFERROR(VLOOKUP($A417,'Semrush Import'!$A:$D,2,FALSE),"")</f>
        <v/>
      </c>
      <c r="J417">
        <f>IFERROR(VLOOKUP($A417,'Semrush Import'!$A:$D,3,FALSE),"")</f>
        <v/>
      </c>
      <c r="K417">
        <f>IFERROR(VLOOKUP($A417,'Semrush Import'!$A:$D,4,FALSE),"")</f>
        <v/>
      </c>
      <c r="L417">
        <f>IFERROR(VLOOKUP($A417,'KP Import'!$A:$B,2,FALSE),"")</f>
        <v/>
      </c>
      <c r="M417">
        <f>IF(I417="","",ROUND(I417/(J417+10),1))</f>
        <v/>
      </c>
      <c r="N417">
        <f>IF(M417="","",IF(M417&gt;=20,"A - Go first",IF(M417&gt;=5,"B - Next","C - Later")))</f>
        <v/>
      </c>
      <c r="O417" t="inlineStr">
        <is>
          <t>To research</t>
        </is>
      </c>
      <c r="P417" t="inlineStr"/>
    </row>
    <row r="418">
      <c r="A418" t="inlineStr">
        <is>
          <t>rice delivery dubai marina</t>
        </is>
      </c>
      <c r="B418" t="inlineStr">
        <is>
          <t>Dubai area</t>
        </is>
      </c>
      <c r="C418" t="inlineStr">
        <is>
          <t>Rice Delivery</t>
        </is>
      </c>
      <c r="D418" t="inlineStr">
        <is>
          <t>Local/Transactional</t>
        </is>
      </c>
      <c r="E418" t="inlineStr">
        <is>
          <t>BOFU</t>
        </is>
      </c>
      <c r="F418" t="inlineStr">
        <is>
          <t>Dubai - Dubai Marina</t>
        </is>
      </c>
      <c r="G418" t="inlineStr">
        <is>
          <t>Dubai location page (area section)</t>
        </is>
      </c>
      <c r="H418" t="inlineStr">
        <is>
          <t>Location landing</t>
        </is>
      </c>
      <c r="I418">
        <f>IFERROR(VLOOKUP($A418,'Semrush Import'!$A:$D,2,FALSE),"")</f>
        <v/>
      </c>
      <c r="J418">
        <f>IFERROR(VLOOKUP($A418,'Semrush Import'!$A:$D,3,FALSE),"")</f>
        <v/>
      </c>
      <c r="K418">
        <f>IFERROR(VLOOKUP($A418,'Semrush Import'!$A:$D,4,FALSE),"")</f>
        <v/>
      </c>
      <c r="L418">
        <f>IFERROR(VLOOKUP($A418,'KP Import'!$A:$B,2,FALSE),"")</f>
        <v/>
      </c>
      <c r="M418">
        <f>IF(I418="","",ROUND(I418/(J418+10),1))</f>
        <v/>
      </c>
      <c r="N418">
        <f>IF(M418="","",IF(M418&gt;=20,"A - Go first",IF(M418&gt;=5,"B - Next","C - Later")))</f>
        <v/>
      </c>
      <c r="O418" t="inlineStr">
        <is>
          <t>To research</t>
        </is>
      </c>
      <c r="P418" t="inlineStr"/>
    </row>
    <row r="419">
      <c r="A419" t="inlineStr">
        <is>
          <t>rice wholesale dubai marina</t>
        </is>
      </c>
      <c r="B419" t="inlineStr">
        <is>
          <t>Dubai area</t>
        </is>
      </c>
      <c r="C419" t="inlineStr">
        <is>
          <t>Rice Wholesale</t>
        </is>
      </c>
      <c r="D419" t="inlineStr">
        <is>
          <t>Local/Transactional</t>
        </is>
      </c>
      <c r="E419" t="inlineStr">
        <is>
          <t>BOFU</t>
        </is>
      </c>
      <c r="F419" t="inlineStr">
        <is>
          <t>Dubai - Dubai Marina</t>
        </is>
      </c>
      <c r="G419" t="inlineStr">
        <is>
          <t>Dubai location page (area section)</t>
        </is>
      </c>
      <c r="H419" t="inlineStr">
        <is>
          <t>Location landing</t>
        </is>
      </c>
      <c r="I419">
        <f>IFERROR(VLOOKUP($A419,'Semrush Import'!$A:$D,2,FALSE),"")</f>
        <v/>
      </c>
      <c r="J419">
        <f>IFERROR(VLOOKUP($A419,'Semrush Import'!$A:$D,3,FALSE),"")</f>
        <v/>
      </c>
      <c r="K419">
        <f>IFERROR(VLOOKUP($A419,'Semrush Import'!$A:$D,4,FALSE),"")</f>
        <v/>
      </c>
      <c r="L419">
        <f>IFERROR(VLOOKUP($A419,'KP Import'!$A:$B,2,FALSE),"")</f>
        <v/>
      </c>
      <c r="M419">
        <f>IF(I419="","",ROUND(I419/(J419+10),1))</f>
        <v/>
      </c>
      <c r="N419">
        <f>IF(M419="","",IF(M419&gt;=20,"A - Go first",IF(M419&gt;=5,"B - Next","C - Later")))</f>
        <v/>
      </c>
      <c r="O419" t="inlineStr">
        <is>
          <t>To research</t>
        </is>
      </c>
      <c r="P419" t="inlineStr"/>
    </row>
    <row r="420">
      <c r="A420" t="inlineStr">
        <is>
          <t>basmati rice dubai marina</t>
        </is>
      </c>
      <c r="B420" t="inlineStr">
        <is>
          <t>Dubai area</t>
        </is>
      </c>
      <c r="C420" t="inlineStr">
        <is>
          <t>Basmati Rice</t>
        </is>
      </c>
      <c r="D420" t="inlineStr">
        <is>
          <t>Local/Transactional</t>
        </is>
      </c>
      <c r="E420" t="inlineStr">
        <is>
          <t>BOFU</t>
        </is>
      </c>
      <c r="F420" t="inlineStr">
        <is>
          <t>Dubai - Dubai Marina</t>
        </is>
      </c>
      <c r="G420" t="inlineStr">
        <is>
          <t>Dubai location page (area section)</t>
        </is>
      </c>
      <c r="H420" t="inlineStr">
        <is>
          <t>Location landing</t>
        </is>
      </c>
      <c r="I420">
        <f>IFERROR(VLOOKUP($A420,'Semrush Import'!$A:$D,2,FALSE),"")</f>
        <v/>
      </c>
      <c r="J420">
        <f>IFERROR(VLOOKUP($A420,'Semrush Import'!$A:$D,3,FALSE),"")</f>
        <v/>
      </c>
      <c r="K420">
        <f>IFERROR(VLOOKUP($A420,'Semrush Import'!$A:$D,4,FALSE),"")</f>
        <v/>
      </c>
      <c r="L420">
        <f>IFERROR(VLOOKUP($A420,'KP Import'!$A:$B,2,FALSE),"")</f>
        <v/>
      </c>
      <c r="M420">
        <f>IF(I420="","",ROUND(I420/(J420+10),1))</f>
        <v/>
      </c>
      <c r="N420">
        <f>IF(M420="","",IF(M420&gt;=20,"A - Go first",IF(M420&gt;=5,"B - Next","C - Later")))</f>
        <v/>
      </c>
      <c r="O420" t="inlineStr">
        <is>
          <t>To research</t>
        </is>
      </c>
      <c r="P420" t="inlineStr"/>
    </row>
    <row r="421">
      <c r="A421" t="inlineStr">
        <is>
          <t>rice delivery business bay</t>
        </is>
      </c>
      <c r="B421" t="inlineStr">
        <is>
          <t>Dubai area</t>
        </is>
      </c>
      <c r="C421" t="inlineStr">
        <is>
          <t>Rice Delivery</t>
        </is>
      </c>
      <c r="D421" t="inlineStr">
        <is>
          <t>Local/Transactional</t>
        </is>
      </c>
      <c r="E421" t="inlineStr">
        <is>
          <t>BOFU</t>
        </is>
      </c>
      <c r="F421" t="inlineStr">
        <is>
          <t>Dubai - Business Bay</t>
        </is>
      </c>
      <c r="G421" t="inlineStr">
        <is>
          <t>Dubai location page (area section)</t>
        </is>
      </c>
      <c r="H421" t="inlineStr">
        <is>
          <t>Location landing</t>
        </is>
      </c>
      <c r="I421">
        <f>IFERROR(VLOOKUP($A421,'Semrush Import'!$A:$D,2,FALSE),"")</f>
        <v/>
      </c>
      <c r="J421">
        <f>IFERROR(VLOOKUP($A421,'Semrush Import'!$A:$D,3,FALSE),"")</f>
        <v/>
      </c>
      <c r="K421">
        <f>IFERROR(VLOOKUP($A421,'Semrush Import'!$A:$D,4,FALSE),"")</f>
        <v/>
      </c>
      <c r="L421">
        <f>IFERROR(VLOOKUP($A421,'KP Import'!$A:$B,2,FALSE),"")</f>
        <v/>
      </c>
      <c r="M421">
        <f>IF(I421="","",ROUND(I421/(J421+10),1))</f>
        <v/>
      </c>
      <c r="N421">
        <f>IF(M421="","",IF(M421&gt;=20,"A - Go first",IF(M421&gt;=5,"B - Next","C - Later")))</f>
        <v/>
      </c>
      <c r="O421" t="inlineStr">
        <is>
          <t>To research</t>
        </is>
      </c>
      <c r="P421" t="inlineStr"/>
    </row>
    <row r="422">
      <c r="A422" t="inlineStr">
        <is>
          <t>rice wholesale business bay</t>
        </is>
      </c>
      <c r="B422" t="inlineStr">
        <is>
          <t>Dubai area</t>
        </is>
      </c>
      <c r="C422" t="inlineStr">
        <is>
          <t>Rice Wholesale</t>
        </is>
      </c>
      <c r="D422" t="inlineStr">
        <is>
          <t>Local/Transactional</t>
        </is>
      </c>
      <c r="E422" t="inlineStr">
        <is>
          <t>BOFU</t>
        </is>
      </c>
      <c r="F422" t="inlineStr">
        <is>
          <t>Dubai - Business Bay</t>
        </is>
      </c>
      <c r="G422" t="inlineStr">
        <is>
          <t>Dubai location page (area section)</t>
        </is>
      </c>
      <c r="H422" t="inlineStr">
        <is>
          <t>Location landing</t>
        </is>
      </c>
      <c r="I422">
        <f>IFERROR(VLOOKUP($A422,'Semrush Import'!$A:$D,2,FALSE),"")</f>
        <v/>
      </c>
      <c r="J422">
        <f>IFERROR(VLOOKUP($A422,'Semrush Import'!$A:$D,3,FALSE),"")</f>
        <v/>
      </c>
      <c r="K422">
        <f>IFERROR(VLOOKUP($A422,'Semrush Import'!$A:$D,4,FALSE),"")</f>
        <v/>
      </c>
      <c r="L422">
        <f>IFERROR(VLOOKUP($A422,'KP Import'!$A:$B,2,FALSE),"")</f>
        <v/>
      </c>
      <c r="M422">
        <f>IF(I422="","",ROUND(I422/(J422+10),1))</f>
        <v/>
      </c>
      <c r="N422">
        <f>IF(M422="","",IF(M422&gt;=20,"A - Go first",IF(M422&gt;=5,"B - Next","C - Later")))</f>
        <v/>
      </c>
      <c r="O422" t="inlineStr">
        <is>
          <t>To research</t>
        </is>
      </c>
      <c r="P422" t="inlineStr"/>
    </row>
    <row r="423">
      <c r="A423" t="inlineStr">
        <is>
          <t>basmati rice business bay</t>
        </is>
      </c>
      <c r="B423" t="inlineStr">
        <is>
          <t>Dubai area</t>
        </is>
      </c>
      <c r="C423" t="inlineStr">
        <is>
          <t>Basmati Rice</t>
        </is>
      </c>
      <c r="D423" t="inlineStr">
        <is>
          <t>Local/Transactional</t>
        </is>
      </c>
      <c r="E423" t="inlineStr">
        <is>
          <t>BOFU</t>
        </is>
      </c>
      <c r="F423" t="inlineStr">
        <is>
          <t>Dubai - Business Bay</t>
        </is>
      </c>
      <c r="G423" t="inlineStr">
        <is>
          <t>Dubai location page (area section)</t>
        </is>
      </c>
      <c r="H423" t="inlineStr">
        <is>
          <t>Location landing</t>
        </is>
      </c>
      <c r="I423">
        <f>IFERROR(VLOOKUP($A423,'Semrush Import'!$A:$D,2,FALSE),"")</f>
        <v/>
      </c>
      <c r="J423">
        <f>IFERROR(VLOOKUP($A423,'Semrush Import'!$A:$D,3,FALSE),"")</f>
        <v/>
      </c>
      <c r="K423">
        <f>IFERROR(VLOOKUP($A423,'Semrush Import'!$A:$D,4,FALSE),"")</f>
        <v/>
      </c>
      <c r="L423">
        <f>IFERROR(VLOOKUP($A423,'KP Import'!$A:$B,2,FALSE),"")</f>
        <v/>
      </c>
      <c r="M423">
        <f>IF(I423="","",ROUND(I423/(J423+10),1))</f>
        <v/>
      </c>
      <c r="N423">
        <f>IF(M423="","",IF(M423&gt;=20,"A - Go first",IF(M423&gt;=5,"B - Next","C - Later")))</f>
        <v/>
      </c>
      <c r="O423" t="inlineStr">
        <is>
          <t>To research</t>
        </is>
      </c>
      <c r="P423" t="inlineStr"/>
    </row>
    <row r="424">
      <c r="A424" t="inlineStr">
        <is>
          <t>rice delivery downtown dubai</t>
        </is>
      </c>
      <c r="B424" t="inlineStr">
        <is>
          <t>Dubai area</t>
        </is>
      </c>
      <c r="C424" t="inlineStr">
        <is>
          <t>Rice Delivery</t>
        </is>
      </c>
      <c r="D424" t="inlineStr">
        <is>
          <t>Local/Transactional</t>
        </is>
      </c>
      <c r="E424" t="inlineStr">
        <is>
          <t>BOFU</t>
        </is>
      </c>
      <c r="F424" t="inlineStr">
        <is>
          <t>Dubai - Downtown Dubai</t>
        </is>
      </c>
      <c r="G424" t="inlineStr">
        <is>
          <t>Dubai location page (area section)</t>
        </is>
      </c>
      <c r="H424" t="inlineStr">
        <is>
          <t>Location landing</t>
        </is>
      </c>
      <c r="I424">
        <f>IFERROR(VLOOKUP($A424,'Semrush Import'!$A:$D,2,FALSE),"")</f>
        <v/>
      </c>
      <c r="J424">
        <f>IFERROR(VLOOKUP($A424,'Semrush Import'!$A:$D,3,FALSE),"")</f>
        <v/>
      </c>
      <c r="K424">
        <f>IFERROR(VLOOKUP($A424,'Semrush Import'!$A:$D,4,FALSE),"")</f>
        <v/>
      </c>
      <c r="L424">
        <f>IFERROR(VLOOKUP($A424,'KP Import'!$A:$B,2,FALSE),"")</f>
        <v/>
      </c>
      <c r="M424">
        <f>IF(I424="","",ROUND(I424/(J424+10),1))</f>
        <v/>
      </c>
      <c r="N424">
        <f>IF(M424="","",IF(M424&gt;=20,"A - Go first",IF(M424&gt;=5,"B - Next","C - Later")))</f>
        <v/>
      </c>
      <c r="O424" t="inlineStr">
        <is>
          <t>To research</t>
        </is>
      </c>
      <c r="P424" t="inlineStr"/>
    </row>
    <row r="425">
      <c r="A425" t="inlineStr">
        <is>
          <t>rice wholesale downtown dubai</t>
        </is>
      </c>
      <c r="B425" t="inlineStr">
        <is>
          <t>Dubai area</t>
        </is>
      </c>
      <c r="C425" t="inlineStr">
        <is>
          <t>Rice Wholesale</t>
        </is>
      </c>
      <c r="D425" t="inlineStr">
        <is>
          <t>Local/Transactional</t>
        </is>
      </c>
      <c r="E425" t="inlineStr">
        <is>
          <t>BOFU</t>
        </is>
      </c>
      <c r="F425" t="inlineStr">
        <is>
          <t>Dubai - Downtown Dubai</t>
        </is>
      </c>
      <c r="G425" t="inlineStr">
        <is>
          <t>Dubai location page (area section)</t>
        </is>
      </c>
      <c r="H425" t="inlineStr">
        <is>
          <t>Location landing</t>
        </is>
      </c>
      <c r="I425">
        <f>IFERROR(VLOOKUP($A425,'Semrush Import'!$A:$D,2,FALSE),"")</f>
        <v/>
      </c>
      <c r="J425">
        <f>IFERROR(VLOOKUP($A425,'Semrush Import'!$A:$D,3,FALSE),"")</f>
        <v/>
      </c>
      <c r="K425">
        <f>IFERROR(VLOOKUP($A425,'Semrush Import'!$A:$D,4,FALSE),"")</f>
        <v/>
      </c>
      <c r="L425">
        <f>IFERROR(VLOOKUP($A425,'KP Import'!$A:$B,2,FALSE),"")</f>
        <v/>
      </c>
      <c r="M425">
        <f>IF(I425="","",ROUND(I425/(J425+10),1))</f>
        <v/>
      </c>
      <c r="N425">
        <f>IF(M425="","",IF(M425&gt;=20,"A - Go first",IF(M425&gt;=5,"B - Next","C - Later")))</f>
        <v/>
      </c>
      <c r="O425" t="inlineStr">
        <is>
          <t>To research</t>
        </is>
      </c>
      <c r="P425" t="inlineStr"/>
    </row>
    <row r="426">
      <c r="A426" t="inlineStr">
        <is>
          <t>basmati rice downtown dubai</t>
        </is>
      </c>
      <c r="B426" t="inlineStr">
        <is>
          <t>Dubai area</t>
        </is>
      </c>
      <c r="C426" t="inlineStr">
        <is>
          <t>Basmati Rice</t>
        </is>
      </c>
      <c r="D426" t="inlineStr">
        <is>
          <t>Local/Transactional</t>
        </is>
      </c>
      <c r="E426" t="inlineStr">
        <is>
          <t>BOFU</t>
        </is>
      </c>
      <c r="F426" t="inlineStr">
        <is>
          <t>Dubai - Downtown Dubai</t>
        </is>
      </c>
      <c r="G426" t="inlineStr">
        <is>
          <t>Dubai location page (area section)</t>
        </is>
      </c>
      <c r="H426" t="inlineStr">
        <is>
          <t>Location landing</t>
        </is>
      </c>
      <c r="I426">
        <f>IFERROR(VLOOKUP($A426,'Semrush Import'!$A:$D,2,FALSE),"")</f>
        <v/>
      </c>
      <c r="J426">
        <f>IFERROR(VLOOKUP($A426,'Semrush Import'!$A:$D,3,FALSE),"")</f>
        <v/>
      </c>
      <c r="K426">
        <f>IFERROR(VLOOKUP($A426,'Semrush Import'!$A:$D,4,FALSE),"")</f>
        <v/>
      </c>
      <c r="L426">
        <f>IFERROR(VLOOKUP($A426,'KP Import'!$A:$B,2,FALSE),"")</f>
        <v/>
      </c>
      <c r="M426">
        <f>IF(I426="","",ROUND(I426/(J426+10),1))</f>
        <v/>
      </c>
      <c r="N426">
        <f>IF(M426="","",IF(M426&gt;=20,"A - Go first",IF(M426&gt;=5,"B - Next","C - Later")))</f>
        <v/>
      </c>
      <c r="O426" t="inlineStr">
        <is>
          <t>To research</t>
        </is>
      </c>
      <c r="P426" t="inlineStr"/>
    </row>
    <row r="427">
      <c r="A427" t="inlineStr">
        <is>
          <t>rice delivery international city</t>
        </is>
      </c>
      <c r="B427" t="inlineStr">
        <is>
          <t>Dubai area</t>
        </is>
      </c>
      <c r="C427" t="inlineStr">
        <is>
          <t>Rice Delivery</t>
        </is>
      </c>
      <c r="D427" t="inlineStr">
        <is>
          <t>Local/Transactional</t>
        </is>
      </c>
      <c r="E427" t="inlineStr">
        <is>
          <t>BOFU</t>
        </is>
      </c>
      <c r="F427" t="inlineStr">
        <is>
          <t>Dubai - International City</t>
        </is>
      </c>
      <c r="G427" t="inlineStr">
        <is>
          <t>Dubai location page (area section)</t>
        </is>
      </c>
      <c r="H427" t="inlineStr">
        <is>
          <t>Location landing</t>
        </is>
      </c>
      <c r="I427">
        <f>IFERROR(VLOOKUP($A427,'Semrush Import'!$A:$D,2,FALSE),"")</f>
        <v/>
      </c>
      <c r="J427">
        <f>IFERROR(VLOOKUP($A427,'Semrush Import'!$A:$D,3,FALSE),"")</f>
        <v/>
      </c>
      <c r="K427">
        <f>IFERROR(VLOOKUP($A427,'Semrush Import'!$A:$D,4,FALSE),"")</f>
        <v/>
      </c>
      <c r="L427">
        <f>IFERROR(VLOOKUP($A427,'KP Import'!$A:$B,2,FALSE),"")</f>
        <v/>
      </c>
      <c r="M427">
        <f>IF(I427="","",ROUND(I427/(J427+10),1))</f>
        <v/>
      </c>
      <c r="N427">
        <f>IF(M427="","",IF(M427&gt;=20,"A - Go first",IF(M427&gt;=5,"B - Next","C - Later")))</f>
        <v/>
      </c>
      <c r="O427" t="inlineStr">
        <is>
          <t>To research</t>
        </is>
      </c>
      <c r="P427" t="inlineStr"/>
    </row>
    <row r="428">
      <c r="A428" t="inlineStr">
        <is>
          <t>rice wholesale international city</t>
        </is>
      </c>
      <c r="B428" t="inlineStr">
        <is>
          <t>Dubai area</t>
        </is>
      </c>
      <c r="C428" t="inlineStr">
        <is>
          <t>Rice Wholesale</t>
        </is>
      </c>
      <c r="D428" t="inlineStr">
        <is>
          <t>Local/Transactional</t>
        </is>
      </c>
      <c r="E428" t="inlineStr">
        <is>
          <t>BOFU</t>
        </is>
      </c>
      <c r="F428" t="inlineStr">
        <is>
          <t>Dubai - International City</t>
        </is>
      </c>
      <c r="G428" t="inlineStr">
        <is>
          <t>Dubai location page (area section)</t>
        </is>
      </c>
      <c r="H428" t="inlineStr">
        <is>
          <t>Location landing</t>
        </is>
      </c>
      <c r="I428">
        <f>IFERROR(VLOOKUP($A428,'Semrush Import'!$A:$D,2,FALSE),"")</f>
        <v/>
      </c>
      <c r="J428">
        <f>IFERROR(VLOOKUP($A428,'Semrush Import'!$A:$D,3,FALSE),"")</f>
        <v/>
      </c>
      <c r="K428">
        <f>IFERROR(VLOOKUP($A428,'Semrush Import'!$A:$D,4,FALSE),"")</f>
        <v/>
      </c>
      <c r="L428">
        <f>IFERROR(VLOOKUP($A428,'KP Import'!$A:$B,2,FALSE),"")</f>
        <v/>
      </c>
      <c r="M428">
        <f>IF(I428="","",ROUND(I428/(J428+10),1))</f>
        <v/>
      </c>
      <c r="N428">
        <f>IF(M428="","",IF(M428&gt;=20,"A - Go first",IF(M428&gt;=5,"B - Next","C - Later")))</f>
        <v/>
      </c>
      <c r="O428" t="inlineStr">
        <is>
          <t>To research</t>
        </is>
      </c>
      <c r="P428" t="inlineStr"/>
    </row>
    <row r="429">
      <c r="A429" t="inlineStr">
        <is>
          <t>basmati rice international city</t>
        </is>
      </c>
      <c r="B429" t="inlineStr">
        <is>
          <t>Dubai area</t>
        </is>
      </c>
      <c r="C429" t="inlineStr">
        <is>
          <t>Basmati Rice</t>
        </is>
      </c>
      <c r="D429" t="inlineStr">
        <is>
          <t>Local/Transactional</t>
        </is>
      </c>
      <c r="E429" t="inlineStr">
        <is>
          <t>BOFU</t>
        </is>
      </c>
      <c r="F429" t="inlineStr">
        <is>
          <t>Dubai - International City</t>
        </is>
      </c>
      <c r="G429" t="inlineStr">
        <is>
          <t>Dubai location page (area section)</t>
        </is>
      </c>
      <c r="H429" t="inlineStr">
        <is>
          <t>Location landing</t>
        </is>
      </c>
      <c r="I429">
        <f>IFERROR(VLOOKUP($A429,'Semrush Import'!$A:$D,2,FALSE),"")</f>
        <v/>
      </c>
      <c r="J429">
        <f>IFERROR(VLOOKUP($A429,'Semrush Import'!$A:$D,3,FALSE),"")</f>
        <v/>
      </c>
      <c r="K429">
        <f>IFERROR(VLOOKUP($A429,'Semrush Import'!$A:$D,4,FALSE),"")</f>
        <v/>
      </c>
      <c r="L429">
        <f>IFERROR(VLOOKUP($A429,'KP Import'!$A:$B,2,FALSE),"")</f>
        <v/>
      </c>
      <c r="M429">
        <f>IF(I429="","",ROUND(I429/(J429+10),1))</f>
        <v/>
      </c>
      <c r="N429">
        <f>IF(M429="","",IF(M429&gt;=20,"A - Go first",IF(M429&gt;=5,"B - Next","C - Later")))</f>
        <v/>
      </c>
      <c r="O429" t="inlineStr">
        <is>
          <t>To research</t>
        </is>
      </c>
      <c r="P429" t="inlineStr"/>
    </row>
    <row r="430">
      <c r="A430" t="inlineStr">
        <is>
          <t>rice delivery al qusais</t>
        </is>
      </c>
      <c r="B430" t="inlineStr">
        <is>
          <t>Dubai area</t>
        </is>
      </c>
      <c r="C430" t="inlineStr">
        <is>
          <t>Rice Delivery</t>
        </is>
      </c>
      <c r="D430" t="inlineStr">
        <is>
          <t>Local/Transactional</t>
        </is>
      </c>
      <c r="E430" t="inlineStr">
        <is>
          <t>BOFU</t>
        </is>
      </c>
      <c r="F430" t="inlineStr">
        <is>
          <t>Dubai - Al Qusais</t>
        </is>
      </c>
      <c r="G430" t="inlineStr">
        <is>
          <t>Dubai location page (area section)</t>
        </is>
      </c>
      <c r="H430" t="inlineStr">
        <is>
          <t>Location landing</t>
        </is>
      </c>
      <c r="I430">
        <f>IFERROR(VLOOKUP($A430,'Semrush Import'!$A:$D,2,FALSE),"")</f>
        <v/>
      </c>
      <c r="J430">
        <f>IFERROR(VLOOKUP($A430,'Semrush Import'!$A:$D,3,FALSE),"")</f>
        <v/>
      </c>
      <c r="K430">
        <f>IFERROR(VLOOKUP($A430,'Semrush Import'!$A:$D,4,FALSE),"")</f>
        <v/>
      </c>
      <c r="L430">
        <f>IFERROR(VLOOKUP($A430,'KP Import'!$A:$B,2,FALSE),"")</f>
        <v/>
      </c>
      <c r="M430">
        <f>IF(I430="","",ROUND(I430/(J430+10),1))</f>
        <v/>
      </c>
      <c r="N430">
        <f>IF(M430="","",IF(M430&gt;=20,"A - Go first",IF(M430&gt;=5,"B - Next","C - Later")))</f>
        <v/>
      </c>
      <c r="O430" t="inlineStr">
        <is>
          <t>To research</t>
        </is>
      </c>
      <c r="P430" t="inlineStr"/>
    </row>
    <row r="431">
      <c r="A431" t="inlineStr">
        <is>
          <t>rice wholesale al qusais</t>
        </is>
      </c>
      <c r="B431" t="inlineStr">
        <is>
          <t>Dubai area</t>
        </is>
      </c>
      <c r="C431" t="inlineStr">
        <is>
          <t>Rice Wholesale</t>
        </is>
      </c>
      <c r="D431" t="inlineStr">
        <is>
          <t>Local/Transactional</t>
        </is>
      </c>
      <c r="E431" t="inlineStr">
        <is>
          <t>BOFU</t>
        </is>
      </c>
      <c r="F431" t="inlineStr">
        <is>
          <t>Dubai - Al Qusais</t>
        </is>
      </c>
      <c r="G431" t="inlineStr">
        <is>
          <t>Dubai location page (area section)</t>
        </is>
      </c>
      <c r="H431" t="inlineStr">
        <is>
          <t>Location landing</t>
        </is>
      </c>
      <c r="I431">
        <f>IFERROR(VLOOKUP($A431,'Semrush Import'!$A:$D,2,FALSE),"")</f>
        <v/>
      </c>
      <c r="J431">
        <f>IFERROR(VLOOKUP($A431,'Semrush Import'!$A:$D,3,FALSE),"")</f>
        <v/>
      </c>
      <c r="K431">
        <f>IFERROR(VLOOKUP($A431,'Semrush Import'!$A:$D,4,FALSE),"")</f>
        <v/>
      </c>
      <c r="L431">
        <f>IFERROR(VLOOKUP($A431,'KP Import'!$A:$B,2,FALSE),"")</f>
        <v/>
      </c>
      <c r="M431">
        <f>IF(I431="","",ROUND(I431/(J431+10),1))</f>
        <v/>
      </c>
      <c r="N431">
        <f>IF(M431="","",IF(M431&gt;=20,"A - Go first",IF(M431&gt;=5,"B - Next","C - Later")))</f>
        <v/>
      </c>
      <c r="O431" t="inlineStr">
        <is>
          <t>To research</t>
        </is>
      </c>
      <c r="P431" t="inlineStr"/>
    </row>
    <row r="432">
      <c r="A432" t="inlineStr">
        <is>
          <t>basmati rice al qusais</t>
        </is>
      </c>
      <c r="B432" t="inlineStr">
        <is>
          <t>Dubai area</t>
        </is>
      </c>
      <c r="C432" t="inlineStr">
        <is>
          <t>Basmati Rice</t>
        </is>
      </c>
      <c r="D432" t="inlineStr">
        <is>
          <t>Local/Transactional</t>
        </is>
      </c>
      <c r="E432" t="inlineStr">
        <is>
          <t>BOFU</t>
        </is>
      </c>
      <c r="F432" t="inlineStr">
        <is>
          <t>Dubai - Al Qusais</t>
        </is>
      </c>
      <c r="G432" t="inlineStr">
        <is>
          <t>Dubai location page (area section)</t>
        </is>
      </c>
      <c r="H432" t="inlineStr">
        <is>
          <t>Location landing</t>
        </is>
      </c>
      <c r="I432">
        <f>IFERROR(VLOOKUP($A432,'Semrush Import'!$A:$D,2,FALSE),"")</f>
        <v/>
      </c>
      <c r="J432">
        <f>IFERROR(VLOOKUP($A432,'Semrush Import'!$A:$D,3,FALSE),"")</f>
        <v/>
      </c>
      <c r="K432">
        <f>IFERROR(VLOOKUP($A432,'Semrush Import'!$A:$D,4,FALSE),"")</f>
        <v/>
      </c>
      <c r="L432">
        <f>IFERROR(VLOOKUP($A432,'KP Import'!$A:$B,2,FALSE),"")</f>
        <v/>
      </c>
      <c r="M432">
        <f>IF(I432="","",ROUND(I432/(J432+10),1))</f>
        <v/>
      </c>
      <c r="N432">
        <f>IF(M432="","",IF(M432&gt;=20,"A - Go first",IF(M432&gt;=5,"B - Next","C - Later")))</f>
        <v/>
      </c>
      <c r="O432" t="inlineStr">
        <is>
          <t>To research</t>
        </is>
      </c>
      <c r="P432" t="inlineStr"/>
    </row>
    <row r="433">
      <c r="A433" t="inlineStr">
        <is>
          <t>rice delivery dubai silicon oasis</t>
        </is>
      </c>
      <c r="B433" t="inlineStr">
        <is>
          <t>Dubai area</t>
        </is>
      </c>
      <c r="C433" t="inlineStr">
        <is>
          <t>Rice Delivery</t>
        </is>
      </c>
      <c r="D433" t="inlineStr">
        <is>
          <t>Local/Transactional</t>
        </is>
      </c>
      <c r="E433" t="inlineStr">
        <is>
          <t>BOFU</t>
        </is>
      </c>
      <c r="F433" t="inlineStr">
        <is>
          <t>Dubai - Dubai Silicon Oasis</t>
        </is>
      </c>
      <c r="G433" t="inlineStr">
        <is>
          <t>Dubai location page (area section)</t>
        </is>
      </c>
      <c r="H433" t="inlineStr">
        <is>
          <t>Location landing</t>
        </is>
      </c>
      <c r="I433">
        <f>IFERROR(VLOOKUP($A433,'Semrush Import'!$A:$D,2,FALSE),"")</f>
        <v/>
      </c>
      <c r="J433">
        <f>IFERROR(VLOOKUP($A433,'Semrush Import'!$A:$D,3,FALSE),"")</f>
        <v/>
      </c>
      <c r="K433">
        <f>IFERROR(VLOOKUP($A433,'Semrush Import'!$A:$D,4,FALSE),"")</f>
        <v/>
      </c>
      <c r="L433">
        <f>IFERROR(VLOOKUP($A433,'KP Import'!$A:$B,2,FALSE),"")</f>
        <v/>
      </c>
      <c r="M433">
        <f>IF(I433="","",ROUND(I433/(J433+10),1))</f>
        <v/>
      </c>
      <c r="N433">
        <f>IF(M433="","",IF(M433&gt;=20,"A - Go first",IF(M433&gt;=5,"B - Next","C - Later")))</f>
        <v/>
      </c>
      <c r="O433" t="inlineStr">
        <is>
          <t>To research</t>
        </is>
      </c>
      <c r="P433" t="inlineStr"/>
    </row>
    <row r="434">
      <c r="A434" t="inlineStr">
        <is>
          <t>rice wholesale dubai silicon oasis</t>
        </is>
      </c>
      <c r="B434" t="inlineStr">
        <is>
          <t>Dubai area</t>
        </is>
      </c>
      <c r="C434" t="inlineStr">
        <is>
          <t>Rice Wholesale</t>
        </is>
      </c>
      <c r="D434" t="inlineStr">
        <is>
          <t>Local/Transactional</t>
        </is>
      </c>
      <c r="E434" t="inlineStr">
        <is>
          <t>BOFU</t>
        </is>
      </c>
      <c r="F434" t="inlineStr">
        <is>
          <t>Dubai - Dubai Silicon Oasis</t>
        </is>
      </c>
      <c r="G434" t="inlineStr">
        <is>
          <t>Dubai location page (area section)</t>
        </is>
      </c>
      <c r="H434" t="inlineStr">
        <is>
          <t>Location landing</t>
        </is>
      </c>
      <c r="I434">
        <f>IFERROR(VLOOKUP($A434,'Semrush Import'!$A:$D,2,FALSE),"")</f>
        <v/>
      </c>
      <c r="J434">
        <f>IFERROR(VLOOKUP($A434,'Semrush Import'!$A:$D,3,FALSE),"")</f>
        <v/>
      </c>
      <c r="K434">
        <f>IFERROR(VLOOKUP($A434,'Semrush Import'!$A:$D,4,FALSE),"")</f>
        <v/>
      </c>
      <c r="L434">
        <f>IFERROR(VLOOKUP($A434,'KP Import'!$A:$B,2,FALSE),"")</f>
        <v/>
      </c>
      <c r="M434">
        <f>IF(I434="","",ROUND(I434/(J434+10),1))</f>
        <v/>
      </c>
      <c r="N434">
        <f>IF(M434="","",IF(M434&gt;=20,"A - Go first",IF(M434&gt;=5,"B - Next","C - Later")))</f>
        <v/>
      </c>
      <c r="O434" t="inlineStr">
        <is>
          <t>To research</t>
        </is>
      </c>
      <c r="P434" t="inlineStr"/>
    </row>
    <row r="435">
      <c r="A435" t="inlineStr">
        <is>
          <t>basmati rice dubai silicon oasis</t>
        </is>
      </c>
      <c r="B435" t="inlineStr">
        <is>
          <t>Dubai area</t>
        </is>
      </c>
      <c r="C435" t="inlineStr">
        <is>
          <t>Basmati Rice</t>
        </is>
      </c>
      <c r="D435" t="inlineStr">
        <is>
          <t>Local/Transactional</t>
        </is>
      </c>
      <c r="E435" t="inlineStr">
        <is>
          <t>BOFU</t>
        </is>
      </c>
      <c r="F435" t="inlineStr">
        <is>
          <t>Dubai - Dubai Silicon Oasis</t>
        </is>
      </c>
      <c r="G435" t="inlineStr">
        <is>
          <t>Dubai location page (area section)</t>
        </is>
      </c>
      <c r="H435" t="inlineStr">
        <is>
          <t>Location landing</t>
        </is>
      </c>
      <c r="I435">
        <f>IFERROR(VLOOKUP($A435,'Semrush Import'!$A:$D,2,FALSE),"")</f>
        <v/>
      </c>
      <c r="J435">
        <f>IFERROR(VLOOKUP($A435,'Semrush Import'!$A:$D,3,FALSE),"")</f>
        <v/>
      </c>
      <c r="K435">
        <f>IFERROR(VLOOKUP($A435,'Semrush Import'!$A:$D,4,FALSE),"")</f>
        <v/>
      </c>
      <c r="L435">
        <f>IFERROR(VLOOKUP($A435,'KP Import'!$A:$B,2,FALSE),"")</f>
        <v/>
      </c>
      <c r="M435">
        <f>IF(I435="","",ROUND(I435/(J435+10),1))</f>
        <v/>
      </c>
      <c r="N435">
        <f>IF(M435="","",IF(M435&gt;=20,"A - Go first",IF(M435&gt;=5,"B - Next","C - Later")))</f>
        <v/>
      </c>
      <c r="O435" t="inlineStr">
        <is>
          <t>To research</t>
        </is>
      </c>
      <c r="P435" t="inlineStr"/>
    </row>
    <row r="436">
      <c r="A436" t="inlineStr">
        <is>
          <t>rice delivery mirdif</t>
        </is>
      </c>
      <c r="B436" t="inlineStr">
        <is>
          <t>Dubai area</t>
        </is>
      </c>
      <c r="C436" t="inlineStr">
        <is>
          <t>Rice Delivery</t>
        </is>
      </c>
      <c r="D436" t="inlineStr">
        <is>
          <t>Local/Transactional</t>
        </is>
      </c>
      <c r="E436" t="inlineStr">
        <is>
          <t>BOFU</t>
        </is>
      </c>
      <c r="F436" t="inlineStr">
        <is>
          <t>Dubai - Mirdif</t>
        </is>
      </c>
      <c r="G436" t="inlineStr">
        <is>
          <t>Dubai location page (area section)</t>
        </is>
      </c>
      <c r="H436" t="inlineStr">
        <is>
          <t>Location landing</t>
        </is>
      </c>
      <c r="I436">
        <f>IFERROR(VLOOKUP($A436,'Semrush Import'!$A:$D,2,FALSE),"")</f>
        <v/>
      </c>
      <c r="J436">
        <f>IFERROR(VLOOKUP($A436,'Semrush Import'!$A:$D,3,FALSE),"")</f>
        <v/>
      </c>
      <c r="K436">
        <f>IFERROR(VLOOKUP($A436,'Semrush Import'!$A:$D,4,FALSE),"")</f>
        <v/>
      </c>
      <c r="L436">
        <f>IFERROR(VLOOKUP($A436,'KP Import'!$A:$B,2,FALSE),"")</f>
        <v/>
      </c>
      <c r="M436">
        <f>IF(I436="","",ROUND(I436/(J436+10),1))</f>
        <v/>
      </c>
      <c r="N436">
        <f>IF(M436="","",IF(M436&gt;=20,"A - Go first",IF(M436&gt;=5,"B - Next","C - Later")))</f>
        <v/>
      </c>
      <c r="O436" t="inlineStr">
        <is>
          <t>To research</t>
        </is>
      </c>
      <c r="P436" t="inlineStr"/>
    </row>
    <row r="437">
      <c r="A437" t="inlineStr">
        <is>
          <t>rice wholesale mirdif</t>
        </is>
      </c>
      <c r="B437" t="inlineStr">
        <is>
          <t>Dubai area</t>
        </is>
      </c>
      <c r="C437" t="inlineStr">
        <is>
          <t>Rice Wholesale</t>
        </is>
      </c>
      <c r="D437" t="inlineStr">
        <is>
          <t>Local/Transactional</t>
        </is>
      </c>
      <c r="E437" t="inlineStr">
        <is>
          <t>BOFU</t>
        </is>
      </c>
      <c r="F437" t="inlineStr">
        <is>
          <t>Dubai - Mirdif</t>
        </is>
      </c>
      <c r="G437" t="inlineStr">
        <is>
          <t>Dubai location page (area section)</t>
        </is>
      </c>
      <c r="H437" t="inlineStr">
        <is>
          <t>Location landing</t>
        </is>
      </c>
      <c r="I437">
        <f>IFERROR(VLOOKUP($A437,'Semrush Import'!$A:$D,2,FALSE),"")</f>
        <v/>
      </c>
      <c r="J437">
        <f>IFERROR(VLOOKUP($A437,'Semrush Import'!$A:$D,3,FALSE),"")</f>
        <v/>
      </c>
      <c r="K437">
        <f>IFERROR(VLOOKUP($A437,'Semrush Import'!$A:$D,4,FALSE),"")</f>
        <v/>
      </c>
      <c r="L437">
        <f>IFERROR(VLOOKUP($A437,'KP Import'!$A:$B,2,FALSE),"")</f>
        <v/>
      </c>
      <c r="M437">
        <f>IF(I437="","",ROUND(I437/(J437+10),1))</f>
        <v/>
      </c>
      <c r="N437">
        <f>IF(M437="","",IF(M437&gt;=20,"A - Go first",IF(M437&gt;=5,"B - Next","C - Later")))</f>
        <v/>
      </c>
      <c r="O437" t="inlineStr">
        <is>
          <t>To research</t>
        </is>
      </c>
      <c r="P437" t="inlineStr"/>
    </row>
    <row r="438">
      <c r="A438" t="inlineStr">
        <is>
          <t>basmati rice mirdif</t>
        </is>
      </c>
      <c r="B438" t="inlineStr">
        <is>
          <t>Dubai area</t>
        </is>
      </c>
      <c r="C438" t="inlineStr">
        <is>
          <t>Basmati Rice</t>
        </is>
      </c>
      <c r="D438" t="inlineStr">
        <is>
          <t>Local/Transactional</t>
        </is>
      </c>
      <c r="E438" t="inlineStr">
        <is>
          <t>BOFU</t>
        </is>
      </c>
      <c r="F438" t="inlineStr">
        <is>
          <t>Dubai - Mirdif</t>
        </is>
      </c>
      <c r="G438" t="inlineStr">
        <is>
          <t>Dubai location page (area section)</t>
        </is>
      </c>
      <c r="H438" t="inlineStr">
        <is>
          <t>Location landing</t>
        </is>
      </c>
      <c r="I438">
        <f>IFERROR(VLOOKUP($A438,'Semrush Import'!$A:$D,2,FALSE),"")</f>
        <v/>
      </c>
      <c r="J438">
        <f>IFERROR(VLOOKUP($A438,'Semrush Import'!$A:$D,3,FALSE),"")</f>
        <v/>
      </c>
      <c r="K438">
        <f>IFERROR(VLOOKUP($A438,'Semrush Import'!$A:$D,4,FALSE),"")</f>
        <v/>
      </c>
      <c r="L438">
        <f>IFERROR(VLOOKUP($A438,'KP Import'!$A:$B,2,FALSE),"")</f>
        <v/>
      </c>
      <c r="M438">
        <f>IF(I438="","",ROUND(I438/(J438+10),1))</f>
        <v/>
      </c>
      <c r="N438">
        <f>IF(M438="","",IF(M438&gt;=20,"A - Go first",IF(M438&gt;=5,"B - Next","C - Later")))</f>
        <v/>
      </c>
      <c r="O438" t="inlineStr">
        <is>
          <t>To research</t>
        </is>
      </c>
      <c r="P438" t="inlineStr"/>
    </row>
    <row r="439">
      <c r="A439" t="inlineStr">
        <is>
          <t>rice delivery jumeirah</t>
        </is>
      </c>
      <c r="B439" t="inlineStr">
        <is>
          <t>Dubai area</t>
        </is>
      </c>
      <c r="C439" t="inlineStr">
        <is>
          <t>Rice Delivery</t>
        </is>
      </c>
      <c r="D439" t="inlineStr">
        <is>
          <t>Local/Transactional</t>
        </is>
      </c>
      <c r="E439" t="inlineStr">
        <is>
          <t>BOFU</t>
        </is>
      </c>
      <c r="F439" t="inlineStr">
        <is>
          <t>Dubai - Jumeirah</t>
        </is>
      </c>
      <c r="G439" t="inlineStr">
        <is>
          <t>Dubai location page (area section)</t>
        </is>
      </c>
      <c r="H439" t="inlineStr">
        <is>
          <t>Location landing</t>
        </is>
      </c>
      <c r="I439">
        <f>IFERROR(VLOOKUP($A439,'Semrush Import'!$A:$D,2,FALSE),"")</f>
        <v/>
      </c>
      <c r="J439">
        <f>IFERROR(VLOOKUP($A439,'Semrush Import'!$A:$D,3,FALSE),"")</f>
        <v/>
      </c>
      <c r="K439">
        <f>IFERROR(VLOOKUP($A439,'Semrush Import'!$A:$D,4,FALSE),"")</f>
        <v/>
      </c>
      <c r="L439">
        <f>IFERROR(VLOOKUP($A439,'KP Import'!$A:$B,2,FALSE),"")</f>
        <v/>
      </c>
      <c r="M439">
        <f>IF(I439="","",ROUND(I439/(J439+10),1))</f>
        <v/>
      </c>
      <c r="N439">
        <f>IF(M439="","",IF(M439&gt;=20,"A - Go first",IF(M439&gt;=5,"B - Next","C - Later")))</f>
        <v/>
      </c>
      <c r="O439" t="inlineStr">
        <is>
          <t>To research</t>
        </is>
      </c>
      <c r="P439" t="inlineStr"/>
    </row>
    <row r="440">
      <c r="A440" t="inlineStr">
        <is>
          <t>rice wholesale jumeirah</t>
        </is>
      </c>
      <c r="B440" t="inlineStr">
        <is>
          <t>Dubai area</t>
        </is>
      </c>
      <c r="C440" t="inlineStr">
        <is>
          <t>Rice Wholesale</t>
        </is>
      </c>
      <c r="D440" t="inlineStr">
        <is>
          <t>Local/Transactional</t>
        </is>
      </c>
      <c r="E440" t="inlineStr">
        <is>
          <t>BOFU</t>
        </is>
      </c>
      <c r="F440" t="inlineStr">
        <is>
          <t>Dubai - Jumeirah</t>
        </is>
      </c>
      <c r="G440" t="inlineStr">
        <is>
          <t>Dubai location page (area section)</t>
        </is>
      </c>
      <c r="H440" t="inlineStr">
        <is>
          <t>Location landing</t>
        </is>
      </c>
      <c r="I440">
        <f>IFERROR(VLOOKUP($A440,'Semrush Import'!$A:$D,2,FALSE),"")</f>
        <v/>
      </c>
      <c r="J440">
        <f>IFERROR(VLOOKUP($A440,'Semrush Import'!$A:$D,3,FALSE),"")</f>
        <v/>
      </c>
      <c r="K440">
        <f>IFERROR(VLOOKUP($A440,'Semrush Import'!$A:$D,4,FALSE),"")</f>
        <v/>
      </c>
      <c r="L440">
        <f>IFERROR(VLOOKUP($A440,'KP Import'!$A:$B,2,FALSE),"")</f>
        <v/>
      </c>
      <c r="M440">
        <f>IF(I440="","",ROUND(I440/(J440+10),1))</f>
        <v/>
      </c>
      <c r="N440">
        <f>IF(M440="","",IF(M440&gt;=20,"A - Go first",IF(M440&gt;=5,"B - Next","C - Later")))</f>
        <v/>
      </c>
      <c r="O440" t="inlineStr">
        <is>
          <t>To research</t>
        </is>
      </c>
      <c r="P440" t="inlineStr"/>
    </row>
    <row r="441">
      <c r="A441" t="inlineStr">
        <is>
          <t>basmati rice jumeirah</t>
        </is>
      </c>
      <c r="B441" t="inlineStr">
        <is>
          <t>Dubai area</t>
        </is>
      </c>
      <c r="C441" t="inlineStr">
        <is>
          <t>Basmati Rice</t>
        </is>
      </c>
      <c r="D441" t="inlineStr">
        <is>
          <t>Local/Transactional</t>
        </is>
      </c>
      <c r="E441" t="inlineStr">
        <is>
          <t>BOFU</t>
        </is>
      </c>
      <c r="F441" t="inlineStr">
        <is>
          <t>Dubai - Jumeirah</t>
        </is>
      </c>
      <c r="G441" t="inlineStr">
        <is>
          <t>Dubai location page (area section)</t>
        </is>
      </c>
      <c r="H441" t="inlineStr">
        <is>
          <t>Location landing</t>
        </is>
      </c>
      <c r="I441">
        <f>IFERROR(VLOOKUP($A441,'Semrush Import'!$A:$D,2,FALSE),"")</f>
        <v/>
      </c>
      <c r="J441">
        <f>IFERROR(VLOOKUP($A441,'Semrush Import'!$A:$D,3,FALSE),"")</f>
        <v/>
      </c>
      <c r="K441">
        <f>IFERROR(VLOOKUP($A441,'Semrush Import'!$A:$D,4,FALSE),"")</f>
        <v/>
      </c>
      <c r="L441">
        <f>IFERROR(VLOOKUP($A441,'KP Import'!$A:$B,2,FALSE),"")</f>
        <v/>
      </c>
      <c r="M441">
        <f>IF(I441="","",ROUND(I441/(J441+10),1))</f>
        <v/>
      </c>
      <c r="N441">
        <f>IF(M441="","",IF(M441&gt;=20,"A - Go first",IF(M441&gt;=5,"B - Next","C - Later")))</f>
        <v/>
      </c>
      <c r="O441" t="inlineStr">
        <is>
          <t>To research</t>
        </is>
      </c>
      <c r="P441" t="inlineStr"/>
    </row>
    <row r="442">
      <c r="A442" t="inlineStr">
        <is>
          <t>rice delivery ras al khor</t>
        </is>
      </c>
      <c r="B442" t="inlineStr">
        <is>
          <t>Dubai area</t>
        </is>
      </c>
      <c r="C442" t="inlineStr">
        <is>
          <t>Rice Delivery</t>
        </is>
      </c>
      <c r="D442" t="inlineStr">
        <is>
          <t>Local/Transactional</t>
        </is>
      </c>
      <c r="E442" t="inlineStr">
        <is>
          <t>BOFU</t>
        </is>
      </c>
      <c r="F442" t="inlineStr">
        <is>
          <t>Dubai - Ras Al Khor</t>
        </is>
      </c>
      <c r="G442" t="inlineStr">
        <is>
          <t>Dubai location page (area section)</t>
        </is>
      </c>
      <c r="H442" t="inlineStr">
        <is>
          <t>Location landing</t>
        </is>
      </c>
      <c r="I442">
        <f>IFERROR(VLOOKUP($A442,'Semrush Import'!$A:$D,2,FALSE),"")</f>
        <v/>
      </c>
      <c r="J442">
        <f>IFERROR(VLOOKUP($A442,'Semrush Import'!$A:$D,3,FALSE),"")</f>
        <v/>
      </c>
      <c r="K442">
        <f>IFERROR(VLOOKUP($A442,'Semrush Import'!$A:$D,4,FALSE),"")</f>
        <v/>
      </c>
      <c r="L442">
        <f>IFERROR(VLOOKUP($A442,'KP Import'!$A:$B,2,FALSE),"")</f>
        <v/>
      </c>
      <c r="M442">
        <f>IF(I442="","",ROUND(I442/(J442+10),1))</f>
        <v/>
      </c>
      <c r="N442">
        <f>IF(M442="","",IF(M442&gt;=20,"A - Go first",IF(M442&gt;=5,"B - Next","C - Later")))</f>
        <v/>
      </c>
      <c r="O442" t="inlineStr">
        <is>
          <t>To research</t>
        </is>
      </c>
      <c r="P442" t="inlineStr"/>
    </row>
    <row r="443">
      <c r="A443" t="inlineStr">
        <is>
          <t>rice wholesale ras al khor</t>
        </is>
      </c>
      <c r="B443" t="inlineStr">
        <is>
          <t>Dubai area</t>
        </is>
      </c>
      <c r="C443" t="inlineStr">
        <is>
          <t>Rice Wholesale</t>
        </is>
      </c>
      <c r="D443" t="inlineStr">
        <is>
          <t>Local/Transactional</t>
        </is>
      </c>
      <c r="E443" t="inlineStr">
        <is>
          <t>BOFU</t>
        </is>
      </c>
      <c r="F443" t="inlineStr">
        <is>
          <t>Dubai - Ras Al Khor</t>
        </is>
      </c>
      <c r="G443" t="inlineStr">
        <is>
          <t>Dubai location page (area section)</t>
        </is>
      </c>
      <c r="H443" t="inlineStr">
        <is>
          <t>Location landing</t>
        </is>
      </c>
      <c r="I443">
        <f>IFERROR(VLOOKUP($A443,'Semrush Import'!$A:$D,2,FALSE),"")</f>
        <v/>
      </c>
      <c r="J443">
        <f>IFERROR(VLOOKUP($A443,'Semrush Import'!$A:$D,3,FALSE),"")</f>
        <v/>
      </c>
      <c r="K443">
        <f>IFERROR(VLOOKUP($A443,'Semrush Import'!$A:$D,4,FALSE),"")</f>
        <v/>
      </c>
      <c r="L443">
        <f>IFERROR(VLOOKUP($A443,'KP Import'!$A:$B,2,FALSE),"")</f>
        <v/>
      </c>
      <c r="M443">
        <f>IF(I443="","",ROUND(I443/(J443+10),1))</f>
        <v/>
      </c>
      <c r="N443">
        <f>IF(M443="","",IF(M443&gt;=20,"A - Go first",IF(M443&gt;=5,"B - Next","C - Later")))</f>
        <v/>
      </c>
      <c r="O443" t="inlineStr">
        <is>
          <t>To research</t>
        </is>
      </c>
      <c r="P443" t="inlineStr"/>
    </row>
    <row r="444">
      <c r="A444" t="inlineStr">
        <is>
          <t>basmati rice ras al khor</t>
        </is>
      </c>
      <c r="B444" t="inlineStr">
        <is>
          <t>Dubai area</t>
        </is>
      </c>
      <c r="C444" t="inlineStr">
        <is>
          <t>Basmati Rice</t>
        </is>
      </c>
      <c r="D444" t="inlineStr">
        <is>
          <t>Local/Transactional</t>
        </is>
      </c>
      <c r="E444" t="inlineStr">
        <is>
          <t>BOFU</t>
        </is>
      </c>
      <c r="F444" t="inlineStr">
        <is>
          <t>Dubai - Ras Al Khor</t>
        </is>
      </c>
      <c r="G444" t="inlineStr">
        <is>
          <t>Dubai location page (area section)</t>
        </is>
      </c>
      <c r="H444" t="inlineStr">
        <is>
          <t>Location landing</t>
        </is>
      </c>
      <c r="I444">
        <f>IFERROR(VLOOKUP($A444,'Semrush Import'!$A:$D,2,FALSE),"")</f>
        <v/>
      </c>
      <c r="J444">
        <f>IFERROR(VLOOKUP($A444,'Semrush Import'!$A:$D,3,FALSE),"")</f>
        <v/>
      </c>
      <c r="K444">
        <f>IFERROR(VLOOKUP($A444,'Semrush Import'!$A:$D,4,FALSE),"")</f>
        <v/>
      </c>
      <c r="L444">
        <f>IFERROR(VLOOKUP($A444,'KP Import'!$A:$B,2,FALSE),"")</f>
        <v/>
      </c>
      <c r="M444">
        <f>IF(I444="","",ROUND(I444/(J444+10),1))</f>
        <v/>
      </c>
      <c r="N444">
        <f>IF(M444="","",IF(M444&gt;=20,"A - Go first",IF(M444&gt;=5,"B - Next","C - Later")))</f>
        <v/>
      </c>
      <c r="O444" t="inlineStr">
        <is>
          <t>To research</t>
        </is>
      </c>
      <c r="P444" t="inlineStr"/>
    </row>
    <row r="445">
      <c r="A445" t="inlineStr">
        <is>
          <t>rice delivery al barsha</t>
        </is>
      </c>
      <c r="B445" t="inlineStr">
        <is>
          <t>Dubai area</t>
        </is>
      </c>
      <c r="C445" t="inlineStr">
        <is>
          <t>Rice Delivery</t>
        </is>
      </c>
      <c r="D445" t="inlineStr">
        <is>
          <t>Local/Transactional</t>
        </is>
      </c>
      <c r="E445" t="inlineStr">
        <is>
          <t>BOFU</t>
        </is>
      </c>
      <c r="F445" t="inlineStr">
        <is>
          <t>Dubai - Al Barsha</t>
        </is>
      </c>
      <c r="G445" t="inlineStr">
        <is>
          <t>Dubai location page (area section)</t>
        </is>
      </c>
      <c r="H445" t="inlineStr">
        <is>
          <t>Location landing</t>
        </is>
      </c>
      <c r="I445">
        <f>IFERROR(VLOOKUP($A445,'Semrush Import'!$A:$D,2,FALSE),"")</f>
        <v/>
      </c>
      <c r="J445">
        <f>IFERROR(VLOOKUP($A445,'Semrush Import'!$A:$D,3,FALSE),"")</f>
        <v/>
      </c>
      <c r="K445">
        <f>IFERROR(VLOOKUP($A445,'Semrush Import'!$A:$D,4,FALSE),"")</f>
        <v/>
      </c>
      <c r="L445">
        <f>IFERROR(VLOOKUP($A445,'KP Import'!$A:$B,2,FALSE),"")</f>
        <v/>
      </c>
      <c r="M445">
        <f>IF(I445="","",ROUND(I445/(J445+10),1))</f>
        <v/>
      </c>
      <c r="N445">
        <f>IF(M445="","",IF(M445&gt;=20,"A - Go first",IF(M445&gt;=5,"B - Next","C - Later")))</f>
        <v/>
      </c>
      <c r="O445" t="inlineStr">
        <is>
          <t>To research</t>
        </is>
      </c>
      <c r="P445" t="inlineStr"/>
    </row>
    <row r="446">
      <c r="A446" t="inlineStr">
        <is>
          <t>rice wholesale al barsha</t>
        </is>
      </c>
      <c r="B446" t="inlineStr">
        <is>
          <t>Dubai area</t>
        </is>
      </c>
      <c r="C446" t="inlineStr">
        <is>
          <t>Rice Wholesale</t>
        </is>
      </c>
      <c r="D446" t="inlineStr">
        <is>
          <t>Local/Transactional</t>
        </is>
      </c>
      <c r="E446" t="inlineStr">
        <is>
          <t>BOFU</t>
        </is>
      </c>
      <c r="F446" t="inlineStr">
        <is>
          <t>Dubai - Al Barsha</t>
        </is>
      </c>
      <c r="G446" t="inlineStr">
        <is>
          <t>Dubai location page (area section)</t>
        </is>
      </c>
      <c r="H446" t="inlineStr">
        <is>
          <t>Location landing</t>
        </is>
      </c>
      <c r="I446">
        <f>IFERROR(VLOOKUP($A446,'Semrush Import'!$A:$D,2,FALSE),"")</f>
        <v/>
      </c>
      <c r="J446">
        <f>IFERROR(VLOOKUP($A446,'Semrush Import'!$A:$D,3,FALSE),"")</f>
        <v/>
      </c>
      <c r="K446">
        <f>IFERROR(VLOOKUP($A446,'Semrush Import'!$A:$D,4,FALSE),"")</f>
        <v/>
      </c>
      <c r="L446">
        <f>IFERROR(VLOOKUP($A446,'KP Import'!$A:$B,2,FALSE),"")</f>
        <v/>
      </c>
      <c r="M446">
        <f>IF(I446="","",ROUND(I446/(J446+10),1))</f>
        <v/>
      </c>
      <c r="N446">
        <f>IF(M446="","",IF(M446&gt;=20,"A - Go first",IF(M446&gt;=5,"B - Next","C - Later")))</f>
        <v/>
      </c>
      <c r="O446" t="inlineStr">
        <is>
          <t>To research</t>
        </is>
      </c>
      <c r="P446" t="inlineStr"/>
    </row>
    <row r="447">
      <c r="A447" t="inlineStr">
        <is>
          <t>basmati rice al barsha</t>
        </is>
      </c>
      <c r="B447" t="inlineStr">
        <is>
          <t>Dubai area</t>
        </is>
      </c>
      <c r="C447" t="inlineStr">
        <is>
          <t>Basmati Rice</t>
        </is>
      </c>
      <c r="D447" t="inlineStr">
        <is>
          <t>Local/Transactional</t>
        </is>
      </c>
      <c r="E447" t="inlineStr">
        <is>
          <t>BOFU</t>
        </is>
      </c>
      <c r="F447" t="inlineStr">
        <is>
          <t>Dubai - Al Barsha</t>
        </is>
      </c>
      <c r="G447" t="inlineStr">
        <is>
          <t>Dubai location page (area section)</t>
        </is>
      </c>
      <c r="H447" t="inlineStr">
        <is>
          <t>Location landing</t>
        </is>
      </c>
      <c r="I447">
        <f>IFERROR(VLOOKUP($A447,'Semrush Import'!$A:$D,2,FALSE),"")</f>
        <v/>
      </c>
      <c r="J447">
        <f>IFERROR(VLOOKUP($A447,'Semrush Import'!$A:$D,3,FALSE),"")</f>
        <v/>
      </c>
      <c r="K447">
        <f>IFERROR(VLOOKUP($A447,'Semrush Import'!$A:$D,4,FALSE),"")</f>
        <v/>
      </c>
      <c r="L447">
        <f>IFERROR(VLOOKUP($A447,'KP Import'!$A:$B,2,FALSE),"")</f>
        <v/>
      </c>
      <c r="M447">
        <f>IF(I447="","",ROUND(I447/(J447+10),1))</f>
        <v/>
      </c>
      <c r="N447">
        <f>IF(M447="","",IF(M447&gt;=20,"A - Go first",IF(M447&gt;=5,"B - Next","C - Later")))</f>
        <v/>
      </c>
      <c r="O447" t="inlineStr">
        <is>
          <t>To research</t>
        </is>
      </c>
      <c r="P447" t="inlineStr"/>
    </row>
    <row r="448">
      <c r="A448" t="inlineStr">
        <is>
          <t>rice delivery dubai investment park</t>
        </is>
      </c>
      <c r="B448" t="inlineStr">
        <is>
          <t>Dubai area</t>
        </is>
      </c>
      <c r="C448" t="inlineStr">
        <is>
          <t>Rice Delivery</t>
        </is>
      </c>
      <c r="D448" t="inlineStr">
        <is>
          <t>Local/Transactional</t>
        </is>
      </c>
      <c r="E448" t="inlineStr">
        <is>
          <t>BOFU</t>
        </is>
      </c>
      <c r="F448" t="inlineStr">
        <is>
          <t>Dubai - Dubai Investment Park</t>
        </is>
      </c>
      <c r="G448" t="inlineStr">
        <is>
          <t>Dubai location page (area section)</t>
        </is>
      </c>
      <c r="H448" t="inlineStr">
        <is>
          <t>Location landing</t>
        </is>
      </c>
      <c r="I448">
        <f>IFERROR(VLOOKUP($A448,'Semrush Import'!$A:$D,2,FALSE),"")</f>
        <v/>
      </c>
      <c r="J448">
        <f>IFERROR(VLOOKUP($A448,'Semrush Import'!$A:$D,3,FALSE),"")</f>
        <v/>
      </c>
      <c r="K448">
        <f>IFERROR(VLOOKUP($A448,'Semrush Import'!$A:$D,4,FALSE),"")</f>
        <v/>
      </c>
      <c r="L448">
        <f>IFERROR(VLOOKUP($A448,'KP Import'!$A:$B,2,FALSE),"")</f>
        <v/>
      </c>
      <c r="M448">
        <f>IF(I448="","",ROUND(I448/(J448+10),1))</f>
        <v/>
      </c>
      <c r="N448">
        <f>IF(M448="","",IF(M448&gt;=20,"A - Go first",IF(M448&gt;=5,"B - Next","C - Later")))</f>
        <v/>
      </c>
      <c r="O448" t="inlineStr">
        <is>
          <t>To research</t>
        </is>
      </c>
      <c r="P448" t="inlineStr"/>
    </row>
    <row r="449">
      <c r="A449" t="inlineStr">
        <is>
          <t>rice wholesale dubai investment park</t>
        </is>
      </c>
      <c r="B449" t="inlineStr">
        <is>
          <t>Dubai area</t>
        </is>
      </c>
      <c r="C449" t="inlineStr">
        <is>
          <t>Rice Wholesale</t>
        </is>
      </c>
      <c r="D449" t="inlineStr">
        <is>
          <t>Local/Transactional</t>
        </is>
      </c>
      <c r="E449" t="inlineStr">
        <is>
          <t>BOFU</t>
        </is>
      </c>
      <c r="F449" t="inlineStr">
        <is>
          <t>Dubai - Dubai Investment Park</t>
        </is>
      </c>
      <c r="G449" t="inlineStr">
        <is>
          <t>Dubai location page (area section)</t>
        </is>
      </c>
      <c r="H449" t="inlineStr">
        <is>
          <t>Location landing</t>
        </is>
      </c>
      <c r="I449">
        <f>IFERROR(VLOOKUP($A449,'Semrush Import'!$A:$D,2,FALSE),"")</f>
        <v/>
      </c>
      <c r="J449">
        <f>IFERROR(VLOOKUP($A449,'Semrush Import'!$A:$D,3,FALSE),"")</f>
        <v/>
      </c>
      <c r="K449">
        <f>IFERROR(VLOOKUP($A449,'Semrush Import'!$A:$D,4,FALSE),"")</f>
        <v/>
      </c>
      <c r="L449">
        <f>IFERROR(VLOOKUP($A449,'KP Import'!$A:$B,2,FALSE),"")</f>
        <v/>
      </c>
      <c r="M449">
        <f>IF(I449="","",ROUND(I449/(J449+10),1))</f>
        <v/>
      </c>
      <c r="N449">
        <f>IF(M449="","",IF(M449&gt;=20,"A - Go first",IF(M449&gt;=5,"B - Next","C - Later")))</f>
        <v/>
      </c>
      <c r="O449" t="inlineStr">
        <is>
          <t>To research</t>
        </is>
      </c>
      <c r="P449" t="inlineStr"/>
    </row>
    <row r="450">
      <c r="A450" t="inlineStr">
        <is>
          <t>basmati rice dubai investment park</t>
        </is>
      </c>
      <c r="B450" t="inlineStr">
        <is>
          <t>Dubai area</t>
        </is>
      </c>
      <c r="C450" t="inlineStr">
        <is>
          <t>Basmati Rice</t>
        </is>
      </c>
      <c r="D450" t="inlineStr">
        <is>
          <t>Local/Transactional</t>
        </is>
      </c>
      <c r="E450" t="inlineStr">
        <is>
          <t>BOFU</t>
        </is>
      </c>
      <c r="F450" t="inlineStr">
        <is>
          <t>Dubai - Dubai Investment Park</t>
        </is>
      </c>
      <c r="G450" t="inlineStr">
        <is>
          <t>Dubai location page (area section)</t>
        </is>
      </c>
      <c r="H450" t="inlineStr">
        <is>
          <t>Location landing</t>
        </is>
      </c>
      <c r="I450">
        <f>IFERROR(VLOOKUP($A450,'Semrush Import'!$A:$D,2,FALSE),"")</f>
        <v/>
      </c>
      <c r="J450">
        <f>IFERROR(VLOOKUP($A450,'Semrush Import'!$A:$D,3,FALSE),"")</f>
        <v/>
      </c>
      <c r="K450">
        <f>IFERROR(VLOOKUP($A450,'Semrush Import'!$A:$D,4,FALSE),"")</f>
        <v/>
      </c>
      <c r="L450">
        <f>IFERROR(VLOOKUP($A450,'KP Import'!$A:$B,2,FALSE),"")</f>
        <v/>
      </c>
      <c r="M450">
        <f>IF(I450="","",ROUND(I450/(J450+10),1))</f>
        <v/>
      </c>
      <c r="N450">
        <f>IF(M450="","",IF(M450&gt;=20,"A - Go first",IF(M450&gt;=5,"B - Next","C - Later")))</f>
        <v/>
      </c>
      <c r="O450" t="inlineStr">
        <is>
          <t>To research</t>
        </is>
      </c>
      <c r="P450" t="inlineStr"/>
    </row>
    <row r="451">
      <c r="A451" t="inlineStr">
        <is>
          <t>rice wholesale al nahda sharjah</t>
        </is>
      </c>
      <c r="B451" t="inlineStr">
        <is>
          <t>Sharjah area</t>
        </is>
      </c>
      <c r="C451" t="inlineStr">
        <is>
          <t>Wholesale</t>
        </is>
      </c>
      <c r="D451" t="inlineStr">
        <is>
          <t>Local/Transactional (B2B)</t>
        </is>
      </c>
      <c r="E451" t="inlineStr">
        <is>
          <t>BOFU</t>
        </is>
      </c>
      <c r="F451" t="inlineStr">
        <is>
          <t>Sharjah - Al Nahda</t>
        </is>
      </c>
      <c r="G451" t="inlineStr">
        <is>
          <t>Sharjah location landing page</t>
        </is>
      </c>
      <c r="H451" t="inlineStr">
        <is>
          <t>Location landing</t>
        </is>
      </c>
      <c r="I451">
        <f>IFERROR(VLOOKUP($A451,'Semrush Import'!$A:$D,2,FALSE),"")</f>
        <v/>
      </c>
      <c r="J451">
        <f>IFERROR(VLOOKUP($A451,'Semrush Import'!$A:$D,3,FALSE),"")</f>
        <v/>
      </c>
      <c r="K451">
        <f>IFERROR(VLOOKUP($A451,'Semrush Import'!$A:$D,4,FALSE),"")</f>
        <v/>
      </c>
      <c r="L451">
        <f>IFERROR(VLOOKUP($A451,'KP Import'!$A:$B,2,FALSE),"")</f>
        <v/>
      </c>
      <c r="M451">
        <f>IF(I451="","",ROUND(I451/(J451+10),1))</f>
        <v/>
      </c>
      <c r="N451">
        <f>IF(M451="","",IF(M451&gt;=20,"A - Go first",IF(M451&gt;=5,"B - Next","C - Later")))</f>
        <v/>
      </c>
      <c r="O451" t="inlineStr">
        <is>
          <t>To research</t>
        </is>
      </c>
      <c r="P451" t="inlineStr"/>
    </row>
    <row r="452">
      <c r="A452" t="inlineStr">
        <is>
          <t>rice wholesale industrial area sharjah</t>
        </is>
      </c>
      <c r="B452" t="inlineStr">
        <is>
          <t>Sharjah area</t>
        </is>
      </c>
      <c r="C452" t="inlineStr">
        <is>
          <t>Wholesale</t>
        </is>
      </c>
      <c r="D452" t="inlineStr">
        <is>
          <t>Local/Transactional (B2B)</t>
        </is>
      </c>
      <c r="E452" t="inlineStr">
        <is>
          <t>BOFU</t>
        </is>
      </c>
      <c r="F452" t="inlineStr">
        <is>
          <t>Sharjah - Industrial Area</t>
        </is>
      </c>
      <c r="G452" t="inlineStr">
        <is>
          <t>Sharjah location landing page</t>
        </is>
      </c>
      <c r="H452" t="inlineStr">
        <is>
          <t>Location landing</t>
        </is>
      </c>
      <c r="I452">
        <f>IFERROR(VLOOKUP($A452,'Semrush Import'!$A:$D,2,FALSE),"")</f>
        <v/>
      </c>
      <c r="J452">
        <f>IFERROR(VLOOKUP($A452,'Semrush Import'!$A:$D,3,FALSE),"")</f>
        <v/>
      </c>
      <c r="K452">
        <f>IFERROR(VLOOKUP($A452,'Semrush Import'!$A:$D,4,FALSE),"")</f>
        <v/>
      </c>
      <c r="L452">
        <f>IFERROR(VLOOKUP($A452,'KP Import'!$A:$B,2,FALSE),"")</f>
        <v/>
      </c>
      <c r="M452">
        <f>IF(I452="","",ROUND(I452/(J452+10),1))</f>
        <v/>
      </c>
      <c r="N452">
        <f>IF(M452="","",IF(M452&gt;=20,"A - Go first",IF(M452&gt;=5,"B - Next","C - Later")))</f>
        <v/>
      </c>
      <c r="O452" t="inlineStr">
        <is>
          <t>To research</t>
        </is>
      </c>
      <c r="P452" t="inlineStr"/>
    </row>
    <row r="453">
      <c r="A453" t="inlineStr">
        <is>
          <t>rice wholesale al majaz sharjah</t>
        </is>
      </c>
      <c r="B453" t="inlineStr">
        <is>
          <t>Sharjah area</t>
        </is>
      </c>
      <c r="C453" t="inlineStr">
        <is>
          <t>Wholesale</t>
        </is>
      </c>
      <c r="D453" t="inlineStr">
        <is>
          <t>Local/Transactional (B2B)</t>
        </is>
      </c>
      <c r="E453" t="inlineStr">
        <is>
          <t>BOFU</t>
        </is>
      </c>
      <c r="F453" t="inlineStr">
        <is>
          <t>Sharjah - Al Majaz</t>
        </is>
      </c>
      <c r="G453" t="inlineStr">
        <is>
          <t>Sharjah location landing page</t>
        </is>
      </c>
      <c r="H453" t="inlineStr">
        <is>
          <t>Location landing</t>
        </is>
      </c>
      <c r="I453">
        <f>IFERROR(VLOOKUP($A453,'Semrush Import'!$A:$D,2,FALSE),"")</f>
        <v/>
      </c>
      <c r="J453">
        <f>IFERROR(VLOOKUP($A453,'Semrush Import'!$A:$D,3,FALSE),"")</f>
        <v/>
      </c>
      <c r="K453">
        <f>IFERROR(VLOOKUP($A453,'Semrush Import'!$A:$D,4,FALSE),"")</f>
        <v/>
      </c>
      <c r="L453">
        <f>IFERROR(VLOOKUP($A453,'KP Import'!$A:$B,2,FALSE),"")</f>
        <v/>
      </c>
      <c r="M453">
        <f>IF(I453="","",ROUND(I453/(J453+10),1))</f>
        <v/>
      </c>
      <c r="N453">
        <f>IF(M453="","",IF(M453&gt;=20,"A - Go first",IF(M453&gt;=5,"B - Next","C - Later")))</f>
        <v/>
      </c>
      <c r="O453" t="inlineStr">
        <is>
          <t>To research</t>
        </is>
      </c>
      <c r="P453" t="inlineStr"/>
    </row>
    <row r="454">
      <c r="A454" t="inlineStr">
        <is>
          <t>rice wholesale muwaileh sharjah</t>
        </is>
      </c>
      <c r="B454" t="inlineStr">
        <is>
          <t>Sharjah area</t>
        </is>
      </c>
      <c r="C454" t="inlineStr">
        <is>
          <t>Wholesale</t>
        </is>
      </c>
      <c r="D454" t="inlineStr">
        <is>
          <t>Local/Transactional (B2B)</t>
        </is>
      </c>
      <c r="E454" t="inlineStr">
        <is>
          <t>BOFU</t>
        </is>
      </c>
      <c r="F454" t="inlineStr">
        <is>
          <t>Sharjah - Muwaileh</t>
        </is>
      </c>
      <c r="G454" t="inlineStr">
        <is>
          <t>Sharjah location landing page</t>
        </is>
      </c>
      <c r="H454" t="inlineStr">
        <is>
          <t>Location landing</t>
        </is>
      </c>
      <c r="I454">
        <f>IFERROR(VLOOKUP($A454,'Semrush Import'!$A:$D,2,FALSE),"")</f>
        <v/>
      </c>
      <c r="J454">
        <f>IFERROR(VLOOKUP($A454,'Semrush Import'!$A:$D,3,FALSE),"")</f>
        <v/>
      </c>
      <c r="K454">
        <f>IFERROR(VLOOKUP($A454,'Semrush Import'!$A:$D,4,FALSE),"")</f>
        <v/>
      </c>
      <c r="L454">
        <f>IFERROR(VLOOKUP($A454,'KP Import'!$A:$B,2,FALSE),"")</f>
        <v/>
      </c>
      <c r="M454">
        <f>IF(I454="","",ROUND(I454/(J454+10),1))</f>
        <v/>
      </c>
      <c r="N454">
        <f>IF(M454="","",IF(M454&gt;=20,"A - Go first",IF(M454&gt;=5,"B - Next","C - Later")))</f>
        <v/>
      </c>
      <c r="O454" t="inlineStr">
        <is>
          <t>To research</t>
        </is>
      </c>
      <c r="P454" t="inlineStr"/>
    </row>
    <row r="455">
      <c r="A455" t="inlineStr">
        <is>
          <t>how to cook basmati rice</t>
        </is>
      </c>
      <c r="B455" t="inlineStr">
        <is>
          <t>Cooking guide</t>
        </is>
      </c>
      <c r="C455" t="inlineStr">
        <is>
          <t>Informational</t>
        </is>
      </c>
      <c r="D455" t="inlineStr">
        <is>
          <t>Informational</t>
        </is>
      </c>
      <c r="E455" t="inlineStr">
        <is>
          <t>TOFU</t>
        </is>
      </c>
      <c r="F455" t="inlineStr">
        <is>
          <t>UAE (generic)</t>
        </is>
      </c>
      <c r="G455" t="inlineStr">
        <is>
          <t>Blog article</t>
        </is>
      </c>
      <c r="H455" t="inlineStr">
        <is>
          <t>Blog</t>
        </is>
      </c>
      <c r="I455">
        <f>IFERROR(VLOOKUP($A455,'Semrush Import'!$A:$D,2,FALSE),"")</f>
        <v/>
      </c>
      <c r="J455">
        <f>IFERROR(VLOOKUP($A455,'Semrush Import'!$A:$D,3,FALSE),"")</f>
        <v/>
      </c>
      <c r="K455">
        <f>IFERROR(VLOOKUP($A455,'Semrush Import'!$A:$D,4,FALSE),"")</f>
        <v/>
      </c>
      <c r="L455">
        <f>IFERROR(VLOOKUP($A455,'KP Import'!$A:$B,2,FALSE),"")</f>
        <v/>
      </c>
      <c r="M455">
        <f>IF(I455="","",ROUND(I455/(J455+10),1))</f>
        <v/>
      </c>
      <c r="N455">
        <f>IF(M455="","",IF(M455&gt;=20,"A - Go first",IF(M455&gt;=5,"B - Next","C - Later")))</f>
        <v/>
      </c>
      <c r="O455" t="inlineStr">
        <is>
          <t>To research</t>
        </is>
      </c>
      <c r="P455" t="inlineStr"/>
    </row>
    <row r="456">
      <c r="A456" t="inlineStr">
        <is>
          <t>basmati rice vs jasmine rice</t>
        </is>
      </c>
      <c r="B456" t="inlineStr">
        <is>
          <t>Comparison</t>
        </is>
      </c>
      <c r="C456" t="inlineStr">
        <is>
          <t>Informational</t>
        </is>
      </c>
      <c r="D456" t="inlineStr">
        <is>
          <t>Informational</t>
        </is>
      </c>
      <c r="E456" t="inlineStr">
        <is>
          <t>TOFU</t>
        </is>
      </c>
      <c r="F456" t="inlineStr">
        <is>
          <t>UAE (generic)</t>
        </is>
      </c>
      <c r="G456" t="inlineStr">
        <is>
          <t>Blog article</t>
        </is>
      </c>
      <c r="H456" t="inlineStr">
        <is>
          <t>Blog</t>
        </is>
      </c>
      <c r="I456">
        <f>IFERROR(VLOOKUP($A456,'Semrush Import'!$A:$D,2,FALSE),"")</f>
        <v/>
      </c>
      <c r="J456">
        <f>IFERROR(VLOOKUP($A456,'Semrush Import'!$A:$D,3,FALSE),"")</f>
        <v/>
      </c>
      <c r="K456">
        <f>IFERROR(VLOOKUP($A456,'Semrush Import'!$A:$D,4,FALSE),"")</f>
        <v/>
      </c>
      <c r="L456">
        <f>IFERROR(VLOOKUP($A456,'KP Import'!$A:$B,2,FALSE),"")</f>
        <v/>
      </c>
      <c r="M456">
        <f>IF(I456="","",ROUND(I456/(J456+10),1))</f>
        <v/>
      </c>
      <c r="N456">
        <f>IF(M456="","",IF(M456&gt;=20,"A - Go first",IF(M456&gt;=5,"B - Next","C - Later")))</f>
        <v/>
      </c>
      <c r="O456" t="inlineStr">
        <is>
          <t>To research</t>
        </is>
      </c>
      <c r="P456" t="inlineStr"/>
    </row>
    <row r="457">
      <c r="A457" t="inlineStr">
        <is>
          <t>1121 basmati vs sella basmati</t>
        </is>
      </c>
      <c r="B457" t="inlineStr">
        <is>
          <t>Comparison</t>
        </is>
      </c>
      <c r="C457" t="inlineStr">
        <is>
          <t>Informational</t>
        </is>
      </c>
      <c r="D457" t="inlineStr">
        <is>
          <t>Informational</t>
        </is>
      </c>
      <c r="E457" t="inlineStr">
        <is>
          <t>TOFU</t>
        </is>
      </c>
      <c r="F457" t="inlineStr">
        <is>
          <t>UAE (generic)</t>
        </is>
      </c>
      <c r="G457" t="inlineStr">
        <is>
          <t>Blog article</t>
        </is>
      </c>
      <c r="H457" t="inlineStr">
        <is>
          <t>Blog</t>
        </is>
      </c>
      <c r="I457">
        <f>IFERROR(VLOOKUP($A457,'Semrush Import'!$A:$D,2,FALSE),"")</f>
        <v/>
      </c>
      <c r="J457">
        <f>IFERROR(VLOOKUP($A457,'Semrush Import'!$A:$D,3,FALSE),"")</f>
        <v/>
      </c>
      <c r="K457">
        <f>IFERROR(VLOOKUP($A457,'Semrush Import'!$A:$D,4,FALSE),"")</f>
        <v/>
      </c>
      <c r="L457">
        <f>IFERROR(VLOOKUP($A457,'KP Import'!$A:$B,2,FALSE),"")</f>
        <v/>
      </c>
      <c r="M457">
        <f>IF(I457="","",ROUND(I457/(J457+10),1))</f>
        <v/>
      </c>
      <c r="N457">
        <f>IF(M457="","",IF(M457&gt;=20,"A - Go first",IF(M457&gt;=5,"B - Next","C - Later")))</f>
        <v/>
      </c>
      <c r="O457" t="inlineStr">
        <is>
          <t>To research</t>
        </is>
      </c>
      <c r="P457" t="inlineStr"/>
    </row>
    <row r="458">
      <c r="A458" t="inlineStr">
        <is>
          <t>difference between sella and steam basmati</t>
        </is>
      </c>
      <c r="B458" t="inlineStr">
        <is>
          <t>Comparison</t>
        </is>
      </c>
      <c r="C458" t="inlineStr">
        <is>
          <t>Informational</t>
        </is>
      </c>
      <c r="D458" t="inlineStr">
        <is>
          <t>Informational</t>
        </is>
      </c>
      <c r="E458" t="inlineStr">
        <is>
          <t>TOFU</t>
        </is>
      </c>
      <c r="F458" t="inlineStr">
        <is>
          <t>UAE (generic)</t>
        </is>
      </c>
      <c r="G458" t="inlineStr">
        <is>
          <t>Blog article</t>
        </is>
      </c>
      <c r="H458" t="inlineStr">
        <is>
          <t>Blog</t>
        </is>
      </c>
      <c r="I458">
        <f>IFERROR(VLOOKUP($A458,'Semrush Import'!$A:$D,2,FALSE),"")</f>
        <v/>
      </c>
      <c r="J458">
        <f>IFERROR(VLOOKUP($A458,'Semrush Import'!$A:$D,3,FALSE),"")</f>
        <v/>
      </c>
      <c r="K458">
        <f>IFERROR(VLOOKUP($A458,'Semrush Import'!$A:$D,4,FALSE),"")</f>
        <v/>
      </c>
      <c r="L458">
        <f>IFERROR(VLOOKUP($A458,'KP Import'!$A:$B,2,FALSE),"")</f>
        <v/>
      </c>
      <c r="M458">
        <f>IF(I458="","",ROUND(I458/(J458+10),1))</f>
        <v/>
      </c>
      <c r="N458">
        <f>IF(M458="","",IF(M458&gt;=20,"A - Go first",IF(M458&gt;=5,"B - Next","C - Later")))</f>
        <v/>
      </c>
      <c r="O458" t="inlineStr">
        <is>
          <t>To research</t>
        </is>
      </c>
      <c r="P458" t="inlineStr"/>
    </row>
    <row r="459">
      <c r="A459" t="inlineStr">
        <is>
          <t>how to identify real basmati rice</t>
        </is>
      </c>
      <c r="B459" t="inlineStr">
        <is>
          <t>Buying guide</t>
        </is>
      </c>
      <c r="C459" t="inlineStr">
        <is>
          <t>Informational</t>
        </is>
      </c>
      <c r="D459" t="inlineStr">
        <is>
          <t>Informational</t>
        </is>
      </c>
      <c r="E459" t="inlineStr">
        <is>
          <t>TOFU</t>
        </is>
      </c>
      <c r="F459" t="inlineStr">
        <is>
          <t>UAE (generic)</t>
        </is>
      </c>
      <c r="G459" t="inlineStr">
        <is>
          <t>Blog article</t>
        </is>
      </c>
      <c r="H459" t="inlineStr">
        <is>
          <t>Blog</t>
        </is>
      </c>
      <c r="I459">
        <f>IFERROR(VLOOKUP($A459,'Semrush Import'!$A:$D,2,FALSE),"")</f>
        <v/>
      </c>
      <c r="J459">
        <f>IFERROR(VLOOKUP($A459,'Semrush Import'!$A:$D,3,FALSE),"")</f>
        <v/>
      </c>
      <c r="K459">
        <f>IFERROR(VLOOKUP($A459,'Semrush Import'!$A:$D,4,FALSE),"")</f>
        <v/>
      </c>
      <c r="L459">
        <f>IFERROR(VLOOKUP($A459,'KP Import'!$A:$B,2,FALSE),"")</f>
        <v/>
      </c>
      <c r="M459">
        <f>IF(I459="","",ROUND(I459/(J459+10),1))</f>
        <v/>
      </c>
      <c r="N459">
        <f>IF(M459="","",IF(M459&gt;=20,"A - Go first",IF(M459&gt;=5,"B - Next","C - Later")))</f>
        <v/>
      </c>
      <c r="O459" t="inlineStr">
        <is>
          <t>To research</t>
        </is>
      </c>
      <c r="P459" t="inlineStr"/>
    </row>
    <row r="460">
      <c r="A460" t="inlineStr">
        <is>
          <t>how to choose basmati rice</t>
        </is>
      </c>
      <c r="B460" t="inlineStr">
        <is>
          <t>Buying guide</t>
        </is>
      </c>
      <c r="C460" t="inlineStr">
        <is>
          <t>Informational</t>
        </is>
      </c>
      <c r="D460" t="inlineStr">
        <is>
          <t>Informational</t>
        </is>
      </c>
      <c r="E460" t="inlineStr">
        <is>
          <t>TOFU</t>
        </is>
      </c>
      <c r="F460" t="inlineStr">
        <is>
          <t>UAE (generic)</t>
        </is>
      </c>
      <c r="G460" t="inlineStr">
        <is>
          <t>Blog article</t>
        </is>
      </c>
      <c r="H460" t="inlineStr">
        <is>
          <t>Blog</t>
        </is>
      </c>
      <c r="I460">
        <f>IFERROR(VLOOKUP($A460,'Semrush Import'!$A:$D,2,FALSE),"")</f>
        <v/>
      </c>
      <c r="J460">
        <f>IFERROR(VLOOKUP($A460,'Semrush Import'!$A:$D,3,FALSE),"")</f>
        <v/>
      </c>
      <c r="K460">
        <f>IFERROR(VLOOKUP($A460,'Semrush Import'!$A:$D,4,FALSE),"")</f>
        <v/>
      </c>
      <c r="L460">
        <f>IFERROR(VLOOKUP($A460,'KP Import'!$A:$B,2,FALSE),"")</f>
        <v/>
      </c>
      <c r="M460">
        <f>IF(I460="","",ROUND(I460/(J460+10),1))</f>
        <v/>
      </c>
      <c r="N460">
        <f>IF(M460="","",IF(M460&gt;=20,"A - Go first",IF(M460&gt;=5,"B - Next","C - Later")))</f>
        <v/>
      </c>
      <c r="O460" t="inlineStr">
        <is>
          <t>To research</t>
        </is>
      </c>
      <c r="P460" t="inlineStr"/>
    </row>
    <row r="461">
      <c r="A461" t="inlineStr">
        <is>
          <t>how to store rice long term</t>
        </is>
      </c>
      <c r="B461" t="inlineStr">
        <is>
          <t>Storage</t>
        </is>
      </c>
      <c r="C461" t="inlineStr">
        <is>
          <t>Informational</t>
        </is>
      </c>
      <c r="D461" t="inlineStr">
        <is>
          <t>Informational</t>
        </is>
      </c>
      <c r="E461" t="inlineStr">
        <is>
          <t>TOFU</t>
        </is>
      </c>
      <c r="F461" t="inlineStr">
        <is>
          <t>UAE (generic)</t>
        </is>
      </c>
      <c r="G461" t="inlineStr">
        <is>
          <t>Blog article</t>
        </is>
      </c>
      <c r="H461" t="inlineStr">
        <is>
          <t>Blog</t>
        </is>
      </c>
      <c r="I461">
        <f>IFERROR(VLOOKUP($A461,'Semrush Import'!$A:$D,2,FALSE),"")</f>
        <v/>
      </c>
      <c r="J461">
        <f>IFERROR(VLOOKUP($A461,'Semrush Import'!$A:$D,3,FALSE),"")</f>
        <v/>
      </c>
      <c r="K461">
        <f>IFERROR(VLOOKUP($A461,'Semrush Import'!$A:$D,4,FALSE),"")</f>
        <v/>
      </c>
      <c r="L461">
        <f>IFERROR(VLOOKUP($A461,'KP Import'!$A:$B,2,FALSE),"")</f>
        <v/>
      </c>
      <c r="M461">
        <f>IF(I461="","",ROUND(I461/(J461+10),1))</f>
        <v/>
      </c>
      <c r="N461">
        <f>IF(M461="","",IF(M461&gt;=20,"A - Go first",IF(M461&gt;=5,"B - Next","C - Later")))</f>
        <v/>
      </c>
      <c r="O461" t="inlineStr">
        <is>
          <t>To research</t>
        </is>
      </c>
      <c r="P461" t="inlineStr"/>
    </row>
    <row r="462">
      <c r="A462" t="inlineStr">
        <is>
          <t>how long does basmati rice last</t>
        </is>
      </c>
      <c r="B462" t="inlineStr">
        <is>
          <t>Storage</t>
        </is>
      </c>
      <c r="C462" t="inlineStr">
        <is>
          <t>Informational</t>
        </is>
      </c>
      <c r="D462" t="inlineStr">
        <is>
          <t>Informational</t>
        </is>
      </c>
      <c r="E462" t="inlineStr">
        <is>
          <t>TOFU</t>
        </is>
      </c>
      <c r="F462" t="inlineStr">
        <is>
          <t>UAE (generic)</t>
        </is>
      </c>
      <c r="G462" t="inlineStr">
        <is>
          <t>Blog article</t>
        </is>
      </c>
      <c r="H462" t="inlineStr">
        <is>
          <t>Blog</t>
        </is>
      </c>
      <c r="I462">
        <f>IFERROR(VLOOKUP($A462,'Semrush Import'!$A:$D,2,FALSE),"")</f>
        <v/>
      </c>
      <c r="J462">
        <f>IFERROR(VLOOKUP($A462,'Semrush Import'!$A:$D,3,FALSE),"")</f>
        <v/>
      </c>
      <c r="K462">
        <f>IFERROR(VLOOKUP($A462,'Semrush Import'!$A:$D,4,FALSE),"")</f>
        <v/>
      </c>
      <c r="L462">
        <f>IFERROR(VLOOKUP($A462,'KP Import'!$A:$B,2,FALSE),"")</f>
        <v/>
      </c>
      <c r="M462">
        <f>IF(I462="","",ROUND(I462/(J462+10),1))</f>
        <v/>
      </c>
      <c r="N462">
        <f>IF(M462="","",IF(M462&gt;=20,"A - Go first",IF(M462&gt;=5,"B - Next","C - Later")))</f>
        <v/>
      </c>
      <c r="O462" t="inlineStr">
        <is>
          <t>To research</t>
        </is>
      </c>
      <c r="P462" t="inlineStr"/>
    </row>
    <row r="463">
      <c r="A463" t="inlineStr">
        <is>
          <t>rice to water ratio for biryani</t>
        </is>
      </c>
      <c r="B463" t="inlineStr">
        <is>
          <t>Cooking guide</t>
        </is>
      </c>
      <c r="C463" t="inlineStr">
        <is>
          <t>Informational</t>
        </is>
      </c>
      <c r="D463" t="inlineStr">
        <is>
          <t>Informational</t>
        </is>
      </c>
      <c r="E463" t="inlineStr">
        <is>
          <t>TOFU</t>
        </is>
      </c>
      <c r="F463" t="inlineStr">
        <is>
          <t>UAE (generic)</t>
        </is>
      </c>
      <c r="G463" t="inlineStr">
        <is>
          <t>Blog article</t>
        </is>
      </c>
      <c r="H463" t="inlineStr">
        <is>
          <t>Blog</t>
        </is>
      </c>
      <c r="I463">
        <f>IFERROR(VLOOKUP($A463,'Semrush Import'!$A:$D,2,FALSE),"")</f>
        <v/>
      </c>
      <c r="J463">
        <f>IFERROR(VLOOKUP($A463,'Semrush Import'!$A:$D,3,FALSE),"")</f>
        <v/>
      </c>
      <c r="K463">
        <f>IFERROR(VLOOKUP($A463,'Semrush Import'!$A:$D,4,FALSE),"")</f>
        <v/>
      </c>
      <c r="L463">
        <f>IFERROR(VLOOKUP($A463,'KP Import'!$A:$B,2,FALSE),"")</f>
        <v/>
      </c>
      <c r="M463">
        <f>IF(I463="","",ROUND(I463/(J463+10),1))</f>
        <v/>
      </c>
      <c r="N463">
        <f>IF(M463="","",IF(M463&gt;=20,"A - Go first",IF(M463&gt;=5,"B - Next","C - Later")))</f>
        <v/>
      </c>
      <c r="O463" t="inlineStr">
        <is>
          <t>To research</t>
        </is>
      </c>
      <c r="P463" t="inlineStr"/>
    </row>
    <row r="464">
      <c r="A464" t="inlineStr">
        <is>
          <t>how to cook rice for kabsa</t>
        </is>
      </c>
      <c r="B464" t="inlineStr">
        <is>
          <t>Cooking guide</t>
        </is>
      </c>
      <c r="C464" t="inlineStr">
        <is>
          <t>Informational</t>
        </is>
      </c>
      <c r="D464" t="inlineStr">
        <is>
          <t>Informational</t>
        </is>
      </c>
      <c r="E464" t="inlineStr">
        <is>
          <t>TOFU</t>
        </is>
      </c>
      <c r="F464" t="inlineStr">
        <is>
          <t>UAE (generic)</t>
        </is>
      </c>
      <c r="G464" t="inlineStr">
        <is>
          <t>Blog article</t>
        </is>
      </c>
      <c r="H464" t="inlineStr">
        <is>
          <t>Blog</t>
        </is>
      </c>
      <c r="I464">
        <f>IFERROR(VLOOKUP($A464,'Semrush Import'!$A:$D,2,FALSE),"")</f>
        <v/>
      </c>
      <c r="J464">
        <f>IFERROR(VLOOKUP($A464,'Semrush Import'!$A:$D,3,FALSE),"")</f>
        <v/>
      </c>
      <c r="K464">
        <f>IFERROR(VLOOKUP($A464,'Semrush Import'!$A:$D,4,FALSE),"")</f>
        <v/>
      </c>
      <c r="L464">
        <f>IFERROR(VLOOKUP($A464,'KP Import'!$A:$B,2,FALSE),"")</f>
        <v/>
      </c>
      <c r="M464">
        <f>IF(I464="","",ROUND(I464/(J464+10),1))</f>
        <v/>
      </c>
      <c r="N464">
        <f>IF(M464="","",IF(M464&gt;=20,"A - Go first",IF(M464&gt;=5,"B - Next","C - Later")))</f>
        <v/>
      </c>
      <c r="O464" t="inlineStr">
        <is>
          <t>To research</t>
        </is>
      </c>
      <c r="P464" t="inlineStr"/>
    </row>
    <row r="465">
      <c r="A465" t="inlineStr">
        <is>
          <t>how to make chicken mandi rice</t>
        </is>
      </c>
      <c r="B465" t="inlineStr">
        <is>
          <t>Recipe</t>
        </is>
      </c>
      <c r="C465" t="inlineStr">
        <is>
          <t>Informational</t>
        </is>
      </c>
      <c r="D465" t="inlineStr">
        <is>
          <t>Informational</t>
        </is>
      </c>
      <c r="E465" t="inlineStr">
        <is>
          <t>TOFU</t>
        </is>
      </c>
      <c r="F465" t="inlineStr">
        <is>
          <t>UAE (generic)</t>
        </is>
      </c>
      <c r="G465" t="inlineStr">
        <is>
          <t>Blog article</t>
        </is>
      </c>
      <c r="H465" t="inlineStr">
        <is>
          <t>Blog</t>
        </is>
      </c>
      <c r="I465">
        <f>IFERROR(VLOOKUP($A465,'Semrush Import'!$A:$D,2,FALSE),"")</f>
        <v/>
      </c>
      <c r="J465">
        <f>IFERROR(VLOOKUP($A465,'Semrush Import'!$A:$D,3,FALSE),"")</f>
        <v/>
      </c>
      <c r="K465">
        <f>IFERROR(VLOOKUP($A465,'Semrush Import'!$A:$D,4,FALSE),"")</f>
        <v/>
      </c>
      <c r="L465">
        <f>IFERROR(VLOOKUP($A465,'KP Import'!$A:$B,2,FALSE),"")</f>
        <v/>
      </c>
      <c r="M465">
        <f>IF(I465="","",ROUND(I465/(J465+10),1))</f>
        <v/>
      </c>
      <c r="N465">
        <f>IF(M465="","",IF(M465&gt;=20,"A - Go first",IF(M465&gt;=5,"B - Next","C - Later")))</f>
        <v/>
      </c>
      <c r="O465" t="inlineStr">
        <is>
          <t>To research</t>
        </is>
      </c>
      <c r="P465" t="inlineStr"/>
    </row>
    <row r="466">
      <c r="A466" t="inlineStr">
        <is>
          <t>how to make dubai style biryani</t>
        </is>
      </c>
      <c r="B466" t="inlineStr">
        <is>
          <t>Recipe</t>
        </is>
      </c>
      <c r="C466" t="inlineStr">
        <is>
          <t>Informational</t>
        </is>
      </c>
      <c r="D466" t="inlineStr">
        <is>
          <t>Informational</t>
        </is>
      </c>
      <c r="E466" t="inlineStr">
        <is>
          <t>TOFU</t>
        </is>
      </c>
      <c r="F466" t="inlineStr">
        <is>
          <t>UAE (generic)</t>
        </is>
      </c>
      <c r="G466" t="inlineStr">
        <is>
          <t>Blog article</t>
        </is>
      </c>
      <c r="H466" t="inlineStr">
        <is>
          <t>Blog</t>
        </is>
      </c>
      <c r="I466">
        <f>IFERROR(VLOOKUP($A466,'Semrush Import'!$A:$D,2,FALSE),"")</f>
        <v/>
      </c>
      <c r="J466">
        <f>IFERROR(VLOOKUP($A466,'Semrush Import'!$A:$D,3,FALSE),"")</f>
        <v/>
      </c>
      <c r="K466">
        <f>IFERROR(VLOOKUP($A466,'Semrush Import'!$A:$D,4,FALSE),"")</f>
        <v/>
      </c>
      <c r="L466">
        <f>IFERROR(VLOOKUP($A466,'KP Import'!$A:$B,2,FALSE),"")</f>
        <v/>
      </c>
      <c r="M466">
        <f>IF(I466="","",ROUND(I466/(J466+10),1))</f>
        <v/>
      </c>
      <c r="N466">
        <f>IF(M466="","",IF(M466&gt;=20,"A - Go first",IF(M466&gt;=5,"B - Next","C - Later")))</f>
        <v/>
      </c>
      <c r="O466" t="inlineStr">
        <is>
          <t>To research</t>
        </is>
      </c>
      <c r="P466" t="inlineStr"/>
    </row>
    <row r="467">
      <c r="A467" t="inlineStr">
        <is>
          <t>best rice for biryani</t>
        </is>
      </c>
      <c r="B467" t="inlineStr">
        <is>
          <t>Buying guide</t>
        </is>
      </c>
      <c r="C467" t="inlineStr">
        <is>
          <t>Informational</t>
        </is>
      </c>
      <c r="D467" t="inlineStr">
        <is>
          <t>Informational</t>
        </is>
      </c>
      <c r="E467" t="inlineStr">
        <is>
          <t>TOFU</t>
        </is>
      </c>
      <c r="F467" t="inlineStr">
        <is>
          <t>UAE (generic)</t>
        </is>
      </c>
      <c r="G467" t="inlineStr">
        <is>
          <t>Blog article</t>
        </is>
      </c>
      <c r="H467" t="inlineStr">
        <is>
          <t>Blog</t>
        </is>
      </c>
      <c r="I467">
        <f>IFERROR(VLOOKUP($A467,'Semrush Import'!$A:$D,2,FALSE),"")</f>
        <v/>
      </c>
      <c r="J467">
        <f>IFERROR(VLOOKUP($A467,'Semrush Import'!$A:$D,3,FALSE),"")</f>
        <v/>
      </c>
      <c r="K467">
        <f>IFERROR(VLOOKUP($A467,'Semrush Import'!$A:$D,4,FALSE),"")</f>
        <v/>
      </c>
      <c r="L467">
        <f>IFERROR(VLOOKUP($A467,'KP Import'!$A:$B,2,FALSE),"")</f>
        <v/>
      </c>
      <c r="M467">
        <f>IF(I467="","",ROUND(I467/(J467+10),1))</f>
        <v/>
      </c>
      <c r="N467">
        <f>IF(M467="","",IF(M467&gt;=20,"A - Go first",IF(M467&gt;=5,"B - Next","C - Later")))</f>
        <v/>
      </c>
      <c r="O467" t="inlineStr">
        <is>
          <t>To research</t>
        </is>
      </c>
      <c r="P467" t="inlineStr"/>
    </row>
    <row r="468">
      <c r="A468" t="inlineStr">
        <is>
          <t>best rice for pulao</t>
        </is>
      </c>
      <c r="B468" t="inlineStr">
        <is>
          <t>Buying guide</t>
        </is>
      </c>
      <c r="C468" t="inlineStr">
        <is>
          <t>Informational</t>
        </is>
      </c>
      <c r="D468" t="inlineStr">
        <is>
          <t>Informational</t>
        </is>
      </c>
      <c r="E468" t="inlineStr">
        <is>
          <t>TOFU</t>
        </is>
      </c>
      <c r="F468" t="inlineStr">
        <is>
          <t>UAE (generic)</t>
        </is>
      </c>
      <c r="G468" t="inlineStr">
        <is>
          <t>Blog article</t>
        </is>
      </c>
      <c r="H468" t="inlineStr">
        <is>
          <t>Blog</t>
        </is>
      </c>
      <c r="I468">
        <f>IFERROR(VLOOKUP($A468,'Semrush Import'!$A:$D,2,FALSE),"")</f>
        <v/>
      </c>
      <c r="J468">
        <f>IFERROR(VLOOKUP($A468,'Semrush Import'!$A:$D,3,FALSE),"")</f>
        <v/>
      </c>
      <c r="K468">
        <f>IFERROR(VLOOKUP($A468,'Semrush Import'!$A:$D,4,FALSE),"")</f>
        <v/>
      </c>
      <c r="L468">
        <f>IFERROR(VLOOKUP($A468,'KP Import'!$A:$B,2,FALSE),"")</f>
        <v/>
      </c>
      <c r="M468">
        <f>IF(I468="","",ROUND(I468/(J468+10),1))</f>
        <v/>
      </c>
      <c r="N468">
        <f>IF(M468="","",IF(M468&gt;=20,"A - Go first",IF(M468&gt;=5,"B - Next","C - Later")))</f>
        <v/>
      </c>
      <c r="O468" t="inlineStr">
        <is>
          <t>To research</t>
        </is>
      </c>
      <c r="P468" t="inlineStr"/>
    </row>
    <row r="469">
      <c r="A469" t="inlineStr">
        <is>
          <t>best rice for fried rice</t>
        </is>
      </c>
      <c r="B469" t="inlineStr">
        <is>
          <t>Buying guide</t>
        </is>
      </c>
      <c r="C469" t="inlineStr">
        <is>
          <t>Informational</t>
        </is>
      </c>
      <c r="D469" t="inlineStr">
        <is>
          <t>Informational</t>
        </is>
      </c>
      <c r="E469" t="inlineStr">
        <is>
          <t>TOFU</t>
        </is>
      </c>
      <c r="F469" t="inlineStr">
        <is>
          <t>UAE (generic)</t>
        </is>
      </c>
      <c r="G469" t="inlineStr">
        <is>
          <t>Blog article</t>
        </is>
      </c>
      <c r="H469" t="inlineStr">
        <is>
          <t>Blog</t>
        </is>
      </c>
      <c r="I469">
        <f>IFERROR(VLOOKUP($A469,'Semrush Import'!$A:$D,2,FALSE),"")</f>
        <v/>
      </c>
      <c r="J469">
        <f>IFERROR(VLOOKUP($A469,'Semrush Import'!$A:$D,3,FALSE),"")</f>
        <v/>
      </c>
      <c r="K469">
        <f>IFERROR(VLOOKUP($A469,'Semrush Import'!$A:$D,4,FALSE),"")</f>
        <v/>
      </c>
      <c r="L469">
        <f>IFERROR(VLOOKUP($A469,'KP Import'!$A:$B,2,FALSE),"")</f>
        <v/>
      </c>
      <c r="M469">
        <f>IF(I469="","",ROUND(I469/(J469+10),1))</f>
        <v/>
      </c>
      <c r="N469">
        <f>IF(M469="","",IF(M469&gt;=20,"A - Go first",IF(M469&gt;=5,"B - Next","C - Later")))</f>
        <v/>
      </c>
      <c r="O469" t="inlineStr">
        <is>
          <t>To research</t>
        </is>
      </c>
      <c r="P469" t="inlineStr"/>
    </row>
    <row r="470">
      <c r="A470" t="inlineStr">
        <is>
          <t>is basmati rice healthy</t>
        </is>
      </c>
      <c r="B470" t="inlineStr">
        <is>
          <t>Health</t>
        </is>
      </c>
      <c r="C470" t="inlineStr">
        <is>
          <t>Informational</t>
        </is>
      </c>
      <c r="D470" t="inlineStr">
        <is>
          <t>Informational</t>
        </is>
      </c>
      <c r="E470" t="inlineStr">
        <is>
          <t>TOFU</t>
        </is>
      </c>
      <c r="F470" t="inlineStr">
        <is>
          <t>UAE (generic)</t>
        </is>
      </c>
      <c r="G470" t="inlineStr">
        <is>
          <t>Blog article</t>
        </is>
      </c>
      <c r="H470" t="inlineStr">
        <is>
          <t>Blog</t>
        </is>
      </c>
      <c r="I470">
        <f>IFERROR(VLOOKUP($A470,'Semrush Import'!$A:$D,2,FALSE),"")</f>
        <v/>
      </c>
      <c r="J470">
        <f>IFERROR(VLOOKUP($A470,'Semrush Import'!$A:$D,3,FALSE),"")</f>
        <v/>
      </c>
      <c r="K470">
        <f>IFERROR(VLOOKUP($A470,'Semrush Import'!$A:$D,4,FALSE),"")</f>
        <v/>
      </c>
      <c r="L470">
        <f>IFERROR(VLOOKUP($A470,'KP Import'!$A:$B,2,FALSE),"")</f>
        <v/>
      </c>
      <c r="M470">
        <f>IF(I470="","",ROUND(I470/(J470+10),1))</f>
        <v/>
      </c>
      <c r="N470">
        <f>IF(M470="","",IF(M470&gt;=20,"A - Go first",IF(M470&gt;=5,"B - Next","C - Later")))</f>
        <v/>
      </c>
      <c r="O470" t="inlineStr">
        <is>
          <t>To research</t>
        </is>
      </c>
      <c r="P470" t="inlineStr"/>
    </row>
    <row r="471">
      <c r="A471" t="inlineStr">
        <is>
          <t>brown rice vs white rice</t>
        </is>
      </c>
      <c r="B471" t="inlineStr">
        <is>
          <t>Health</t>
        </is>
      </c>
      <c r="C471" t="inlineStr">
        <is>
          <t>Informational</t>
        </is>
      </c>
      <c r="D471" t="inlineStr">
        <is>
          <t>Informational</t>
        </is>
      </c>
      <c r="E471" t="inlineStr">
        <is>
          <t>TOFU</t>
        </is>
      </c>
      <c r="F471" t="inlineStr">
        <is>
          <t>UAE (generic)</t>
        </is>
      </c>
      <c r="G471" t="inlineStr">
        <is>
          <t>Blog article</t>
        </is>
      </c>
      <c r="H471" t="inlineStr">
        <is>
          <t>Blog</t>
        </is>
      </c>
      <c r="I471">
        <f>IFERROR(VLOOKUP($A471,'Semrush Import'!$A:$D,2,FALSE),"")</f>
        <v/>
      </c>
      <c r="J471">
        <f>IFERROR(VLOOKUP($A471,'Semrush Import'!$A:$D,3,FALSE),"")</f>
        <v/>
      </c>
      <c r="K471">
        <f>IFERROR(VLOOKUP($A471,'Semrush Import'!$A:$D,4,FALSE),"")</f>
        <v/>
      </c>
      <c r="L471">
        <f>IFERROR(VLOOKUP($A471,'KP Import'!$A:$B,2,FALSE),"")</f>
        <v/>
      </c>
      <c r="M471">
        <f>IF(I471="","",ROUND(I471/(J471+10),1))</f>
        <v/>
      </c>
      <c r="N471">
        <f>IF(M471="","",IF(M471&gt;=20,"A - Go first",IF(M471&gt;=5,"B - Next","C - Later")))</f>
        <v/>
      </c>
      <c r="O471" t="inlineStr">
        <is>
          <t>To research</t>
        </is>
      </c>
      <c r="P471" t="inlineStr"/>
    </row>
    <row r="472">
      <c r="A472" t="inlineStr">
        <is>
          <t>basmati rice calories</t>
        </is>
      </c>
      <c r="B472" t="inlineStr">
        <is>
          <t>Health</t>
        </is>
      </c>
      <c r="C472" t="inlineStr">
        <is>
          <t>Informational</t>
        </is>
      </c>
      <c r="D472" t="inlineStr">
        <is>
          <t>Informational</t>
        </is>
      </c>
      <c r="E472" t="inlineStr">
        <is>
          <t>TOFU</t>
        </is>
      </c>
      <c r="F472" t="inlineStr">
        <is>
          <t>UAE (generic)</t>
        </is>
      </c>
      <c r="G472" t="inlineStr">
        <is>
          <t>Blog article</t>
        </is>
      </c>
      <c r="H472" t="inlineStr">
        <is>
          <t>Blog</t>
        </is>
      </c>
      <c r="I472">
        <f>IFERROR(VLOOKUP($A472,'Semrush Import'!$A:$D,2,FALSE),"")</f>
        <v/>
      </c>
      <c r="J472">
        <f>IFERROR(VLOOKUP($A472,'Semrush Import'!$A:$D,3,FALSE),"")</f>
        <v/>
      </c>
      <c r="K472">
        <f>IFERROR(VLOOKUP($A472,'Semrush Import'!$A:$D,4,FALSE),"")</f>
        <v/>
      </c>
      <c r="L472">
        <f>IFERROR(VLOOKUP($A472,'KP Import'!$A:$B,2,FALSE),"")</f>
        <v/>
      </c>
      <c r="M472">
        <f>IF(I472="","",ROUND(I472/(J472+10),1))</f>
        <v/>
      </c>
      <c r="N472">
        <f>IF(M472="","",IF(M472&gt;=20,"A - Go first",IF(M472&gt;=5,"B - Next","C - Later")))</f>
        <v/>
      </c>
      <c r="O472" t="inlineStr">
        <is>
          <t>To research</t>
        </is>
      </c>
      <c r="P472" t="inlineStr"/>
    </row>
    <row r="473">
      <c r="A473" t="inlineStr">
        <is>
          <t>glycemic index of basmati rice</t>
        </is>
      </c>
      <c r="B473" t="inlineStr">
        <is>
          <t>Health</t>
        </is>
      </c>
      <c r="C473" t="inlineStr">
        <is>
          <t>Informational</t>
        </is>
      </c>
      <c r="D473" t="inlineStr">
        <is>
          <t>Informational</t>
        </is>
      </c>
      <c r="E473" t="inlineStr">
        <is>
          <t>TOFU</t>
        </is>
      </c>
      <c r="F473" t="inlineStr">
        <is>
          <t>UAE (generic)</t>
        </is>
      </c>
      <c r="G473" t="inlineStr">
        <is>
          <t>Blog article</t>
        </is>
      </c>
      <c r="H473" t="inlineStr">
        <is>
          <t>Blog</t>
        </is>
      </c>
      <c r="I473">
        <f>IFERROR(VLOOKUP($A473,'Semrush Import'!$A:$D,2,FALSE),"")</f>
        <v/>
      </c>
      <c r="J473">
        <f>IFERROR(VLOOKUP($A473,'Semrush Import'!$A:$D,3,FALSE),"")</f>
        <v/>
      </c>
      <c r="K473">
        <f>IFERROR(VLOOKUP($A473,'Semrush Import'!$A:$D,4,FALSE),"")</f>
        <v/>
      </c>
      <c r="L473">
        <f>IFERROR(VLOOKUP($A473,'KP Import'!$A:$B,2,FALSE),"")</f>
        <v/>
      </c>
      <c r="M473">
        <f>IF(I473="","",ROUND(I473/(J473+10),1))</f>
        <v/>
      </c>
      <c r="N473">
        <f>IF(M473="","",IF(M473&gt;=20,"A - Go first",IF(M473&gt;=5,"B - Next","C - Later")))</f>
        <v/>
      </c>
      <c r="O473" t="inlineStr">
        <is>
          <t>To research</t>
        </is>
      </c>
      <c r="P473" t="inlineStr"/>
    </row>
    <row r="474">
      <c r="A474" t="inlineStr">
        <is>
          <t>what is sella basmati rice</t>
        </is>
      </c>
      <c r="B474" t="inlineStr">
        <is>
          <t>Definition</t>
        </is>
      </c>
      <c r="C474" t="inlineStr">
        <is>
          <t>Informational</t>
        </is>
      </c>
      <c r="D474" t="inlineStr">
        <is>
          <t>Informational</t>
        </is>
      </c>
      <c r="E474" t="inlineStr">
        <is>
          <t>TOFU</t>
        </is>
      </c>
      <c r="F474" t="inlineStr">
        <is>
          <t>UAE (generic)</t>
        </is>
      </c>
      <c r="G474" t="inlineStr">
        <is>
          <t>Blog article</t>
        </is>
      </c>
      <c r="H474" t="inlineStr">
        <is>
          <t>Blog</t>
        </is>
      </c>
      <c r="I474">
        <f>IFERROR(VLOOKUP($A474,'Semrush Import'!$A:$D,2,FALSE),"")</f>
        <v/>
      </c>
      <c r="J474">
        <f>IFERROR(VLOOKUP($A474,'Semrush Import'!$A:$D,3,FALSE),"")</f>
        <v/>
      </c>
      <c r="K474">
        <f>IFERROR(VLOOKUP($A474,'Semrush Import'!$A:$D,4,FALSE),"")</f>
        <v/>
      </c>
      <c r="L474">
        <f>IFERROR(VLOOKUP($A474,'KP Import'!$A:$B,2,FALSE),"")</f>
        <v/>
      </c>
      <c r="M474">
        <f>IF(I474="","",ROUND(I474/(J474+10),1))</f>
        <v/>
      </c>
      <c r="N474">
        <f>IF(M474="","",IF(M474&gt;=20,"A - Go first",IF(M474&gt;=5,"B - Next","C - Later")))</f>
        <v/>
      </c>
      <c r="O474" t="inlineStr">
        <is>
          <t>To research</t>
        </is>
      </c>
      <c r="P474" t="inlineStr"/>
    </row>
    <row r="475">
      <c r="A475" t="inlineStr">
        <is>
          <t>what is 1121 basmati rice</t>
        </is>
      </c>
      <c r="B475" t="inlineStr">
        <is>
          <t>Definition</t>
        </is>
      </c>
      <c r="C475" t="inlineStr">
        <is>
          <t>Informational</t>
        </is>
      </c>
      <c r="D475" t="inlineStr">
        <is>
          <t>Informational</t>
        </is>
      </c>
      <c r="E475" t="inlineStr">
        <is>
          <t>TOFU</t>
        </is>
      </c>
      <c r="F475" t="inlineStr">
        <is>
          <t>UAE (generic)</t>
        </is>
      </c>
      <c r="G475" t="inlineStr">
        <is>
          <t>Blog article</t>
        </is>
      </c>
      <c r="H475" t="inlineStr">
        <is>
          <t>Blog</t>
        </is>
      </c>
      <c r="I475">
        <f>IFERROR(VLOOKUP($A475,'Semrush Import'!$A:$D,2,FALSE),"")</f>
        <v/>
      </c>
      <c r="J475">
        <f>IFERROR(VLOOKUP($A475,'Semrush Import'!$A:$D,3,FALSE),"")</f>
        <v/>
      </c>
      <c r="K475">
        <f>IFERROR(VLOOKUP($A475,'Semrush Import'!$A:$D,4,FALSE),"")</f>
        <v/>
      </c>
      <c r="L475">
        <f>IFERROR(VLOOKUP($A475,'KP Import'!$A:$B,2,FALSE),"")</f>
        <v/>
      </c>
      <c r="M475">
        <f>IF(I475="","",ROUND(I475/(J475+10),1))</f>
        <v/>
      </c>
      <c r="N475">
        <f>IF(M475="","",IF(M475&gt;=20,"A - Go first",IF(M475&gt;=5,"B - Next","C - Later")))</f>
        <v/>
      </c>
      <c r="O475" t="inlineStr">
        <is>
          <t>To research</t>
        </is>
      </c>
      <c r="P475" t="inlineStr"/>
    </row>
    <row r="476">
      <c r="A476" t="inlineStr">
        <is>
          <t>what is parboiled rice</t>
        </is>
      </c>
      <c r="B476" t="inlineStr">
        <is>
          <t>Definition</t>
        </is>
      </c>
      <c r="C476" t="inlineStr">
        <is>
          <t>Informational</t>
        </is>
      </c>
      <c r="D476" t="inlineStr">
        <is>
          <t>Informational</t>
        </is>
      </c>
      <c r="E476" t="inlineStr">
        <is>
          <t>TOFU</t>
        </is>
      </c>
      <c r="F476" t="inlineStr">
        <is>
          <t>UAE (generic)</t>
        </is>
      </c>
      <c r="G476" t="inlineStr">
        <is>
          <t>Blog article</t>
        </is>
      </c>
      <c r="H476" t="inlineStr">
        <is>
          <t>Blog</t>
        </is>
      </c>
      <c r="I476">
        <f>IFERROR(VLOOKUP($A476,'Semrush Import'!$A:$D,2,FALSE),"")</f>
        <v/>
      </c>
      <c r="J476">
        <f>IFERROR(VLOOKUP($A476,'Semrush Import'!$A:$D,3,FALSE),"")</f>
        <v/>
      </c>
      <c r="K476">
        <f>IFERROR(VLOOKUP($A476,'Semrush Import'!$A:$D,4,FALSE),"")</f>
        <v/>
      </c>
      <c r="L476">
        <f>IFERROR(VLOOKUP($A476,'KP Import'!$A:$B,2,FALSE),"")</f>
        <v/>
      </c>
      <c r="M476">
        <f>IF(I476="","",ROUND(I476/(J476+10),1))</f>
        <v/>
      </c>
      <c r="N476">
        <f>IF(M476="","",IF(M476&gt;=20,"A - Go first",IF(M476&gt;=5,"B - Next","C - Later")))</f>
        <v/>
      </c>
      <c r="O476" t="inlineStr">
        <is>
          <t>To research</t>
        </is>
      </c>
      <c r="P476" t="inlineStr"/>
    </row>
    <row r="477">
      <c r="A477" t="inlineStr">
        <is>
          <t>why is basmati rice expensive</t>
        </is>
      </c>
      <c r="B477" t="inlineStr">
        <is>
          <t>Buying guide</t>
        </is>
      </c>
      <c r="C477" t="inlineStr">
        <is>
          <t>Informational</t>
        </is>
      </c>
      <c r="D477" t="inlineStr">
        <is>
          <t>Informational</t>
        </is>
      </c>
      <c r="E477" t="inlineStr">
        <is>
          <t>TOFU</t>
        </is>
      </c>
      <c r="F477" t="inlineStr">
        <is>
          <t>UAE (generic)</t>
        </is>
      </c>
      <c r="G477" t="inlineStr">
        <is>
          <t>Blog article</t>
        </is>
      </c>
      <c r="H477" t="inlineStr">
        <is>
          <t>Blog</t>
        </is>
      </c>
      <c r="I477">
        <f>IFERROR(VLOOKUP($A477,'Semrush Import'!$A:$D,2,FALSE),"")</f>
        <v/>
      </c>
      <c r="J477">
        <f>IFERROR(VLOOKUP($A477,'Semrush Import'!$A:$D,3,FALSE),"")</f>
        <v/>
      </c>
      <c r="K477">
        <f>IFERROR(VLOOKUP($A477,'Semrush Import'!$A:$D,4,FALSE),"")</f>
        <v/>
      </c>
      <c r="L477">
        <f>IFERROR(VLOOKUP($A477,'KP Import'!$A:$B,2,FALSE),"")</f>
        <v/>
      </c>
      <c r="M477">
        <f>IF(I477="","",ROUND(I477/(J477+10),1))</f>
        <v/>
      </c>
      <c r="N477">
        <f>IF(M477="","",IF(M477&gt;=20,"A - Go first",IF(M477&gt;=5,"B - Next","C - Later")))</f>
        <v/>
      </c>
      <c r="O477" t="inlineStr">
        <is>
          <t>To research</t>
        </is>
      </c>
      <c r="P477" t="inlineStr"/>
    </row>
    <row r="478">
      <c r="A478" t="inlineStr">
        <is>
          <t>basmati rice grading</t>
        </is>
      </c>
      <c r="B478" t="inlineStr">
        <is>
          <t>Buying guide</t>
        </is>
      </c>
      <c r="C478" t="inlineStr">
        <is>
          <t>Informational</t>
        </is>
      </c>
      <c r="D478" t="inlineStr">
        <is>
          <t>Informational</t>
        </is>
      </c>
      <c r="E478" t="inlineStr">
        <is>
          <t>TOFU</t>
        </is>
      </c>
      <c r="F478" t="inlineStr">
        <is>
          <t>UAE (generic)</t>
        </is>
      </c>
      <c r="G478" t="inlineStr">
        <is>
          <t>Blog article</t>
        </is>
      </c>
      <c r="H478" t="inlineStr">
        <is>
          <t>Blog</t>
        </is>
      </c>
      <c r="I478">
        <f>IFERROR(VLOOKUP($A478,'Semrush Import'!$A:$D,2,FALSE),"")</f>
        <v/>
      </c>
      <c r="J478">
        <f>IFERROR(VLOOKUP($A478,'Semrush Import'!$A:$D,3,FALSE),"")</f>
        <v/>
      </c>
      <c r="K478">
        <f>IFERROR(VLOOKUP($A478,'Semrush Import'!$A:$D,4,FALSE),"")</f>
        <v/>
      </c>
      <c r="L478">
        <f>IFERROR(VLOOKUP($A478,'KP Import'!$A:$B,2,FALSE),"")</f>
        <v/>
      </c>
      <c r="M478">
        <f>IF(I478="","",ROUND(I478/(J478+10),1))</f>
        <v/>
      </c>
      <c r="N478">
        <f>IF(M478="","",IF(M478&gt;=20,"A - Go first",IF(M478&gt;=5,"B - Next","C - Later")))</f>
        <v/>
      </c>
      <c r="O478" t="inlineStr">
        <is>
          <t>To research</t>
        </is>
      </c>
      <c r="P478" t="inlineStr"/>
    </row>
    <row r="479">
      <c r="A479" t="inlineStr">
        <is>
          <t>rice import regulations uae</t>
        </is>
      </c>
      <c r="B479" t="inlineStr">
        <is>
          <t>B2B guide</t>
        </is>
      </c>
      <c r="C479" t="inlineStr">
        <is>
          <t>Informational</t>
        </is>
      </c>
      <c r="D479" t="inlineStr">
        <is>
          <t>Informational</t>
        </is>
      </c>
      <c r="E479" t="inlineStr">
        <is>
          <t>TOFU</t>
        </is>
      </c>
      <c r="F479" t="inlineStr">
        <is>
          <t>UAE (generic)</t>
        </is>
      </c>
      <c r="G479" t="inlineStr">
        <is>
          <t>Blog article</t>
        </is>
      </c>
      <c r="H479" t="inlineStr">
        <is>
          <t>Blog</t>
        </is>
      </c>
      <c r="I479">
        <f>IFERROR(VLOOKUP($A479,'Semrush Import'!$A:$D,2,FALSE),"")</f>
        <v/>
      </c>
      <c r="J479">
        <f>IFERROR(VLOOKUP($A479,'Semrush Import'!$A:$D,3,FALSE),"")</f>
        <v/>
      </c>
      <c r="K479">
        <f>IFERROR(VLOOKUP($A479,'Semrush Import'!$A:$D,4,FALSE),"")</f>
        <v/>
      </c>
      <c r="L479">
        <f>IFERROR(VLOOKUP($A479,'KP Import'!$A:$B,2,FALSE),"")</f>
        <v/>
      </c>
      <c r="M479">
        <f>IF(I479="","",ROUND(I479/(J479+10),1))</f>
        <v/>
      </c>
      <c r="N479">
        <f>IF(M479="","",IF(M479&gt;=20,"A - Go first",IF(M479&gt;=5,"B - Next","C - Later")))</f>
        <v/>
      </c>
      <c r="O479" t="inlineStr">
        <is>
          <t>To research</t>
        </is>
      </c>
      <c r="P479" t="inlineStr"/>
    </row>
    <row r="480">
      <c r="A480" t="inlineStr">
        <is>
          <t>uae rice import duty</t>
        </is>
      </c>
      <c r="B480" t="inlineStr">
        <is>
          <t>B2B guide</t>
        </is>
      </c>
      <c r="C480" t="inlineStr">
        <is>
          <t>Informational</t>
        </is>
      </c>
      <c r="D480" t="inlineStr">
        <is>
          <t>Informational</t>
        </is>
      </c>
      <c r="E480" t="inlineStr">
        <is>
          <t>TOFU</t>
        </is>
      </c>
      <c r="F480" t="inlineStr">
        <is>
          <t>UAE (generic)</t>
        </is>
      </c>
      <c r="G480" t="inlineStr">
        <is>
          <t>Blog article</t>
        </is>
      </c>
      <c r="H480" t="inlineStr">
        <is>
          <t>Blog</t>
        </is>
      </c>
      <c r="I480">
        <f>IFERROR(VLOOKUP($A480,'Semrush Import'!$A:$D,2,FALSE),"")</f>
        <v/>
      </c>
      <c r="J480">
        <f>IFERROR(VLOOKUP($A480,'Semrush Import'!$A:$D,3,FALSE),"")</f>
        <v/>
      </c>
      <c r="K480">
        <f>IFERROR(VLOOKUP($A480,'Semrush Import'!$A:$D,4,FALSE),"")</f>
        <v/>
      </c>
      <c r="L480">
        <f>IFERROR(VLOOKUP($A480,'KP Import'!$A:$B,2,FALSE),"")</f>
        <v/>
      </c>
      <c r="M480">
        <f>IF(I480="","",ROUND(I480/(J480+10),1))</f>
        <v/>
      </c>
      <c r="N480">
        <f>IF(M480="","",IF(M480&gt;=20,"A - Go first",IF(M480&gt;=5,"B - Next","C - Later")))</f>
        <v/>
      </c>
      <c r="O480" t="inlineStr">
        <is>
          <t>To research</t>
        </is>
      </c>
      <c r="P480" t="inlineStr"/>
    </row>
    <row r="481">
      <c r="A481" t="inlineStr">
        <is>
          <t>rice price trend uae</t>
        </is>
      </c>
      <c r="B481" t="inlineStr">
        <is>
          <t>Market</t>
        </is>
      </c>
      <c r="C481" t="inlineStr">
        <is>
          <t>Informational</t>
        </is>
      </c>
      <c r="D481" t="inlineStr">
        <is>
          <t>Informational</t>
        </is>
      </c>
      <c r="E481" t="inlineStr">
        <is>
          <t>TOFU</t>
        </is>
      </c>
      <c r="F481" t="inlineStr">
        <is>
          <t>UAE (generic)</t>
        </is>
      </c>
      <c r="G481" t="inlineStr">
        <is>
          <t>Blog article</t>
        </is>
      </c>
      <c r="H481" t="inlineStr">
        <is>
          <t>Blog</t>
        </is>
      </c>
      <c r="I481">
        <f>IFERROR(VLOOKUP($A481,'Semrush Import'!$A:$D,2,FALSE),"")</f>
        <v/>
      </c>
      <c r="J481">
        <f>IFERROR(VLOOKUP($A481,'Semrush Import'!$A:$D,3,FALSE),"")</f>
        <v/>
      </c>
      <c r="K481">
        <f>IFERROR(VLOOKUP($A481,'Semrush Import'!$A:$D,4,FALSE),"")</f>
        <v/>
      </c>
      <c r="L481">
        <f>IFERROR(VLOOKUP($A481,'KP Import'!$A:$B,2,FALSE),"")</f>
        <v/>
      </c>
      <c r="M481">
        <f>IF(I481="","",ROUND(I481/(J481+10),1))</f>
        <v/>
      </c>
      <c r="N481">
        <f>IF(M481="","",IF(M481&gt;=20,"A - Go first",IF(M481&gt;=5,"B - Next","C - Later")))</f>
        <v/>
      </c>
      <c r="O481" t="inlineStr">
        <is>
          <t>To research</t>
        </is>
      </c>
      <c r="P481" t="inlineStr"/>
    </row>
    <row r="482">
      <c r="A482" t="inlineStr">
        <is>
          <t>india rice export ban impact on uae</t>
        </is>
      </c>
      <c r="B482" t="inlineStr">
        <is>
          <t>Market</t>
        </is>
      </c>
      <c r="C482" t="inlineStr">
        <is>
          <t>Informational</t>
        </is>
      </c>
      <c r="D482" t="inlineStr">
        <is>
          <t>Informational</t>
        </is>
      </c>
      <c r="E482" t="inlineStr">
        <is>
          <t>TOFU</t>
        </is>
      </c>
      <c r="F482" t="inlineStr">
        <is>
          <t>UAE (generic)</t>
        </is>
      </c>
      <c r="G482" t="inlineStr">
        <is>
          <t>Blog article</t>
        </is>
      </c>
      <c r="H482" t="inlineStr">
        <is>
          <t>Blog</t>
        </is>
      </c>
      <c r="I482">
        <f>IFERROR(VLOOKUP($A482,'Semrush Import'!$A:$D,2,FALSE),"")</f>
        <v/>
      </c>
      <c r="J482">
        <f>IFERROR(VLOOKUP($A482,'Semrush Import'!$A:$D,3,FALSE),"")</f>
        <v/>
      </c>
      <c r="K482">
        <f>IFERROR(VLOOKUP($A482,'Semrush Import'!$A:$D,4,FALSE),"")</f>
        <v/>
      </c>
      <c r="L482">
        <f>IFERROR(VLOOKUP($A482,'KP Import'!$A:$B,2,FALSE),"")</f>
        <v/>
      </c>
      <c r="M482">
        <f>IF(I482="","",ROUND(I482/(J482+10),1))</f>
        <v/>
      </c>
      <c r="N482">
        <f>IF(M482="","",IF(M482&gt;=20,"A - Go first",IF(M482&gt;=5,"B - Next","C - Later")))</f>
        <v/>
      </c>
      <c r="O482" t="inlineStr">
        <is>
          <t>To research</t>
        </is>
      </c>
      <c r="P482" t="inlineStr"/>
    </row>
    <row r="483">
      <c r="A483" t="inlineStr">
        <is>
          <t>how to start rice trading business in dubai</t>
        </is>
      </c>
      <c r="B483" t="inlineStr">
        <is>
          <t>B2B guide</t>
        </is>
      </c>
      <c r="C483" t="inlineStr">
        <is>
          <t>Informational</t>
        </is>
      </c>
      <c r="D483" t="inlineStr">
        <is>
          <t>Informational</t>
        </is>
      </c>
      <c r="E483" t="inlineStr">
        <is>
          <t>TOFU</t>
        </is>
      </c>
      <c r="F483" t="inlineStr">
        <is>
          <t>UAE (generic)</t>
        </is>
      </c>
      <c r="G483" t="inlineStr">
        <is>
          <t>Blog article</t>
        </is>
      </c>
      <c r="H483" t="inlineStr">
        <is>
          <t>Blog</t>
        </is>
      </c>
      <c r="I483">
        <f>IFERROR(VLOOKUP($A483,'Semrush Import'!$A:$D,2,FALSE),"")</f>
        <v/>
      </c>
      <c r="J483">
        <f>IFERROR(VLOOKUP($A483,'Semrush Import'!$A:$D,3,FALSE),"")</f>
        <v/>
      </c>
      <c r="K483">
        <f>IFERROR(VLOOKUP($A483,'Semrush Import'!$A:$D,4,FALSE),"")</f>
        <v/>
      </c>
      <c r="L483">
        <f>IFERROR(VLOOKUP($A483,'KP Import'!$A:$B,2,FALSE),"")</f>
        <v/>
      </c>
      <c r="M483">
        <f>IF(I483="","",ROUND(I483/(J483+10),1))</f>
        <v/>
      </c>
      <c r="N483">
        <f>IF(M483="","",IF(M483&gt;=20,"A - Go first",IF(M483&gt;=5,"B - Next","C - Later")))</f>
        <v/>
      </c>
      <c r="O483" t="inlineStr">
        <is>
          <t>To research</t>
        </is>
      </c>
      <c r="P483" t="inlineStr"/>
    </row>
    <row r="484">
      <c r="A484" t="inlineStr">
        <is>
          <t>rice trading license dubai</t>
        </is>
      </c>
      <c r="B484" t="inlineStr">
        <is>
          <t>B2B guide</t>
        </is>
      </c>
      <c r="C484" t="inlineStr">
        <is>
          <t>Informational</t>
        </is>
      </c>
      <c r="D484" t="inlineStr">
        <is>
          <t>Informational</t>
        </is>
      </c>
      <c r="E484" t="inlineStr">
        <is>
          <t>TOFU</t>
        </is>
      </c>
      <c r="F484" t="inlineStr">
        <is>
          <t>UAE (generic)</t>
        </is>
      </c>
      <c r="G484" t="inlineStr">
        <is>
          <t>Blog article</t>
        </is>
      </c>
      <c r="H484" t="inlineStr">
        <is>
          <t>Blog</t>
        </is>
      </c>
      <c r="I484">
        <f>IFERROR(VLOOKUP($A484,'Semrush Import'!$A:$D,2,FALSE),"")</f>
        <v/>
      </c>
      <c r="J484">
        <f>IFERROR(VLOOKUP($A484,'Semrush Import'!$A:$D,3,FALSE),"")</f>
        <v/>
      </c>
      <c r="K484">
        <f>IFERROR(VLOOKUP($A484,'Semrush Import'!$A:$D,4,FALSE),"")</f>
        <v/>
      </c>
      <c r="L484">
        <f>IFERROR(VLOOKUP($A484,'KP Import'!$A:$B,2,FALSE),"")</f>
        <v/>
      </c>
      <c r="M484">
        <f>IF(I484="","",ROUND(I484/(J484+10),1))</f>
        <v/>
      </c>
      <c r="N484">
        <f>IF(M484="","",IF(M484&gt;=20,"A - Go first",IF(M484&gt;=5,"B - Next","C - Later")))</f>
        <v/>
      </c>
      <c r="O484" t="inlineStr">
        <is>
          <t>To research</t>
        </is>
      </c>
      <c r="P484" t="inlineStr"/>
    </row>
    <row r="485">
      <c r="A485" t="inlineStr">
        <is>
          <t>ارز بسمتي</t>
        </is>
      </c>
      <c r="B485" t="inlineStr">
        <is>
          <t>Arabic</t>
        </is>
      </c>
      <c r="C485" t="inlineStr">
        <is>
          <t>Arabic</t>
        </is>
      </c>
      <c r="D485" t="inlineStr">
        <is>
          <t>Transactional</t>
        </is>
      </c>
      <c r="E485" t="inlineStr">
        <is>
          <t>BOFU</t>
        </is>
      </c>
      <c r="F485" t="inlineStr">
        <is>
          <t>UAE (Arabic)</t>
        </is>
      </c>
      <c r="G485" t="inlineStr">
        <is>
          <t>Arabic version pages (/ar/)</t>
        </is>
      </c>
      <c r="H485" t="inlineStr">
        <is>
          <t>Arabic landing</t>
        </is>
      </c>
      <c r="I485">
        <f>IFERROR(VLOOKUP($A485,'Semrush Import'!$A:$D,2,FALSE),"")</f>
        <v/>
      </c>
      <c r="J485">
        <f>IFERROR(VLOOKUP($A485,'Semrush Import'!$A:$D,3,FALSE),"")</f>
        <v/>
      </c>
      <c r="K485">
        <f>IFERROR(VLOOKUP($A485,'Semrush Import'!$A:$D,4,FALSE),"")</f>
        <v/>
      </c>
      <c r="L485">
        <f>IFERROR(VLOOKUP($A485,'KP Import'!$A:$B,2,FALSE),"")</f>
        <v/>
      </c>
      <c r="M485">
        <f>IF(I485="","",ROUND(I485/(J485+10),1))</f>
        <v/>
      </c>
      <c r="N485">
        <f>IF(M485="","",IF(M485&gt;=20,"A - Go first",IF(M485&gt;=5,"B - Next","C - Later")))</f>
        <v/>
      </c>
      <c r="O485" t="inlineStr">
        <is>
          <t>To research</t>
        </is>
      </c>
      <c r="P485" t="inlineStr"/>
    </row>
    <row r="486">
      <c r="A486" t="inlineStr">
        <is>
          <t>ارز بسمتي دبي</t>
        </is>
      </c>
      <c r="B486" t="inlineStr">
        <is>
          <t>Arabic</t>
        </is>
      </c>
      <c r="C486" t="inlineStr">
        <is>
          <t>Arabic</t>
        </is>
      </c>
      <c r="D486" t="inlineStr">
        <is>
          <t>Transactional</t>
        </is>
      </c>
      <c r="E486" t="inlineStr">
        <is>
          <t>BOFU</t>
        </is>
      </c>
      <c r="F486" t="inlineStr">
        <is>
          <t>UAE (Arabic)</t>
        </is>
      </c>
      <c r="G486" t="inlineStr">
        <is>
          <t>Arabic version pages (/ar/)</t>
        </is>
      </c>
      <c r="H486" t="inlineStr">
        <is>
          <t>Arabic landing</t>
        </is>
      </c>
      <c r="I486">
        <f>IFERROR(VLOOKUP($A486,'Semrush Import'!$A:$D,2,FALSE),"")</f>
        <v/>
      </c>
      <c r="J486">
        <f>IFERROR(VLOOKUP($A486,'Semrush Import'!$A:$D,3,FALSE),"")</f>
        <v/>
      </c>
      <c r="K486">
        <f>IFERROR(VLOOKUP($A486,'Semrush Import'!$A:$D,4,FALSE),"")</f>
        <v/>
      </c>
      <c r="L486">
        <f>IFERROR(VLOOKUP($A486,'KP Import'!$A:$B,2,FALSE),"")</f>
        <v/>
      </c>
      <c r="M486">
        <f>IF(I486="","",ROUND(I486/(J486+10),1))</f>
        <v/>
      </c>
      <c r="N486">
        <f>IF(M486="","",IF(M486&gt;=20,"A - Go first",IF(M486&gt;=5,"B - Next","C - Later")))</f>
        <v/>
      </c>
      <c r="O486" t="inlineStr">
        <is>
          <t>To research</t>
        </is>
      </c>
      <c r="P486" t="inlineStr"/>
    </row>
    <row r="487">
      <c r="A487" t="inlineStr">
        <is>
          <t>ارز بسمتي بالجملة</t>
        </is>
      </c>
      <c r="B487" t="inlineStr">
        <is>
          <t>Arabic</t>
        </is>
      </c>
      <c r="C487" t="inlineStr">
        <is>
          <t>Arabic</t>
        </is>
      </c>
      <c r="D487" t="inlineStr">
        <is>
          <t>Transactional</t>
        </is>
      </c>
      <c r="E487" t="inlineStr">
        <is>
          <t>BOFU</t>
        </is>
      </c>
      <c r="F487" t="inlineStr">
        <is>
          <t>UAE (Arabic)</t>
        </is>
      </c>
      <c r="G487" t="inlineStr">
        <is>
          <t>Arabic version pages (/ar/)</t>
        </is>
      </c>
      <c r="H487" t="inlineStr">
        <is>
          <t>Arabic landing</t>
        </is>
      </c>
      <c r="I487">
        <f>IFERROR(VLOOKUP($A487,'Semrush Import'!$A:$D,2,FALSE),"")</f>
        <v/>
      </c>
      <c r="J487">
        <f>IFERROR(VLOOKUP($A487,'Semrush Import'!$A:$D,3,FALSE),"")</f>
        <v/>
      </c>
      <c r="K487">
        <f>IFERROR(VLOOKUP($A487,'Semrush Import'!$A:$D,4,FALSE),"")</f>
        <v/>
      </c>
      <c r="L487">
        <f>IFERROR(VLOOKUP($A487,'KP Import'!$A:$B,2,FALSE),"")</f>
        <v/>
      </c>
      <c r="M487">
        <f>IF(I487="","",ROUND(I487/(J487+10),1))</f>
        <v/>
      </c>
      <c r="N487">
        <f>IF(M487="","",IF(M487&gt;=20,"A - Go first",IF(M487&gt;=5,"B - Next","C - Later")))</f>
        <v/>
      </c>
      <c r="O487" t="inlineStr">
        <is>
          <t>To research</t>
        </is>
      </c>
      <c r="P487" t="inlineStr"/>
    </row>
    <row r="488">
      <c r="A488" t="inlineStr">
        <is>
          <t>سعر الارز في الامارات</t>
        </is>
      </c>
      <c r="B488" t="inlineStr">
        <is>
          <t>Arabic</t>
        </is>
      </c>
      <c r="C488" t="inlineStr">
        <is>
          <t>Arabic</t>
        </is>
      </c>
      <c r="D488" t="inlineStr">
        <is>
          <t>Transactional</t>
        </is>
      </c>
      <c r="E488" t="inlineStr">
        <is>
          <t>BOFU</t>
        </is>
      </c>
      <c r="F488" t="inlineStr">
        <is>
          <t>UAE (Arabic)</t>
        </is>
      </c>
      <c r="G488" t="inlineStr">
        <is>
          <t>Arabic version pages (/ar/)</t>
        </is>
      </c>
      <c r="H488" t="inlineStr">
        <is>
          <t>Arabic landing</t>
        </is>
      </c>
      <c r="I488">
        <f>IFERROR(VLOOKUP($A488,'Semrush Import'!$A:$D,2,FALSE),"")</f>
        <v/>
      </c>
      <c r="J488">
        <f>IFERROR(VLOOKUP($A488,'Semrush Import'!$A:$D,3,FALSE),"")</f>
        <v/>
      </c>
      <c r="K488">
        <f>IFERROR(VLOOKUP($A488,'Semrush Import'!$A:$D,4,FALSE),"")</f>
        <v/>
      </c>
      <c r="L488">
        <f>IFERROR(VLOOKUP($A488,'KP Import'!$A:$B,2,FALSE),"")</f>
        <v/>
      </c>
      <c r="M488">
        <f>IF(I488="","",ROUND(I488/(J488+10),1))</f>
        <v/>
      </c>
      <c r="N488">
        <f>IF(M488="","",IF(M488&gt;=20,"A - Go first",IF(M488&gt;=5,"B - Next","C - Later")))</f>
        <v/>
      </c>
      <c r="O488" t="inlineStr">
        <is>
          <t>To research</t>
        </is>
      </c>
      <c r="P488" t="inlineStr"/>
    </row>
    <row r="489">
      <c r="A489" t="inlineStr">
        <is>
          <t>شراء ارز اونلاين دبي</t>
        </is>
      </c>
      <c r="B489" t="inlineStr">
        <is>
          <t>Arabic</t>
        </is>
      </c>
      <c r="C489" t="inlineStr">
        <is>
          <t>Arabic</t>
        </is>
      </c>
      <c r="D489" t="inlineStr">
        <is>
          <t>Transactional</t>
        </is>
      </c>
      <c r="E489" t="inlineStr">
        <is>
          <t>BOFU</t>
        </is>
      </c>
      <c r="F489" t="inlineStr">
        <is>
          <t>UAE (Arabic)</t>
        </is>
      </c>
      <c r="G489" t="inlineStr">
        <is>
          <t>Arabic version pages (/ar/)</t>
        </is>
      </c>
      <c r="H489" t="inlineStr">
        <is>
          <t>Arabic landing</t>
        </is>
      </c>
      <c r="I489">
        <f>IFERROR(VLOOKUP($A489,'Semrush Import'!$A:$D,2,FALSE),"")</f>
        <v/>
      </c>
      <c r="J489">
        <f>IFERROR(VLOOKUP($A489,'Semrush Import'!$A:$D,3,FALSE),"")</f>
        <v/>
      </c>
      <c r="K489">
        <f>IFERROR(VLOOKUP($A489,'Semrush Import'!$A:$D,4,FALSE),"")</f>
        <v/>
      </c>
      <c r="L489">
        <f>IFERROR(VLOOKUP($A489,'KP Import'!$A:$B,2,FALSE),"")</f>
        <v/>
      </c>
      <c r="M489">
        <f>IF(I489="","",ROUND(I489/(J489+10),1))</f>
        <v/>
      </c>
      <c r="N489">
        <f>IF(M489="","",IF(M489&gt;=20,"A - Go first",IF(M489&gt;=5,"B - Next","C - Later")))</f>
        <v/>
      </c>
      <c r="O489" t="inlineStr">
        <is>
          <t>To research</t>
        </is>
      </c>
      <c r="P489" t="inlineStr"/>
    </row>
    <row r="490">
      <c r="A490" t="inlineStr">
        <is>
          <t>توصيل ارز دبي</t>
        </is>
      </c>
      <c r="B490" t="inlineStr">
        <is>
          <t>Arabic</t>
        </is>
      </c>
      <c r="C490" t="inlineStr">
        <is>
          <t>Arabic</t>
        </is>
      </c>
      <c r="D490" t="inlineStr">
        <is>
          <t>Transactional</t>
        </is>
      </c>
      <c r="E490" t="inlineStr">
        <is>
          <t>BOFU</t>
        </is>
      </c>
      <c r="F490" t="inlineStr">
        <is>
          <t>UAE (Arabic)</t>
        </is>
      </c>
      <c r="G490" t="inlineStr">
        <is>
          <t>Arabic version pages (/ar/)</t>
        </is>
      </c>
      <c r="H490" t="inlineStr">
        <is>
          <t>Arabic landing</t>
        </is>
      </c>
      <c r="I490">
        <f>IFERROR(VLOOKUP($A490,'Semrush Import'!$A:$D,2,FALSE),"")</f>
        <v/>
      </c>
      <c r="J490">
        <f>IFERROR(VLOOKUP($A490,'Semrush Import'!$A:$D,3,FALSE),"")</f>
        <v/>
      </c>
      <c r="K490">
        <f>IFERROR(VLOOKUP($A490,'Semrush Import'!$A:$D,4,FALSE),"")</f>
        <v/>
      </c>
      <c r="L490">
        <f>IFERROR(VLOOKUP($A490,'KP Import'!$A:$B,2,FALSE),"")</f>
        <v/>
      </c>
      <c r="M490">
        <f>IF(I490="","",ROUND(I490/(J490+10),1))</f>
        <v/>
      </c>
      <c r="N490">
        <f>IF(M490="","",IF(M490&gt;=20,"A - Go first",IF(M490&gt;=5,"B - Next","C - Later")))</f>
        <v/>
      </c>
      <c r="O490" t="inlineStr">
        <is>
          <t>To research</t>
        </is>
      </c>
      <c r="P490" t="inlineStr"/>
    </row>
    <row r="491">
      <c r="A491" t="inlineStr">
        <is>
          <t>ارز بسمتي سيلا</t>
        </is>
      </c>
      <c r="B491" t="inlineStr">
        <is>
          <t>Arabic</t>
        </is>
      </c>
      <c r="C491" t="inlineStr">
        <is>
          <t>Arabic</t>
        </is>
      </c>
      <c r="D491" t="inlineStr">
        <is>
          <t>Transactional</t>
        </is>
      </c>
      <c r="E491" t="inlineStr">
        <is>
          <t>BOFU</t>
        </is>
      </c>
      <c r="F491" t="inlineStr">
        <is>
          <t>UAE (Arabic)</t>
        </is>
      </c>
      <c r="G491" t="inlineStr">
        <is>
          <t>Arabic version pages (/ar/)</t>
        </is>
      </c>
      <c r="H491" t="inlineStr">
        <is>
          <t>Arabic landing</t>
        </is>
      </c>
      <c r="I491">
        <f>IFERROR(VLOOKUP($A491,'Semrush Import'!$A:$D,2,FALSE),"")</f>
        <v/>
      </c>
      <c r="J491">
        <f>IFERROR(VLOOKUP($A491,'Semrush Import'!$A:$D,3,FALSE),"")</f>
        <v/>
      </c>
      <c r="K491">
        <f>IFERROR(VLOOKUP($A491,'Semrush Import'!$A:$D,4,FALSE),"")</f>
        <v/>
      </c>
      <c r="L491">
        <f>IFERROR(VLOOKUP($A491,'KP Import'!$A:$B,2,FALSE),"")</f>
        <v/>
      </c>
      <c r="M491">
        <f>IF(I491="","",ROUND(I491/(J491+10),1))</f>
        <v/>
      </c>
      <c r="N491">
        <f>IF(M491="","",IF(M491&gt;=20,"A - Go first",IF(M491&gt;=5,"B - Next","C - Later")))</f>
        <v/>
      </c>
      <c r="O491" t="inlineStr">
        <is>
          <t>To research</t>
        </is>
      </c>
      <c r="P491" t="inlineStr"/>
    </row>
    <row r="492">
      <c r="A492" t="inlineStr">
        <is>
          <t>موردين ارز في الامارات</t>
        </is>
      </c>
      <c r="B492" t="inlineStr">
        <is>
          <t>Arabic</t>
        </is>
      </c>
      <c r="C492" t="inlineStr">
        <is>
          <t>Arabic</t>
        </is>
      </c>
      <c r="D492" t="inlineStr">
        <is>
          <t>Transactional</t>
        </is>
      </c>
      <c r="E492" t="inlineStr">
        <is>
          <t>BOFU</t>
        </is>
      </c>
      <c r="F492" t="inlineStr">
        <is>
          <t>UAE (Arabic)</t>
        </is>
      </c>
      <c r="G492" t="inlineStr">
        <is>
          <t>Arabic version pages (/ar/)</t>
        </is>
      </c>
      <c r="H492" t="inlineStr">
        <is>
          <t>Arabic landing</t>
        </is>
      </c>
      <c r="I492">
        <f>IFERROR(VLOOKUP($A492,'Semrush Import'!$A:$D,2,FALSE),"")</f>
        <v/>
      </c>
      <c r="J492">
        <f>IFERROR(VLOOKUP($A492,'Semrush Import'!$A:$D,3,FALSE),"")</f>
        <v/>
      </c>
      <c r="K492">
        <f>IFERROR(VLOOKUP($A492,'Semrush Import'!$A:$D,4,FALSE),"")</f>
        <v/>
      </c>
      <c r="L492">
        <f>IFERROR(VLOOKUP($A492,'KP Import'!$A:$B,2,FALSE),"")</f>
        <v/>
      </c>
      <c r="M492">
        <f>IF(I492="","",ROUND(I492/(J492+10),1))</f>
        <v/>
      </c>
      <c r="N492">
        <f>IF(M492="","",IF(M492&gt;=20,"A - Go first",IF(M492&gt;=5,"B - Next","C - Later")))</f>
        <v/>
      </c>
      <c r="O492" t="inlineStr">
        <is>
          <t>To research</t>
        </is>
      </c>
      <c r="P492" t="inlineStr"/>
    </row>
    <row r="493">
      <c r="A493" t="inlineStr">
        <is>
          <t>ارز مندي</t>
        </is>
      </c>
      <c r="B493" t="inlineStr">
        <is>
          <t>Arabic</t>
        </is>
      </c>
      <c r="C493" t="inlineStr">
        <is>
          <t>Arabic</t>
        </is>
      </c>
      <c r="D493" t="inlineStr">
        <is>
          <t>Transactional</t>
        </is>
      </c>
      <c r="E493" t="inlineStr">
        <is>
          <t>BOFU</t>
        </is>
      </c>
      <c r="F493" t="inlineStr">
        <is>
          <t>UAE (Arabic)</t>
        </is>
      </c>
      <c r="G493" t="inlineStr">
        <is>
          <t>Arabic version pages (/ar/)</t>
        </is>
      </c>
      <c r="H493" t="inlineStr">
        <is>
          <t>Arabic landing</t>
        </is>
      </c>
      <c r="I493">
        <f>IFERROR(VLOOKUP($A493,'Semrush Import'!$A:$D,2,FALSE),"")</f>
        <v/>
      </c>
      <c r="J493">
        <f>IFERROR(VLOOKUP($A493,'Semrush Import'!$A:$D,3,FALSE),"")</f>
        <v/>
      </c>
      <c r="K493">
        <f>IFERROR(VLOOKUP($A493,'Semrush Import'!$A:$D,4,FALSE),"")</f>
        <v/>
      </c>
      <c r="L493">
        <f>IFERROR(VLOOKUP($A493,'KP Import'!$A:$B,2,FALSE),"")</f>
        <v/>
      </c>
      <c r="M493">
        <f>IF(I493="","",ROUND(I493/(J493+10),1))</f>
        <v/>
      </c>
      <c r="N493">
        <f>IF(M493="","",IF(M493&gt;=20,"A - Go first",IF(M493&gt;=5,"B - Next","C - Later")))</f>
        <v/>
      </c>
      <c r="O493" t="inlineStr">
        <is>
          <t>To research</t>
        </is>
      </c>
      <c r="P493" t="inlineStr"/>
    </row>
    <row r="494">
      <c r="A494" t="inlineStr">
        <is>
          <t>ارز كبسة</t>
        </is>
      </c>
      <c r="B494" t="inlineStr">
        <is>
          <t>Arabic</t>
        </is>
      </c>
      <c r="C494" t="inlineStr">
        <is>
          <t>Arabic</t>
        </is>
      </c>
      <c r="D494" t="inlineStr">
        <is>
          <t>Transactional</t>
        </is>
      </c>
      <c r="E494" t="inlineStr">
        <is>
          <t>BOFU</t>
        </is>
      </c>
      <c r="F494" t="inlineStr">
        <is>
          <t>UAE (Arabic)</t>
        </is>
      </c>
      <c r="G494" t="inlineStr">
        <is>
          <t>Arabic version pages (/ar/)</t>
        </is>
      </c>
      <c r="H494" t="inlineStr">
        <is>
          <t>Arabic landing</t>
        </is>
      </c>
      <c r="I494">
        <f>IFERROR(VLOOKUP($A494,'Semrush Import'!$A:$D,2,FALSE),"")</f>
        <v/>
      </c>
      <c r="J494">
        <f>IFERROR(VLOOKUP($A494,'Semrush Import'!$A:$D,3,FALSE),"")</f>
        <v/>
      </c>
      <c r="K494">
        <f>IFERROR(VLOOKUP($A494,'Semrush Import'!$A:$D,4,FALSE),"")</f>
        <v/>
      </c>
      <c r="L494">
        <f>IFERROR(VLOOKUP($A494,'KP Import'!$A:$B,2,FALSE),"")</f>
        <v/>
      </c>
      <c r="M494">
        <f>IF(I494="","",ROUND(I494/(J494+10),1))</f>
        <v/>
      </c>
      <c r="N494">
        <f>IF(M494="","",IF(M494&gt;=20,"A - Go first",IF(M494&gt;=5,"B - Next","C - Later")))</f>
        <v/>
      </c>
      <c r="O494" t="inlineStr">
        <is>
          <t>To research</t>
        </is>
      </c>
      <c r="P494" t="inlineStr"/>
    </row>
  </sheetData>
  <autoFilter ref="A1:P4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4" t="inlineStr">
        <is>
          <t>Keyword</t>
        </is>
      </c>
      <c r="B1" s="4" t="inlineStr">
        <is>
          <t>Search Volume</t>
        </is>
      </c>
      <c r="C1" s="4" t="inlineStr">
        <is>
          <t>Keyword Difficulty (KD %)</t>
        </is>
      </c>
      <c r="D1" s="4" t="inlineStr">
        <is>
          <t>CPC (USD)</t>
        </is>
      </c>
      <c r="E1" s="4" t="inlineStr">
        <is>
          <t>Competition</t>
        </is>
      </c>
      <c r="F1" s="4" t="inlineStr">
        <is>
          <t>Intent (Semrush)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4" t="inlineStr">
        <is>
          <t>Keyword</t>
        </is>
      </c>
      <c r="B1" s="4" t="inlineStr">
        <is>
          <t>Avg Monthly Searches</t>
        </is>
      </c>
      <c r="C1" s="4" t="inlineStr">
        <is>
          <t>Competition</t>
        </is>
      </c>
      <c r="D1" s="4" t="inlineStr">
        <is>
          <t>Top of page bid (low)</t>
        </is>
      </c>
      <c r="E1" s="4" t="inlineStr">
        <is>
          <t>Top of page bid (high)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48" customWidth="1" min="3" max="3"/>
    <col width="70" customWidth="1" min="4" max="4"/>
    <col width="22" customWidth="1" min="5" max="5"/>
    <col width="60" customWidth="1" min="6" max="6"/>
  </cols>
  <sheetData>
    <row r="1">
      <c r="A1" s="3" t="inlineStr">
        <is>
          <t>Location</t>
        </is>
      </c>
      <c r="B1" s="3" t="inlineStr">
        <is>
          <t>Level</t>
        </is>
      </c>
      <c r="C1" s="3" t="inlineStr">
        <is>
          <t>Suggested page</t>
        </is>
      </c>
      <c r="D1" s="3" t="inlineStr">
        <is>
          <t>Keywords to target</t>
        </is>
      </c>
      <c r="E1" s="3" t="inlineStr">
        <is>
          <t>Likely priority (judgement, verify with volume)</t>
        </is>
      </c>
      <c r="F1" s="3" t="inlineStr">
        <is>
          <t>Notes</t>
        </is>
      </c>
    </row>
    <row r="2">
      <c r="A2" t="inlineStr">
        <is>
          <t>Dubai</t>
        </is>
      </c>
      <c r="B2" t="inlineStr">
        <is>
          <t>Emirate</t>
        </is>
      </c>
      <c r="C2" t="inlineStr">
        <is>
          <t>/dubai-rice-delivery/ (suggested)</t>
        </is>
      </c>
      <c r="D2" t="inlineStr">
        <is>
          <t>rice delivery dubai; basmati rice dubai; rice wholesale dubai; rice supplier dubai</t>
        </is>
      </c>
      <c r="E2" t="inlineStr">
        <is>
          <t>High</t>
        </is>
      </c>
      <c r="F2" t="inlineStr">
        <is>
          <t>Own landing page with delivery info, local FAQ, LocalBusiness/Service schema</t>
        </is>
      </c>
    </row>
    <row r="3">
      <c r="A3" t="inlineStr">
        <is>
          <t>Abu Dhabi</t>
        </is>
      </c>
      <c r="B3" t="inlineStr">
        <is>
          <t>Emirate</t>
        </is>
      </c>
      <c r="C3" t="inlineStr">
        <is>
          <t>/abu-dhabi-rice-delivery/ (suggested)</t>
        </is>
      </c>
      <c r="D3" t="inlineStr">
        <is>
          <t>rice delivery abu dhabi; basmati rice abu dhabi; rice wholesale abu dhabi; rice supplier abu dhabi</t>
        </is>
      </c>
      <c r="E3" t="inlineStr">
        <is>
          <t>High</t>
        </is>
      </c>
      <c r="F3" t="inlineStr">
        <is>
          <t>Own landing page with delivery info, local FAQ, LocalBusiness/Service schema</t>
        </is>
      </c>
    </row>
    <row r="4">
      <c r="A4" t="inlineStr">
        <is>
          <t>Sharjah</t>
        </is>
      </c>
      <c r="B4" t="inlineStr">
        <is>
          <t>Emirate</t>
        </is>
      </c>
      <c r="C4" t="inlineStr">
        <is>
          <t>/sharjah-rice-delivery/ (suggested)</t>
        </is>
      </c>
      <c r="D4" t="inlineStr">
        <is>
          <t>rice delivery sharjah; basmati rice sharjah; rice wholesale sharjah; rice supplier sharjah</t>
        </is>
      </c>
      <c r="E4" t="inlineStr">
        <is>
          <t>High</t>
        </is>
      </c>
      <c r="F4" t="inlineStr">
        <is>
          <t>Own landing page with delivery info, local FAQ, LocalBusiness/Service schema</t>
        </is>
      </c>
    </row>
    <row r="5">
      <c r="A5" t="inlineStr">
        <is>
          <t>Ajman</t>
        </is>
      </c>
      <c r="B5" t="inlineStr">
        <is>
          <t>Emirate</t>
        </is>
      </c>
      <c r="C5" t="inlineStr">
        <is>
          <t>/ajman-rice-delivery/ (suggested)</t>
        </is>
      </c>
      <c r="D5" t="inlineStr">
        <is>
          <t>rice delivery ajman; basmati rice ajman; rice wholesale ajman; rice supplier ajman</t>
        </is>
      </c>
      <c r="E5" t="inlineStr">
        <is>
          <t>Medium</t>
        </is>
      </c>
      <c r="F5" t="inlineStr">
        <is>
          <t>Own landing page with delivery info, local FAQ, LocalBusiness/Service schema</t>
        </is>
      </c>
    </row>
    <row r="6">
      <c r="A6" t="inlineStr">
        <is>
          <t>Ras Al Khaimah</t>
        </is>
      </c>
      <c r="B6" t="inlineStr">
        <is>
          <t>Emirate</t>
        </is>
      </c>
      <c r="C6" t="inlineStr">
        <is>
          <t>/ras-al-khaimah-rice-delivery/ (suggested)</t>
        </is>
      </c>
      <c r="D6" t="inlineStr">
        <is>
          <t>rice delivery ras al khaimah; basmati rice ras al khaimah; rice wholesale ras al khaimah; rice supplier ras al khaimah</t>
        </is>
      </c>
      <c r="E6" t="inlineStr">
        <is>
          <t>Medium</t>
        </is>
      </c>
      <c r="F6" t="inlineStr">
        <is>
          <t>Own landing page with delivery info, local FAQ, LocalBusiness/Service schema</t>
        </is>
      </c>
    </row>
    <row r="7">
      <c r="A7" t="inlineStr">
        <is>
          <t>Fujairah</t>
        </is>
      </c>
      <c r="B7" t="inlineStr">
        <is>
          <t>Emirate</t>
        </is>
      </c>
      <c r="C7" t="inlineStr">
        <is>
          <t>/fujairah-rice-delivery/ (suggested)</t>
        </is>
      </c>
      <c r="D7" t="inlineStr">
        <is>
          <t>rice delivery fujairah; basmati rice fujairah; rice wholesale fujairah; rice supplier fujairah</t>
        </is>
      </c>
      <c r="E7" t="inlineStr">
        <is>
          <t>Medium</t>
        </is>
      </c>
      <c r="F7" t="inlineStr">
        <is>
          <t>Own landing page with delivery info, local FAQ, LocalBusiness/Service schema</t>
        </is>
      </c>
    </row>
    <row r="8">
      <c r="A8" t="inlineStr">
        <is>
          <t>Umm Al Quwain</t>
        </is>
      </c>
      <c r="B8" t="inlineStr">
        <is>
          <t>Emirate</t>
        </is>
      </c>
      <c r="C8" t="inlineStr">
        <is>
          <t>/umm-al-quwain-rice-delivery/ (suggested)</t>
        </is>
      </c>
      <c r="D8" t="inlineStr">
        <is>
          <t>rice delivery umm al quwain; basmati rice umm al quwain; rice wholesale umm al quwain; rice supplier umm al quwain</t>
        </is>
      </c>
      <c r="E8" t="inlineStr">
        <is>
          <t>Medium</t>
        </is>
      </c>
      <c r="F8" t="inlineStr">
        <is>
          <t>Own landing page with delivery info, local FAQ, LocalBusiness/Service schema</t>
        </is>
      </c>
    </row>
    <row r="9">
      <c r="A9" t="inlineStr">
        <is>
          <t>Al Ain</t>
        </is>
      </c>
      <c r="B9" t="inlineStr">
        <is>
          <t>Emirate</t>
        </is>
      </c>
      <c r="C9" t="inlineStr">
        <is>
          <t>/al-ain-rice-delivery/ (suggested)</t>
        </is>
      </c>
      <c r="D9" t="inlineStr">
        <is>
          <t>rice delivery al ain; basmati rice al ain; rice wholesale al ain; rice supplier al ain</t>
        </is>
      </c>
      <c r="E9" t="inlineStr">
        <is>
          <t>Medium</t>
        </is>
      </c>
      <c r="F9" t="inlineStr">
        <is>
          <t>Own landing page with delivery info, local FAQ, LocalBusiness/Service schema</t>
        </is>
      </c>
    </row>
    <row r="10">
      <c r="A10" t="inlineStr">
        <is>
          <t>Dubai - Deira</t>
        </is>
      </c>
      <c r="B10" t="inlineStr">
        <is>
          <t>Area</t>
        </is>
      </c>
      <c r="C10" t="inlineStr">
        <is>
          <t>Section on Dubai page (or own page if volume proves)</t>
        </is>
      </c>
      <c r="D10" t="inlineStr">
        <is>
          <t>rice delivery deira; rice wholesale deira</t>
        </is>
      </c>
      <c r="E10" t="inlineStr">
        <is>
          <t>Medium</t>
        </is>
      </c>
      <c r="F10" t="inlineStr">
        <is>
          <t>Add to 'areas we deliver' block; create page only if Semrush shows volume</t>
        </is>
      </c>
    </row>
    <row r="11">
      <c r="A11" t="inlineStr">
        <is>
          <t>Dubai - Bur Dubai</t>
        </is>
      </c>
      <c r="B11" t="inlineStr">
        <is>
          <t>Area</t>
        </is>
      </c>
      <c r="C11" t="inlineStr">
        <is>
          <t>Section on Dubai page (or own page if volume proves)</t>
        </is>
      </c>
      <c r="D11" t="inlineStr">
        <is>
          <t>rice delivery bur dubai; rice wholesale bur dubai</t>
        </is>
      </c>
      <c r="E11" t="inlineStr">
        <is>
          <t>Low</t>
        </is>
      </c>
      <c r="F11" t="inlineStr">
        <is>
          <t>Add to 'areas we deliver' block; create page only if Semrush shows volume</t>
        </is>
      </c>
    </row>
    <row r="12">
      <c r="A12" t="inlineStr">
        <is>
          <t>Dubai - Al Quoz</t>
        </is>
      </c>
      <c r="B12" t="inlineStr">
        <is>
          <t>Area</t>
        </is>
      </c>
      <c r="C12" t="inlineStr">
        <is>
          <t>Section on Dubai page (or own page if volume proves)</t>
        </is>
      </c>
      <c r="D12" t="inlineStr">
        <is>
          <t>rice delivery al quoz; rice wholesale al quoz</t>
        </is>
      </c>
      <c r="E12" t="inlineStr">
        <is>
          <t>Medium</t>
        </is>
      </c>
      <c r="F12" t="inlineStr">
        <is>
          <t>Add to 'areas we deliver' block; create page only if Semrush shows volume</t>
        </is>
      </c>
    </row>
    <row r="13">
      <c r="A13" t="inlineStr">
        <is>
          <t>Dubai - Karama</t>
        </is>
      </c>
      <c r="B13" t="inlineStr">
        <is>
          <t>Area</t>
        </is>
      </c>
      <c r="C13" t="inlineStr">
        <is>
          <t>Section on Dubai page (or own page if volume proves)</t>
        </is>
      </c>
      <c r="D13" t="inlineStr">
        <is>
          <t>rice delivery karama; rice wholesale karama</t>
        </is>
      </c>
      <c r="E13" t="inlineStr">
        <is>
          <t>Medium</t>
        </is>
      </c>
      <c r="F13" t="inlineStr">
        <is>
          <t>Add to 'areas we deliver' block; create page only if Semrush shows volume</t>
        </is>
      </c>
    </row>
    <row r="14">
      <c r="A14" t="inlineStr">
        <is>
          <t>Dubai - Satwa</t>
        </is>
      </c>
      <c r="B14" t="inlineStr">
        <is>
          <t>Area</t>
        </is>
      </c>
      <c r="C14" t="inlineStr">
        <is>
          <t>Section on Dubai page (or own page if volume proves)</t>
        </is>
      </c>
      <c r="D14" t="inlineStr">
        <is>
          <t>rice delivery satwa; rice wholesale satwa</t>
        </is>
      </c>
      <c r="E14" t="inlineStr">
        <is>
          <t>Low</t>
        </is>
      </c>
      <c r="F14" t="inlineStr">
        <is>
          <t>Add to 'areas we deliver' block; create page only if Semrush shows volume</t>
        </is>
      </c>
    </row>
    <row r="15">
      <c r="A15" t="inlineStr">
        <is>
          <t>Dubai - Jebel Ali</t>
        </is>
      </c>
      <c r="B15" t="inlineStr">
        <is>
          <t>Area</t>
        </is>
      </c>
      <c r="C15" t="inlineStr">
        <is>
          <t>Section on Dubai page (or own page if volume proves)</t>
        </is>
      </c>
      <c r="D15" t="inlineStr">
        <is>
          <t>rice delivery jebel ali; rice wholesale jebel ali</t>
        </is>
      </c>
      <c r="E15" t="inlineStr">
        <is>
          <t>Medium</t>
        </is>
      </c>
      <c r="F15" t="inlineStr">
        <is>
          <t>Add to 'areas we deliver' block; create page only if Semrush shows volume</t>
        </is>
      </c>
    </row>
    <row r="16">
      <c r="A16" t="inlineStr">
        <is>
          <t>Dubai - JLT</t>
        </is>
      </c>
      <c r="B16" t="inlineStr">
        <is>
          <t>Area</t>
        </is>
      </c>
      <c r="C16" t="inlineStr">
        <is>
          <t>Section on Dubai page (or own page if volume proves)</t>
        </is>
      </c>
      <c r="D16" t="inlineStr">
        <is>
          <t>rice delivery jlt; rice wholesale jlt</t>
        </is>
      </c>
      <c r="E16" t="inlineStr">
        <is>
          <t>Medium</t>
        </is>
      </c>
      <c r="F16" t="inlineStr">
        <is>
          <t>Add to 'areas we deliver' block; create page only if Semrush shows volume</t>
        </is>
      </c>
    </row>
    <row r="17">
      <c r="A17" t="inlineStr">
        <is>
          <t>Dubai - Dubai Marina</t>
        </is>
      </c>
      <c r="B17" t="inlineStr">
        <is>
          <t>Area</t>
        </is>
      </c>
      <c r="C17" t="inlineStr">
        <is>
          <t>Section on Dubai page (or own page if volume proves)</t>
        </is>
      </c>
      <c r="D17" t="inlineStr">
        <is>
          <t>rice delivery dubai marina; rice wholesale dubai marina</t>
        </is>
      </c>
      <c r="E17" t="inlineStr">
        <is>
          <t>Medium</t>
        </is>
      </c>
      <c r="F17" t="inlineStr">
        <is>
          <t>Add to 'areas we deliver' block; create page only if Semrush shows volume</t>
        </is>
      </c>
    </row>
    <row r="18">
      <c r="A18" t="inlineStr">
        <is>
          <t>Dubai - Business Bay</t>
        </is>
      </c>
      <c r="B18" t="inlineStr">
        <is>
          <t>Area</t>
        </is>
      </c>
      <c r="C18" t="inlineStr">
        <is>
          <t>Section on Dubai page (or own page if volume proves)</t>
        </is>
      </c>
      <c r="D18" t="inlineStr">
        <is>
          <t>rice delivery business bay; rice wholesale business bay</t>
        </is>
      </c>
      <c r="E18" t="inlineStr">
        <is>
          <t>Low</t>
        </is>
      </c>
      <c r="F18" t="inlineStr">
        <is>
          <t>Add to 'areas we deliver' block; create page only if Semrush shows volume</t>
        </is>
      </c>
    </row>
    <row r="19">
      <c r="A19" t="inlineStr">
        <is>
          <t>Dubai - Downtown Dubai</t>
        </is>
      </c>
      <c r="B19" t="inlineStr">
        <is>
          <t>Area</t>
        </is>
      </c>
      <c r="C19" t="inlineStr">
        <is>
          <t>Section on Dubai page (or own page if volume proves)</t>
        </is>
      </c>
      <c r="D19" t="inlineStr">
        <is>
          <t>rice delivery downtown dubai; rice wholesale downtown dubai</t>
        </is>
      </c>
      <c r="E19" t="inlineStr">
        <is>
          <t>Low</t>
        </is>
      </c>
      <c r="F19" t="inlineStr">
        <is>
          <t>Add to 'areas we deliver' block; create page only if Semrush shows volume</t>
        </is>
      </c>
    </row>
    <row r="20">
      <c r="A20" t="inlineStr">
        <is>
          <t>Dubai - International City</t>
        </is>
      </c>
      <c r="B20" t="inlineStr">
        <is>
          <t>Area</t>
        </is>
      </c>
      <c r="C20" t="inlineStr">
        <is>
          <t>Section on Dubai page (or own page if volume proves)</t>
        </is>
      </c>
      <c r="D20" t="inlineStr">
        <is>
          <t>rice delivery international city; rice wholesale international city</t>
        </is>
      </c>
      <c r="E20" t="inlineStr">
        <is>
          <t>Low</t>
        </is>
      </c>
      <c r="F20" t="inlineStr">
        <is>
          <t>Add to 'areas we deliver' block; create page only if Semrush shows volume</t>
        </is>
      </c>
    </row>
    <row r="21">
      <c r="A21" t="inlineStr">
        <is>
          <t>Dubai - Al Qusais</t>
        </is>
      </c>
      <c r="B21" t="inlineStr">
        <is>
          <t>Area</t>
        </is>
      </c>
      <c r="C21" t="inlineStr">
        <is>
          <t>Section on Dubai page (or own page if volume proves)</t>
        </is>
      </c>
      <c r="D21" t="inlineStr">
        <is>
          <t>rice delivery al qusais; rice wholesale al qusais</t>
        </is>
      </c>
      <c r="E21" t="inlineStr">
        <is>
          <t>Medium</t>
        </is>
      </c>
      <c r="F21" t="inlineStr">
        <is>
          <t>Add to 'areas we deliver' block; create page only if Semrush shows volume</t>
        </is>
      </c>
    </row>
    <row r="22">
      <c r="A22" t="inlineStr">
        <is>
          <t>Dubai - Dubai Silicon Oasis</t>
        </is>
      </c>
      <c r="B22" t="inlineStr">
        <is>
          <t>Area</t>
        </is>
      </c>
      <c r="C22" t="inlineStr">
        <is>
          <t>Section on Dubai page (or own page if volume proves)</t>
        </is>
      </c>
      <c r="D22" t="inlineStr">
        <is>
          <t>rice delivery dubai silicon oasis; rice wholesale dubai silicon oasis</t>
        </is>
      </c>
      <c r="E22" t="inlineStr">
        <is>
          <t>Low</t>
        </is>
      </c>
      <c r="F22" t="inlineStr">
        <is>
          <t>Add to 'areas we deliver' block; create page only if Semrush shows volume</t>
        </is>
      </c>
    </row>
    <row r="23">
      <c r="A23" t="inlineStr">
        <is>
          <t>Dubai - Mirdif</t>
        </is>
      </c>
      <c r="B23" t="inlineStr">
        <is>
          <t>Area</t>
        </is>
      </c>
      <c r="C23" t="inlineStr">
        <is>
          <t>Section on Dubai page (or own page if volume proves)</t>
        </is>
      </c>
      <c r="D23" t="inlineStr">
        <is>
          <t>rice delivery mirdif; rice wholesale mirdif</t>
        </is>
      </c>
      <c r="E23" t="inlineStr">
        <is>
          <t>Low</t>
        </is>
      </c>
      <c r="F23" t="inlineStr">
        <is>
          <t>Add to 'areas we deliver' block; create page only if Semrush shows volume</t>
        </is>
      </c>
    </row>
    <row r="24">
      <c r="A24" t="inlineStr">
        <is>
          <t>Dubai - Jumeirah</t>
        </is>
      </c>
      <c r="B24" t="inlineStr">
        <is>
          <t>Area</t>
        </is>
      </c>
      <c r="C24" t="inlineStr">
        <is>
          <t>Section on Dubai page (or own page if volume proves)</t>
        </is>
      </c>
      <c r="D24" t="inlineStr">
        <is>
          <t>rice delivery jumeirah; rice wholesale jumeirah</t>
        </is>
      </c>
      <c r="E24" t="inlineStr">
        <is>
          <t>Low</t>
        </is>
      </c>
      <c r="F24" t="inlineStr">
        <is>
          <t>Add to 'areas we deliver' block; create page only if Semrush shows volume</t>
        </is>
      </c>
    </row>
    <row r="25">
      <c r="A25" t="inlineStr">
        <is>
          <t>Dubai - Ras Al Khor</t>
        </is>
      </c>
      <c r="B25" t="inlineStr">
        <is>
          <t>Area</t>
        </is>
      </c>
      <c r="C25" t="inlineStr">
        <is>
          <t>Section on Dubai page (or own page if volume proves)</t>
        </is>
      </c>
      <c r="D25" t="inlineStr">
        <is>
          <t>rice delivery ras al khor; rice wholesale ras al khor</t>
        </is>
      </c>
      <c r="E25" t="inlineStr">
        <is>
          <t>Low</t>
        </is>
      </c>
      <c r="F25" t="inlineStr">
        <is>
          <t>Add to 'areas we deliver' block; create page only if Semrush shows volume</t>
        </is>
      </c>
    </row>
    <row r="26">
      <c r="A26" t="inlineStr">
        <is>
          <t>Dubai - Al Barsha</t>
        </is>
      </c>
      <c r="B26" t="inlineStr">
        <is>
          <t>Area</t>
        </is>
      </c>
      <c r="C26" t="inlineStr">
        <is>
          <t>Section on Dubai page (or own page if volume proves)</t>
        </is>
      </c>
      <c r="D26" t="inlineStr">
        <is>
          <t>rice delivery al barsha; rice wholesale al barsha</t>
        </is>
      </c>
      <c r="E26" t="inlineStr">
        <is>
          <t>Low</t>
        </is>
      </c>
      <c r="F26" t="inlineStr">
        <is>
          <t>Add to 'areas we deliver' block; create page only if Semrush shows volume</t>
        </is>
      </c>
    </row>
    <row r="27">
      <c r="A27" t="inlineStr">
        <is>
          <t>Dubai - Dubai Investment Park</t>
        </is>
      </c>
      <c r="B27" t="inlineStr">
        <is>
          <t>Area</t>
        </is>
      </c>
      <c r="C27" t="inlineStr">
        <is>
          <t>Section on Dubai page (or own page if volume proves)</t>
        </is>
      </c>
      <c r="D27" t="inlineStr">
        <is>
          <t>rice delivery dubai investment park; rice wholesale dubai investment park</t>
        </is>
      </c>
      <c r="E27" t="inlineStr">
        <is>
          <t>Low</t>
        </is>
      </c>
      <c r="F27" t="inlineStr">
        <is>
          <t>Add to 'areas we deliver' block; create page only if Semrush shows volume</t>
        </is>
      </c>
    </row>
    <row r="28">
      <c r="A28" t="inlineStr">
        <is>
          <t>Sharjah - Al Nahda</t>
        </is>
      </c>
      <c r="B28" t="inlineStr">
        <is>
          <t>Area</t>
        </is>
      </c>
      <c r="C28" t="inlineStr">
        <is>
          <t>Section on Sharjah page</t>
        </is>
      </c>
      <c r="D28" t="inlineStr">
        <is>
          <t>rice wholesale al nahda sharjah</t>
        </is>
      </c>
      <c r="E28" t="inlineStr">
        <is>
          <t>Low</t>
        </is>
      </c>
      <c r="F28" t="inlineStr">
        <is>
          <t>Include in Sharjah page</t>
        </is>
      </c>
    </row>
    <row r="29">
      <c r="A29" t="inlineStr">
        <is>
          <t>Sharjah - Industrial Area</t>
        </is>
      </c>
      <c r="B29" t="inlineStr">
        <is>
          <t>Area</t>
        </is>
      </c>
      <c r="C29" t="inlineStr">
        <is>
          <t>Section on Sharjah page</t>
        </is>
      </c>
      <c r="D29" t="inlineStr">
        <is>
          <t>rice wholesale industrial area sharjah</t>
        </is>
      </c>
      <c r="E29" t="inlineStr">
        <is>
          <t>Low</t>
        </is>
      </c>
      <c r="F29" t="inlineStr">
        <is>
          <t>Include in Sharjah page</t>
        </is>
      </c>
    </row>
    <row r="30">
      <c r="A30" t="inlineStr">
        <is>
          <t>Sharjah - Al Majaz</t>
        </is>
      </c>
      <c r="B30" t="inlineStr">
        <is>
          <t>Area</t>
        </is>
      </c>
      <c r="C30" t="inlineStr">
        <is>
          <t>Section on Sharjah page</t>
        </is>
      </c>
      <c r="D30" t="inlineStr">
        <is>
          <t>rice wholesale al majaz sharjah</t>
        </is>
      </c>
      <c r="E30" t="inlineStr">
        <is>
          <t>Low</t>
        </is>
      </c>
      <c r="F30" t="inlineStr">
        <is>
          <t>Include in Sharjah page</t>
        </is>
      </c>
    </row>
    <row r="31">
      <c r="A31" t="inlineStr">
        <is>
          <t>Sharjah - Muwaileh</t>
        </is>
      </c>
      <c r="B31" t="inlineStr">
        <is>
          <t>Area</t>
        </is>
      </c>
      <c r="C31" t="inlineStr">
        <is>
          <t>Section on Sharjah page</t>
        </is>
      </c>
      <c r="D31" t="inlineStr">
        <is>
          <t>rice wholesale muwaileh sharjah</t>
        </is>
      </c>
      <c r="E31" t="inlineStr">
        <is>
          <t>Low</t>
        </is>
      </c>
      <c r="F31" t="inlineStr">
        <is>
          <t>Include in Sharjah page</t>
        </is>
      </c>
    </row>
  </sheetData>
  <autoFilter ref="A1:F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8" customWidth="1" min="3" max="3"/>
    <col width="70" customWidth="1" min="4" max="4"/>
    <col width="60" customWidth="1" min="5" max="5"/>
    <col width="36" customWidth="1" min="6" max="6"/>
  </cols>
  <sheetData>
    <row r="1">
      <c r="A1" s="3" t="inlineStr">
        <is>
          <t>Page</t>
        </is>
      </c>
      <c r="B1" s="3" t="inlineStr">
        <is>
          <t>Suggested URL</t>
        </is>
      </c>
      <c r="C1" s="3" t="inlineStr">
        <is>
          <t>Primary keyword</t>
        </is>
      </c>
      <c r="D1" s="3" t="inlineStr">
        <is>
          <t>Secondary keywords</t>
        </is>
      </c>
      <c r="E1" s="3" t="inlineStr">
        <is>
          <t>Suggested title tag (&lt;=60 chars check)</t>
        </is>
      </c>
      <c r="F1" s="3" t="inlineStr">
        <is>
          <t>Suggested H1</t>
        </is>
      </c>
    </row>
    <row r="2">
      <c r="A2" t="inlineStr">
        <is>
          <t>Home</t>
        </is>
      </c>
      <c r="B2" t="inlineStr">
        <is>
          <t>/</t>
        </is>
      </c>
      <c r="C2" t="inlineStr">
        <is>
          <t>buy rice online uae</t>
        </is>
      </c>
      <c r="D2" t="inlineStr">
        <is>
          <t>rice delivery dubai; rice online dubai; basmati rice uae; rice wholesale uae</t>
        </is>
      </c>
      <c r="E2" t="inlineStr">
        <is>
          <t>Buy Rice Online in UAE | Basmati &amp; Wholesale Rice Delivery Dubai</t>
        </is>
      </c>
      <c r="F2" t="inlineStr">
        <is>
          <t>Premium Rice Delivered Across Dubai &amp; UAE</t>
        </is>
      </c>
    </row>
    <row r="3">
      <c r="A3" t="inlineStr">
        <is>
          <t>Basmati Rice (category)</t>
        </is>
      </c>
      <c r="B3" t="inlineStr">
        <is>
          <t>/basmati-rice/</t>
        </is>
      </c>
      <c r="C3" t="inlineStr">
        <is>
          <t>basmati rice dubai</t>
        </is>
      </c>
      <c r="D3" t="inlineStr">
        <is>
          <t>buy basmati rice online; basmati rice price in uae; best basmati rice in uae; aged basmati</t>
        </is>
      </c>
      <c r="E3" t="inlineStr">
        <is>
          <t>Basmati Rice Online Dubai - Price, Brands &amp; Delivery</t>
        </is>
      </c>
      <c r="F3" t="inlineStr">
        <is>
          <t>Basmati Rice in Dubai</t>
        </is>
      </c>
    </row>
    <row r="4">
      <c r="A4" t="inlineStr">
        <is>
          <t>1121 Basmati (product/sub-cat)</t>
        </is>
      </c>
      <c r="B4" t="inlineStr">
        <is>
          <t>/basmati-rice/1121/</t>
        </is>
      </c>
      <c r="C4" t="inlineStr">
        <is>
          <t>1121 basmati rice</t>
        </is>
      </c>
      <c r="D4" t="inlineStr">
        <is>
          <t>1121 basmati rice price in uae; extra long grain basmati</t>
        </is>
      </c>
      <c r="E4" t="inlineStr">
        <is>
          <t>1121 Basmati Rice UAE - Buy Online 5kg/10kg/20kg</t>
        </is>
      </c>
      <c r="F4" t="inlineStr">
        <is>
          <t>1121 Basmati Rice</t>
        </is>
      </c>
    </row>
    <row r="5">
      <c r="A5" t="inlineStr">
        <is>
          <t>Sella Basmati</t>
        </is>
      </c>
      <c r="B5" t="inlineStr">
        <is>
          <t>/basmati-rice/sella/</t>
        </is>
      </c>
      <c r="C5" t="inlineStr">
        <is>
          <t>sella basmati rice</t>
        </is>
      </c>
      <c r="D5" t="inlineStr">
        <is>
          <t>golden sella basmati rice; white sella basmati rice; sella basmati price in uae</t>
        </is>
      </c>
      <c r="E5" t="inlineStr">
        <is>
          <t>Sella Basmati Rice UAE - Golden &amp; White Sella</t>
        </is>
      </c>
      <c r="F5" t="inlineStr">
        <is>
          <t>Sella Basmati Rice</t>
        </is>
      </c>
    </row>
    <row r="6">
      <c r="A6" t="inlineStr">
        <is>
          <t>Steam Basmati</t>
        </is>
      </c>
      <c r="B6" t="inlineStr">
        <is>
          <t>/basmati-rice/steam/</t>
        </is>
      </c>
      <c r="C6" t="inlineStr">
        <is>
          <t>steam basmati rice</t>
        </is>
      </c>
      <c r="D6" t="inlineStr">
        <is>
          <t>steam basmati rice price in uae</t>
        </is>
      </c>
      <c r="E6" t="inlineStr">
        <is>
          <t>Steam Basmati Rice UAE - Buy Online</t>
        </is>
      </c>
      <c r="F6" t="inlineStr">
        <is>
          <t>Steam Basmati Rice</t>
        </is>
      </c>
    </row>
    <row r="7">
      <c r="A7" t="inlineStr">
        <is>
          <t>Non-Basmati (category)</t>
        </is>
      </c>
      <c r="B7" t="inlineStr">
        <is>
          <t>/non-basmati-rice/</t>
        </is>
      </c>
      <c r="C7" t="inlineStr">
        <is>
          <t>parboiled rice</t>
        </is>
      </c>
      <c r="D7" t="inlineStr">
        <is>
          <t>raw rice; long grain white rice; medium grain rice</t>
        </is>
      </c>
      <c r="E7" t="inlineStr">
        <is>
          <t>Non-Basmati Rice UAE - Parboiled, Raw, Long Grain</t>
        </is>
      </c>
      <c r="F7" t="inlineStr">
        <is>
          <t>Non-Basmati Rice</t>
        </is>
      </c>
    </row>
    <row r="8">
      <c r="A8" t="inlineStr">
        <is>
          <t>South Indian Rice</t>
        </is>
      </c>
      <c r="B8" t="inlineStr">
        <is>
          <t>/south-indian-rice/</t>
        </is>
      </c>
      <c r="C8" t="inlineStr">
        <is>
          <t>sona masoori rice</t>
        </is>
      </c>
      <c r="D8" t="inlineStr">
        <is>
          <t>ponni rice; matta rice; kerala matta rice; idli rice</t>
        </is>
      </c>
      <c r="E8" t="inlineStr">
        <is>
          <t>South Indian Rice UAE - Sona Masoori, Matta, Ponni</t>
        </is>
      </c>
      <c r="F8" t="inlineStr">
        <is>
          <t>South Indian Rice in UAE</t>
        </is>
      </c>
    </row>
    <row r="9">
      <c r="A9" t="inlineStr">
        <is>
          <t>Specialty / Healthy Rice</t>
        </is>
      </c>
      <c r="B9" t="inlineStr">
        <is>
          <t>/specialty-rice/</t>
        </is>
      </c>
      <c r="C9" t="inlineStr">
        <is>
          <t>jasmine rice</t>
        </is>
      </c>
      <c r="D9" t="inlineStr">
        <is>
          <t>sushi rice; arborio rice; brown rice; red rice; black rice; wild rice</t>
        </is>
      </c>
      <c r="E9" t="inlineStr">
        <is>
          <t>Jasmine, Brown &amp; Specialty Rice UAE</t>
        </is>
      </c>
      <c r="F9" t="inlineStr">
        <is>
          <t>Specialty &amp; Healthy Rice</t>
        </is>
      </c>
    </row>
    <row r="10">
      <c r="A10" t="inlineStr">
        <is>
          <t>Wholesale / Bulk (B2B)</t>
        </is>
      </c>
      <c r="B10" t="inlineStr">
        <is>
          <t>/rice-wholesale-dubai/</t>
        </is>
      </c>
      <c r="C10" t="inlineStr">
        <is>
          <t>rice wholesale dubai</t>
        </is>
      </c>
      <c r="D10" t="inlineStr">
        <is>
          <t>bulk rice dubai; rice supplier uae; rice distributor dubai; rice for restaurants dubai; 25kg/50kg</t>
        </is>
      </c>
      <c r="E10" t="inlineStr">
        <is>
          <t>Rice Wholesale Dubai - Bulk Rice Supplier UAE</t>
        </is>
      </c>
      <c r="F10" t="inlineStr">
        <is>
          <t>Bulk Rice Supplier in Dubai &amp; UAE</t>
        </is>
      </c>
    </row>
    <row r="11">
      <c r="A11" t="inlineStr">
        <is>
          <t>Delivery page</t>
        </is>
      </c>
      <c r="B11" t="inlineStr">
        <is>
          <t>/rice-delivery-dubai/</t>
        </is>
      </c>
      <c r="C11" t="inlineStr">
        <is>
          <t>rice delivery dubai</t>
        </is>
      </c>
      <c r="D11" t="inlineStr">
        <is>
          <t>same day rice delivery dubai; rice home delivery uae; cash on delivery rice</t>
        </is>
      </c>
      <c r="E11" t="inlineStr">
        <is>
          <t>Rice Delivery Dubai - Same Day Home Delivery</t>
        </is>
      </c>
      <c r="F11" t="inlineStr">
        <is>
          <t>Rice Delivery in Dubai</t>
        </is>
      </c>
    </row>
    <row r="12">
      <c r="A12" t="inlineStr">
        <is>
          <t>Biryani Rice</t>
        </is>
      </c>
      <c r="B12" t="inlineStr">
        <is>
          <t>/biryani-rice/</t>
        </is>
      </c>
      <c r="C12" t="inlineStr">
        <is>
          <t>biryani rice</t>
        </is>
      </c>
      <c r="D12" t="inlineStr">
        <is>
          <t>rice for biryani; best rice for biryani in dubai</t>
        </is>
      </c>
      <c r="E12" t="inlineStr">
        <is>
          <t>Best Rice for Biryani in Dubai &amp; UAE</t>
        </is>
      </c>
      <c r="F12" t="inlineStr">
        <is>
          <t>Biryani Rice</t>
        </is>
      </c>
    </row>
    <row r="13">
      <c r="A13" t="inlineStr">
        <is>
          <t>Arabic / Kabsa Rice</t>
        </is>
      </c>
      <c r="B13" t="inlineStr">
        <is>
          <t>/kabsa-mandi-rice/</t>
        </is>
      </c>
      <c r="C13" t="inlineStr">
        <is>
          <t>rice for kabsa</t>
        </is>
      </c>
      <c r="D13" t="inlineStr">
        <is>
          <t>mandi rice; best rice for mandi</t>
        </is>
      </c>
      <c r="E13" t="inlineStr">
        <is>
          <t>Rice for Kabsa &amp; Mandi UAE</t>
        </is>
      </c>
      <c r="F13" t="inlineStr">
        <is>
          <t>Kabsa &amp; Mandi Rice</t>
        </is>
      </c>
    </row>
    <row r="14">
      <c r="A14" t="inlineStr">
        <is>
          <t>Brands hub</t>
        </is>
      </c>
      <c r="B14" t="inlineStr">
        <is>
          <t>/brands/</t>
        </is>
      </c>
      <c r="C14" t="inlineStr">
        <is>
          <t>india gate basmati rice</t>
        </is>
      </c>
      <c r="D14" t="inlineStr">
        <is>
          <t>daawat; kohinoor; tilda; lal qilla (only if you stock them)</t>
        </is>
      </c>
      <c r="E14" t="inlineStr">
        <is>
          <t>Rice Brands in UAE - India Gate, Daawat, Kohinoor, Tilda</t>
        </is>
      </c>
      <c r="F14" t="inlineStr">
        <is>
          <t>Shop Rice by Brand</t>
        </is>
      </c>
    </row>
    <row r="15">
      <c r="A15" t="inlineStr">
        <is>
          <t>Abu Dhabi page</t>
        </is>
      </c>
      <c r="B15" t="inlineStr">
        <is>
          <t>/abu-dhabi-rice-delivery/</t>
        </is>
      </c>
      <c r="C15" t="inlineStr">
        <is>
          <t>rice delivery abu dhabi</t>
        </is>
      </c>
      <c r="D15" t="inlineStr">
        <is>
          <t>basmati rice abu dhabi; rice wholesale abu dhabi</t>
        </is>
      </c>
      <c r="E15" t="inlineStr">
        <is>
          <t>Rice Delivery Abu Dhabi</t>
        </is>
      </c>
      <c r="F15" t="inlineStr">
        <is>
          <t>Rice Delivery in Abu Dhabi</t>
        </is>
      </c>
    </row>
    <row r="16">
      <c r="A16" t="inlineStr">
        <is>
          <t>Sharjah page</t>
        </is>
      </c>
      <c r="B16" t="inlineStr">
        <is>
          <t>/sharjah-rice-delivery/</t>
        </is>
      </c>
      <c r="C16" t="inlineStr">
        <is>
          <t>rice delivery sharjah</t>
        </is>
      </c>
      <c r="D16" t="inlineStr">
        <is>
          <t>rice wholesale sharjah; basmati rice sharjah</t>
        </is>
      </c>
      <c r="E16" t="inlineStr">
        <is>
          <t>Rice Delivery &amp; Wholesale Sharjah</t>
        </is>
      </c>
      <c r="F16" t="inlineStr">
        <is>
          <t>Rice Delivery in Sharjah</t>
        </is>
      </c>
    </row>
    <row r="17">
      <c r="A17" t="inlineStr">
        <is>
          <t>Ajman / RAK / Fujairah / UAQ / Al Ain</t>
        </is>
      </c>
      <c r="B17" t="inlineStr">
        <is>
          <t>/ajman-... etc.</t>
        </is>
      </c>
      <c r="C17" t="inlineStr">
        <is>
          <t>rice delivery ajman</t>
        </is>
      </c>
      <c r="D17" t="inlineStr">
        <is>
          <t>same pattern per emirate</t>
        </is>
      </c>
      <c r="E17" t="inlineStr">
        <is>
          <t>Rice Delivery &lt;Emirate&gt;</t>
        </is>
      </c>
      <c r="F17" t="inlineStr">
        <is>
          <t>Rice Delivery in &lt;Emirate&gt;</t>
        </is>
      </c>
    </row>
    <row r="18">
      <c r="A18" t="inlineStr">
        <is>
          <t>Blog hub</t>
        </is>
      </c>
      <c r="B18" t="inlineStr">
        <is>
          <t>/blog/</t>
        </is>
      </c>
      <c r="C18" t="inlineStr">
        <is>
          <t>basmati rice guide</t>
        </is>
      </c>
      <c r="D18" t="inlineStr">
        <is>
          <t>see Questions &amp; Blog tab</t>
        </is>
      </c>
      <c r="E18" t="inlineStr">
        <is>
          <t>Rice Guides &amp; Recipes UAE | Cookychoice</t>
        </is>
      </c>
      <c r="F18" t="inlineStr">
        <is>
          <t>Rice Guides</t>
        </is>
      </c>
    </row>
    <row r="19">
      <c r="A19" t="inlineStr">
        <is>
          <t>Arabic version</t>
        </is>
      </c>
      <c r="B19" t="inlineStr">
        <is>
          <t>/ar/</t>
        </is>
      </c>
      <c r="C19" t="inlineStr">
        <is>
          <t>ارز بسمتي دبي</t>
        </is>
      </c>
      <c r="D19" t="inlineStr">
        <is>
          <t>ارز بسمتي بالجملة; سعر الارز في الامارات; توصيل ارز دبي</t>
        </is>
      </c>
      <c r="E19" t="inlineStr">
        <is>
          <t>ارز بسمتي دبي - توصيل ارز في الامارات</t>
        </is>
      </c>
      <c r="F19" t="inlineStr">
        <is>
          <t>ارز بسمتي في دبي</t>
        </is>
      </c>
    </row>
  </sheetData>
  <autoFilter ref="A1:F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4" customWidth="1" min="3" max="3"/>
    <col width="60" customWidth="1" min="4" max="4"/>
    <col width="36" customWidth="1" min="5" max="5"/>
    <col width="14" customWidth="1" min="6" max="6"/>
    <col width="10" customWidth="1" min="7" max="7"/>
  </cols>
  <sheetData>
    <row r="1">
      <c r="A1" s="3" t="inlineStr">
        <is>
          <t>Keyword / question</t>
        </is>
      </c>
      <c r="B1" s="3" t="inlineStr">
        <is>
          <t>Type</t>
        </is>
      </c>
      <c r="C1" s="3" t="inlineStr">
        <is>
          <t>Intent</t>
        </is>
      </c>
      <c r="D1" s="3" t="inlineStr">
        <is>
          <t>Suggested article title</t>
        </is>
      </c>
      <c r="E1" s="3" t="inlineStr">
        <is>
          <t>Internal link to</t>
        </is>
      </c>
      <c r="F1" s="3" t="inlineStr">
        <is>
          <t>Search Volume</t>
        </is>
      </c>
      <c r="G1" s="3" t="inlineStr">
        <is>
          <t>KD %</t>
        </is>
      </c>
    </row>
    <row r="2">
      <c r="A2" t="inlineStr">
        <is>
          <t>how to cook basmati rice</t>
        </is>
      </c>
      <c r="B2" t="inlineStr">
        <is>
          <t>Cooking guide</t>
        </is>
      </c>
      <c r="C2" t="inlineStr">
        <is>
          <t>Informational</t>
        </is>
      </c>
      <c r="D2" t="inlineStr">
        <is>
          <t>How to cook basmati rice (UAE guide)</t>
        </is>
      </c>
      <c r="E2" t="inlineStr">
        <is>
          <t>Relevant category / product page</t>
        </is>
      </c>
      <c r="F2" t="inlineStr"/>
      <c r="G2" t="inlineStr"/>
    </row>
    <row r="3">
      <c r="A3" t="inlineStr">
        <is>
          <t>basmati rice vs jasmine rice</t>
        </is>
      </c>
      <c r="B3" t="inlineStr">
        <is>
          <t>Comparison</t>
        </is>
      </c>
      <c r="C3" t="inlineStr">
        <is>
          <t>Informational</t>
        </is>
      </c>
      <c r="D3" t="inlineStr">
        <is>
          <t>Basmati rice vs jasmine rice (UAE guide)</t>
        </is>
      </c>
      <c r="E3" t="inlineStr">
        <is>
          <t>Relevant category / product page</t>
        </is>
      </c>
      <c r="F3" t="inlineStr"/>
      <c r="G3" t="inlineStr"/>
    </row>
    <row r="4">
      <c r="A4" t="inlineStr">
        <is>
          <t>1121 basmati vs sella basmati</t>
        </is>
      </c>
      <c r="B4" t="inlineStr">
        <is>
          <t>Comparison</t>
        </is>
      </c>
      <c r="C4" t="inlineStr">
        <is>
          <t>Informational</t>
        </is>
      </c>
      <c r="D4" t="inlineStr">
        <is>
          <t>1121 basmati vs sella basmati (UAE guide)</t>
        </is>
      </c>
      <c r="E4" t="inlineStr">
        <is>
          <t>Relevant category / product page</t>
        </is>
      </c>
      <c r="F4" t="inlineStr"/>
      <c r="G4" t="inlineStr"/>
    </row>
    <row r="5">
      <c r="A5" t="inlineStr">
        <is>
          <t>difference between sella and steam basmati</t>
        </is>
      </c>
      <c r="B5" t="inlineStr">
        <is>
          <t>Comparison</t>
        </is>
      </c>
      <c r="C5" t="inlineStr">
        <is>
          <t>Informational</t>
        </is>
      </c>
      <c r="D5" t="inlineStr">
        <is>
          <t>Difference between sella and steam basmati (UAE guide)</t>
        </is>
      </c>
      <c r="E5" t="inlineStr">
        <is>
          <t>Relevant category / product page</t>
        </is>
      </c>
      <c r="F5" t="inlineStr"/>
      <c r="G5" t="inlineStr"/>
    </row>
    <row r="6">
      <c r="A6" t="inlineStr">
        <is>
          <t>how to identify real basmati rice</t>
        </is>
      </c>
      <c r="B6" t="inlineStr">
        <is>
          <t>Buying guide</t>
        </is>
      </c>
      <c r="C6" t="inlineStr">
        <is>
          <t>Informational</t>
        </is>
      </c>
      <c r="D6" t="inlineStr">
        <is>
          <t>How to identify real basmati rice (UAE guide)</t>
        </is>
      </c>
      <c r="E6" t="inlineStr">
        <is>
          <t>Relevant category / product page</t>
        </is>
      </c>
      <c r="F6" t="inlineStr"/>
      <c r="G6" t="inlineStr"/>
    </row>
    <row r="7">
      <c r="A7" t="inlineStr">
        <is>
          <t>how to choose basmati rice</t>
        </is>
      </c>
      <c r="B7" t="inlineStr">
        <is>
          <t>Buying guide</t>
        </is>
      </c>
      <c r="C7" t="inlineStr">
        <is>
          <t>Informational</t>
        </is>
      </c>
      <c r="D7" t="inlineStr">
        <is>
          <t>How to choose basmati rice (UAE guide)</t>
        </is>
      </c>
      <c r="E7" t="inlineStr">
        <is>
          <t>Relevant category / product page</t>
        </is>
      </c>
      <c r="F7" t="inlineStr"/>
      <c r="G7" t="inlineStr"/>
    </row>
    <row r="8">
      <c r="A8" t="inlineStr">
        <is>
          <t>how to store rice long term</t>
        </is>
      </c>
      <c r="B8" t="inlineStr">
        <is>
          <t>Storage</t>
        </is>
      </c>
      <c r="C8" t="inlineStr">
        <is>
          <t>Informational</t>
        </is>
      </c>
      <c r="D8" t="inlineStr">
        <is>
          <t>How to store rice long term (UAE guide)</t>
        </is>
      </c>
      <c r="E8" t="inlineStr">
        <is>
          <t>Relevant category / product page</t>
        </is>
      </c>
      <c r="F8" t="inlineStr"/>
      <c r="G8" t="inlineStr"/>
    </row>
    <row r="9">
      <c r="A9" t="inlineStr">
        <is>
          <t>how long does basmati rice last</t>
        </is>
      </c>
      <c r="B9" t="inlineStr">
        <is>
          <t>Storage</t>
        </is>
      </c>
      <c r="C9" t="inlineStr">
        <is>
          <t>Informational</t>
        </is>
      </c>
      <c r="D9" t="inlineStr">
        <is>
          <t>How long does basmati rice last (UAE guide)</t>
        </is>
      </c>
      <c r="E9" t="inlineStr">
        <is>
          <t>Relevant category / product page</t>
        </is>
      </c>
      <c r="F9" t="inlineStr"/>
      <c r="G9" t="inlineStr"/>
    </row>
    <row r="10">
      <c r="A10" t="inlineStr">
        <is>
          <t>rice to water ratio for biryani</t>
        </is>
      </c>
      <c r="B10" t="inlineStr">
        <is>
          <t>Cooking guide</t>
        </is>
      </c>
      <c r="C10" t="inlineStr">
        <is>
          <t>Informational</t>
        </is>
      </c>
      <c r="D10" t="inlineStr">
        <is>
          <t>Rice to water ratio for biryani (UAE guide)</t>
        </is>
      </c>
      <c r="E10" t="inlineStr">
        <is>
          <t>Relevant category / product page</t>
        </is>
      </c>
      <c r="F10" t="inlineStr"/>
      <c r="G10" t="inlineStr"/>
    </row>
    <row r="11">
      <c r="A11" t="inlineStr">
        <is>
          <t>how to cook rice for kabsa</t>
        </is>
      </c>
      <c r="B11" t="inlineStr">
        <is>
          <t>Cooking guide</t>
        </is>
      </c>
      <c r="C11" t="inlineStr">
        <is>
          <t>Informational</t>
        </is>
      </c>
      <c r="D11" t="inlineStr">
        <is>
          <t>How to cook rice for kabsa (UAE guide)</t>
        </is>
      </c>
      <c r="E11" t="inlineStr">
        <is>
          <t>Relevant category / product page</t>
        </is>
      </c>
      <c r="F11" t="inlineStr"/>
      <c r="G11" t="inlineStr"/>
    </row>
    <row r="12">
      <c r="A12" t="inlineStr">
        <is>
          <t>how to make chicken mandi rice</t>
        </is>
      </c>
      <c r="B12" t="inlineStr">
        <is>
          <t>Recipe</t>
        </is>
      </c>
      <c r="C12" t="inlineStr">
        <is>
          <t>Informational</t>
        </is>
      </c>
      <c r="D12" t="inlineStr">
        <is>
          <t>How to make chicken mandi rice (UAE guide)</t>
        </is>
      </c>
      <c r="E12" t="inlineStr">
        <is>
          <t>Relevant category / product page</t>
        </is>
      </c>
      <c r="F12" t="inlineStr"/>
      <c r="G12" t="inlineStr"/>
    </row>
    <row r="13">
      <c r="A13" t="inlineStr">
        <is>
          <t>how to make dubai style biryani</t>
        </is>
      </c>
      <c r="B13" t="inlineStr">
        <is>
          <t>Recipe</t>
        </is>
      </c>
      <c r="C13" t="inlineStr">
        <is>
          <t>Informational</t>
        </is>
      </c>
      <c r="D13" t="inlineStr">
        <is>
          <t>How to make dubai style biryani (UAE guide)</t>
        </is>
      </c>
      <c r="E13" t="inlineStr">
        <is>
          <t>Relevant category / product page</t>
        </is>
      </c>
      <c r="F13" t="inlineStr"/>
      <c r="G13" t="inlineStr"/>
    </row>
    <row r="14">
      <c r="A14" t="inlineStr">
        <is>
          <t>best rice for biryani</t>
        </is>
      </c>
      <c r="B14" t="inlineStr">
        <is>
          <t>Buying guide</t>
        </is>
      </c>
      <c r="C14" t="inlineStr">
        <is>
          <t>Informational</t>
        </is>
      </c>
      <c r="D14" t="inlineStr">
        <is>
          <t>Best rice for biryani (UAE guide)</t>
        </is>
      </c>
      <c r="E14" t="inlineStr">
        <is>
          <t>Relevant category / product page</t>
        </is>
      </c>
      <c r="F14" t="inlineStr"/>
      <c r="G14" t="inlineStr"/>
    </row>
    <row r="15">
      <c r="A15" t="inlineStr">
        <is>
          <t>best rice for pulao</t>
        </is>
      </c>
      <c r="B15" t="inlineStr">
        <is>
          <t>Buying guide</t>
        </is>
      </c>
      <c r="C15" t="inlineStr">
        <is>
          <t>Informational</t>
        </is>
      </c>
      <c r="D15" t="inlineStr">
        <is>
          <t>Best rice for pulao (UAE guide)</t>
        </is>
      </c>
      <c r="E15" t="inlineStr">
        <is>
          <t>Relevant category / product page</t>
        </is>
      </c>
      <c r="F15" t="inlineStr"/>
      <c r="G15" t="inlineStr"/>
    </row>
    <row r="16">
      <c r="A16" t="inlineStr">
        <is>
          <t>best rice for fried rice</t>
        </is>
      </c>
      <c r="B16" t="inlineStr">
        <is>
          <t>Buying guide</t>
        </is>
      </c>
      <c r="C16" t="inlineStr">
        <is>
          <t>Informational</t>
        </is>
      </c>
      <c r="D16" t="inlineStr">
        <is>
          <t>Best rice for fried rice (UAE guide)</t>
        </is>
      </c>
      <c r="E16" t="inlineStr">
        <is>
          <t>Relevant category / product page</t>
        </is>
      </c>
      <c r="F16" t="inlineStr"/>
      <c r="G16" t="inlineStr"/>
    </row>
    <row r="17">
      <c r="A17" t="inlineStr">
        <is>
          <t>is basmati rice healthy</t>
        </is>
      </c>
      <c r="B17" t="inlineStr">
        <is>
          <t>Health</t>
        </is>
      </c>
      <c r="C17" t="inlineStr">
        <is>
          <t>Informational</t>
        </is>
      </c>
      <c r="D17" t="inlineStr">
        <is>
          <t>Is basmati rice healthy (UAE guide)</t>
        </is>
      </c>
      <c r="E17" t="inlineStr">
        <is>
          <t>Relevant category / product page</t>
        </is>
      </c>
      <c r="F17" t="inlineStr"/>
      <c r="G17" t="inlineStr"/>
    </row>
    <row r="18">
      <c r="A18" t="inlineStr">
        <is>
          <t>brown rice vs white rice</t>
        </is>
      </c>
      <c r="B18" t="inlineStr">
        <is>
          <t>Health</t>
        </is>
      </c>
      <c r="C18" t="inlineStr">
        <is>
          <t>Informational</t>
        </is>
      </c>
      <c r="D18" t="inlineStr">
        <is>
          <t>Brown rice vs white rice (UAE guide)</t>
        </is>
      </c>
      <c r="E18" t="inlineStr">
        <is>
          <t>Relevant category / product page</t>
        </is>
      </c>
      <c r="F18" t="inlineStr"/>
      <c r="G18" t="inlineStr"/>
    </row>
    <row r="19">
      <c r="A19" t="inlineStr">
        <is>
          <t>basmati rice calories</t>
        </is>
      </c>
      <c r="B19" t="inlineStr">
        <is>
          <t>Health</t>
        </is>
      </c>
      <c r="C19" t="inlineStr">
        <is>
          <t>Informational</t>
        </is>
      </c>
      <c r="D19" t="inlineStr">
        <is>
          <t>Basmati rice calories (UAE guide)</t>
        </is>
      </c>
      <c r="E19" t="inlineStr">
        <is>
          <t>Relevant category / product page</t>
        </is>
      </c>
      <c r="F19" t="inlineStr"/>
      <c r="G19" t="inlineStr"/>
    </row>
    <row r="20">
      <c r="A20" t="inlineStr">
        <is>
          <t>glycemic index of basmati rice</t>
        </is>
      </c>
      <c r="B20" t="inlineStr">
        <is>
          <t>Health</t>
        </is>
      </c>
      <c r="C20" t="inlineStr">
        <is>
          <t>Informational</t>
        </is>
      </c>
      <c r="D20" t="inlineStr">
        <is>
          <t>Glycemic index of basmati rice (UAE guide)</t>
        </is>
      </c>
      <c r="E20" t="inlineStr">
        <is>
          <t>Relevant category / product page</t>
        </is>
      </c>
      <c r="F20" t="inlineStr"/>
      <c r="G20" t="inlineStr"/>
    </row>
    <row r="21">
      <c r="A21" t="inlineStr">
        <is>
          <t>what is sella basmati rice</t>
        </is>
      </c>
      <c r="B21" t="inlineStr">
        <is>
          <t>Definition</t>
        </is>
      </c>
      <c r="C21" t="inlineStr">
        <is>
          <t>Informational</t>
        </is>
      </c>
      <c r="D21" t="inlineStr">
        <is>
          <t>What is sella basmati rice (UAE guide)</t>
        </is>
      </c>
      <c r="E21" t="inlineStr">
        <is>
          <t>Relevant category / product page</t>
        </is>
      </c>
      <c r="F21" t="inlineStr"/>
      <c r="G21" t="inlineStr"/>
    </row>
    <row r="22">
      <c r="A22" t="inlineStr">
        <is>
          <t>what is 1121 basmati rice</t>
        </is>
      </c>
      <c r="B22" t="inlineStr">
        <is>
          <t>Definition</t>
        </is>
      </c>
      <c r="C22" t="inlineStr">
        <is>
          <t>Informational</t>
        </is>
      </c>
      <c r="D22" t="inlineStr">
        <is>
          <t>What is 1121 basmati rice (UAE guide)</t>
        </is>
      </c>
      <c r="E22" t="inlineStr">
        <is>
          <t>Relevant category / product page</t>
        </is>
      </c>
      <c r="F22" t="inlineStr"/>
      <c r="G22" t="inlineStr"/>
    </row>
    <row r="23">
      <c r="A23" t="inlineStr">
        <is>
          <t>what is parboiled rice</t>
        </is>
      </c>
      <c r="B23" t="inlineStr">
        <is>
          <t>Definition</t>
        </is>
      </c>
      <c r="C23" t="inlineStr">
        <is>
          <t>Informational</t>
        </is>
      </c>
      <c r="D23" t="inlineStr">
        <is>
          <t>What is parboiled rice (UAE guide)</t>
        </is>
      </c>
      <c r="E23" t="inlineStr">
        <is>
          <t>Relevant category / product page</t>
        </is>
      </c>
      <c r="F23" t="inlineStr"/>
      <c r="G23" t="inlineStr"/>
    </row>
    <row r="24">
      <c r="A24" t="inlineStr">
        <is>
          <t>why is basmati rice expensive</t>
        </is>
      </c>
      <c r="B24" t="inlineStr">
        <is>
          <t>Buying guide</t>
        </is>
      </c>
      <c r="C24" t="inlineStr">
        <is>
          <t>Informational</t>
        </is>
      </c>
      <c r="D24" t="inlineStr">
        <is>
          <t>Why is basmati rice expensive (UAE guide)</t>
        </is>
      </c>
      <c r="E24" t="inlineStr">
        <is>
          <t>Relevant category / product page</t>
        </is>
      </c>
      <c r="F24" t="inlineStr"/>
      <c r="G24" t="inlineStr"/>
    </row>
    <row r="25">
      <c r="A25" t="inlineStr">
        <is>
          <t>basmati rice grading</t>
        </is>
      </c>
      <c r="B25" t="inlineStr">
        <is>
          <t>Buying guide</t>
        </is>
      </c>
      <c r="C25" t="inlineStr">
        <is>
          <t>Informational</t>
        </is>
      </c>
      <c r="D25" t="inlineStr">
        <is>
          <t>Basmati rice grading (UAE guide)</t>
        </is>
      </c>
      <c r="E25" t="inlineStr">
        <is>
          <t>Relevant category / product page</t>
        </is>
      </c>
      <c r="F25" t="inlineStr"/>
      <c r="G25" t="inlineStr"/>
    </row>
    <row r="26">
      <c r="A26" t="inlineStr">
        <is>
          <t>rice import regulations uae</t>
        </is>
      </c>
      <c r="B26" t="inlineStr">
        <is>
          <t>B2B guide</t>
        </is>
      </c>
      <c r="C26" t="inlineStr">
        <is>
          <t>Informational</t>
        </is>
      </c>
      <c r="D26" t="inlineStr">
        <is>
          <t>Rice import regulations uae (UAE guide)</t>
        </is>
      </c>
      <c r="E26" t="inlineStr">
        <is>
          <t>Relevant category / product page</t>
        </is>
      </c>
      <c r="F26" t="inlineStr"/>
      <c r="G26" t="inlineStr"/>
    </row>
    <row r="27">
      <c r="A27" t="inlineStr">
        <is>
          <t>uae rice import duty</t>
        </is>
      </c>
      <c r="B27" t="inlineStr">
        <is>
          <t>B2B guide</t>
        </is>
      </c>
      <c r="C27" t="inlineStr">
        <is>
          <t>Informational</t>
        </is>
      </c>
      <c r="D27" t="inlineStr">
        <is>
          <t>Uae rice import duty (UAE guide)</t>
        </is>
      </c>
      <c r="E27" t="inlineStr">
        <is>
          <t>Relevant category / product page</t>
        </is>
      </c>
      <c r="F27" t="inlineStr"/>
      <c r="G27" t="inlineStr"/>
    </row>
    <row r="28">
      <c r="A28" t="inlineStr">
        <is>
          <t>rice price trend uae</t>
        </is>
      </c>
      <c r="B28" t="inlineStr">
        <is>
          <t>Market</t>
        </is>
      </c>
      <c r="C28" t="inlineStr">
        <is>
          <t>Informational</t>
        </is>
      </c>
      <c r="D28" t="inlineStr">
        <is>
          <t>Rice price trend uae (UAE guide)</t>
        </is>
      </c>
      <c r="E28" t="inlineStr">
        <is>
          <t>Relevant category / product page</t>
        </is>
      </c>
      <c r="F28" t="inlineStr"/>
      <c r="G28" t="inlineStr"/>
    </row>
    <row r="29">
      <c r="A29" t="inlineStr">
        <is>
          <t>india rice export ban impact on uae</t>
        </is>
      </c>
      <c r="B29" t="inlineStr">
        <is>
          <t>Market</t>
        </is>
      </c>
      <c r="C29" t="inlineStr">
        <is>
          <t>Informational</t>
        </is>
      </c>
      <c r="D29" t="inlineStr">
        <is>
          <t>India rice export ban impact on uae (UAE guide)</t>
        </is>
      </c>
      <c r="E29" t="inlineStr">
        <is>
          <t>Relevant category / product page</t>
        </is>
      </c>
      <c r="F29" t="inlineStr"/>
      <c r="G29" t="inlineStr"/>
    </row>
    <row r="30">
      <c r="A30" t="inlineStr">
        <is>
          <t>how to start rice trading business in dubai</t>
        </is>
      </c>
      <c r="B30" t="inlineStr">
        <is>
          <t>B2B guide</t>
        </is>
      </c>
      <c r="C30" t="inlineStr">
        <is>
          <t>Informational</t>
        </is>
      </c>
      <c r="D30" t="inlineStr">
        <is>
          <t>How to start rice trading business in dubai (UAE guide)</t>
        </is>
      </c>
      <c r="E30" t="inlineStr">
        <is>
          <t>Relevant category / product page</t>
        </is>
      </c>
      <c r="F30" t="inlineStr"/>
      <c r="G30" t="inlineStr"/>
    </row>
    <row r="31">
      <c r="A31" t="inlineStr">
        <is>
          <t>rice trading license dubai</t>
        </is>
      </c>
      <c r="B31" t="inlineStr">
        <is>
          <t>B2B guide</t>
        </is>
      </c>
      <c r="C31" t="inlineStr">
        <is>
          <t>Informational</t>
        </is>
      </c>
      <c r="D31" t="inlineStr">
        <is>
          <t>Rice trading license dubai (UAE guide)</t>
        </is>
      </c>
      <c r="E31" t="inlineStr">
        <is>
          <t>Relevant category / product page</t>
        </is>
      </c>
      <c r="F31" t="inlineStr"/>
      <c r="G31" t="inlineStr"/>
    </row>
  </sheetData>
  <autoFilter ref="A1:G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50" customWidth="1" min="3" max="3"/>
  </cols>
  <sheetData>
    <row r="1">
      <c r="A1" s="3" t="inlineStr">
        <is>
          <t>Step</t>
        </is>
      </c>
      <c r="B1" s="3" t="inlineStr">
        <is>
          <t>What to do in Semrush</t>
        </is>
      </c>
      <c r="C1" s="3" t="inlineStr">
        <is>
          <t>Output to paste/summarise</t>
        </is>
      </c>
    </row>
    <row r="2">
      <c r="A2" t="inlineStr">
        <is>
          <t>1</t>
        </is>
      </c>
      <c r="B2" t="inlineStr">
        <is>
          <t>Google 'basmati rice online dubai', 'rice wholesale dubai', 'rice delivery uae' and note top 10 domains (UAE results)</t>
        </is>
      </c>
      <c r="C2" t="inlineStr">
        <is>
          <t>Competitor domain list</t>
        </is>
      </c>
    </row>
    <row r="3">
      <c r="A3" t="inlineStr">
        <is>
          <t>2</t>
        </is>
      </c>
      <c r="B3" t="inlineStr">
        <is>
          <t>Semrush -&gt; Domain Overview for each domain (UAE database)</t>
        </is>
      </c>
      <c r="C3" t="inlineStr">
        <is>
          <t>Organic traffic, keywords count, authority score</t>
        </is>
      </c>
    </row>
    <row r="4">
      <c r="A4" t="inlineStr">
        <is>
          <t>3</t>
        </is>
      </c>
      <c r="B4" t="inlineStr">
        <is>
          <t>Keyword Gap: cookychoice.com vs 3-5 competitors</t>
        </is>
      </c>
      <c r="C4" t="inlineStr">
        <is>
          <t>Missing / weak / shared keywords</t>
        </is>
      </c>
    </row>
    <row r="5">
      <c r="A5" t="inlineStr">
        <is>
          <t>4</t>
        </is>
      </c>
      <c r="B5" t="inlineStr">
        <is>
          <t>Organic Research -&gt; Pages for each competitor</t>
        </is>
      </c>
      <c r="C5" t="inlineStr">
        <is>
          <t>Top traffic pages = page types to copy</t>
        </is>
      </c>
    </row>
    <row r="6">
      <c r="A6" t="inlineStr">
        <is>
          <t>5</t>
        </is>
      </c>
      <c r="B6" t="inlineStr">
        <is>
          <t>Backlink Gap</t>
        </is>
      </c>
      <c r="C6" t="inlineStr">
        <is>
          <t>Link targets (UAE directories, food blogs, B2B listings)</t>
        </is>
      </c>
    </row>
    <row r="7">
      <c r="A7" t="inlineStr">
        <is>
          <t>6</t>
        </is>
      </c>
      <c r="B7" t="inlineStr">
        <is>
          <t>Note SERP features: Shopping, Local pack, PAA</t>
        </is>
      </c>
      <c r="C7" t="inlineStr">
        <is>
          <t>Where to add schema / Google Business Profile</t>
        </is>
      </c>
    </row>
  </sheetData>
  <autoFilter ref="A1:C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0" customWidth="1" min="2" max="2"/>
    <col width="10" customWidth="1" min="3" max="3"/>
    <col width="50" customWidth="1" min="4" max="4"/>
  </cols>
  <sheetData>
    <row r="1">
      <c r="A1" s="3" t="inlineStr">
        <is>
          <t>Area</t>
        </is>
      </c>
      <c r="B1" s="3" t="inlineStr">
        <is>
          <t>Check</t>
        </is>
      </c>
      <c r="C1" s="3" t="inlineStr">
        <is>
          <t>Severity</t>
        </is>
      </c>
      <c r="D1" s="3" t="inlineStr">
        <is>
          <t>Status</t>
        </is>
      </c>
    </row>
    <row r="2">
      <c r="A2" t="inlineStr">
        <is>
          <t>Indexing</t>
        </is>
      </c>
      <c r="B2" t="inlineStr">
        <is>
          <t>WordPress Settings &gt; Reading &gt; 'Discourage search engines' must be OFF</t>
        </is>
      </c>
      <c r="C2" t="inlineStr">
        <is>
          <t>Critical</t>
        </is>
      </c>
      <c r="D2" t="inlineStr">
        <is>
          <t>Reported by owner as ON; confirm removed</t>
        </is>
      </c>
    </row>
    <row r="3">
      <c r="A3" t="inlineStr">
        <is>
          <t>Indexing</t>
        </is>
      </c>
      <c r="B3" t="inlineStr">
        <is>
          <t>robots.txt has no 'Disallow: /'</t>
        </is>
      </c>
      <c r="C3" t="inlineStr">
        <is>
          <t>Critical</t>
        </is>
      </c>
      <c r="D3" t="inlineStr">
        <is>
          <t>Not yet verified (site not reachable from session)</t>
        </is>
      </c>
    </row>
    <row r="4">
      <c r="A4" t="inlineStr">
        <is>
          <t>Indexing</t>
        </is>
      </c>
      <c r="B4" t="inlineStr">
        <is>
          <t>No noindex meta / X-Robots-Tag on pages</t>
        </is>
      </c>
      <c r="C4" t="inlineStr">
        <is>
          <t>Critical</t>
        </is>
      </c>
      <c r="D4" t="inlineStr">
        <is>
          <t>Not yet verified</t>
        </is>
      </c>
    </row>
    <row r="5">
      <c r="A5" t="inlineStr">
        <is>
          <t>Indexing</t>
        </is>
      </c>
      <c r="B5" t="inlineStr">
        <is>
          <t>XML sitemap submitted in Search Console</t>
        </is>
      </c>
      <c r="C5" t="inlineStr">
        <is>
          <t>High</t>
        </is>
      </c>
      <c r="D5" t="inlineStr">
        <is>
          <t>Not yet verified</t>
        </is>
      </c>
    </row>
    <row r="6">
      <c r="A6" t="inlineStr">
        <is>
          <t>On-page</t>
        </is>
      </c>
      <c r="B6" t="inlineStr">
        <is>
          <t>Unique title (&lt;=60) &amp; meta description (&lt;=155) per page, keyword in title</t>
        </is>
      </c>
      <c r="C6" t="inlineStr">
        <is>
          <t>High</t>
        </is>
      </c>
      <c r="D6" t="inlineStr">
        <is>
          <t>Not yet verified</t>
        </is>
      </c>
    </row>
    <row r="7">
      <c r="A7" t="inlineStr">
        <is>
          <t>On-page</t>
        </is>
      </c>
      <c r="B7" t="inlineStr">
        <is>
          <t>One H1 per page with primary keyword</t>
        </is>
      </c>
      <c r="C7" t="inlineStr">
        <is>
          <t>High</t>
        </is>
      </c>
      <c r="D7" t="inlineStr">
        <is>
          <t>Not yet verified</t>
        </is>
      </c>
    </row>
    <row r="8">
      <c r="A8" t="inlineStr">
        <is>
          <t>On-page</t>
        </is>
      </c>
      <c r="B8" t="inlineStr">
        <is>
          <t>Product pages: unique descriptions, pack sizes, price in AED, FAQ</t>
        </is>
      </c>
      <c r="C8" t="inlineStr">
        <is>
          <t>High</t>
        </is>
      </c>
      <c r="D8" t="inlineStr">
        <is>
          <t>Not yet verified</t>
        </is>
      </c>
    </row>
    <row r="9">
      <c r="A9" t="inlineStr">
        <is>
          <t>Schema</t>
        </is>
      </c>
      <c r="B9" t="inlineStr">
        <is>
          <t>Product, Offer (AED), Organization, LocalBusiness, FAQPage, BreadcrumbList</t>
        </is>
      </c>
      <c r="C9" t="inlineStr">
        <is>
          <t>High</t>
        </is>
      </c>
      <c r="D9" t="inlineStr">
        <is>
          <t>Not yet verified</t>
        </is>
      </c>
    </row>
    <row r="10">
      <c r="A10" t="inlineStr">
        <is>
          <t>Local</t>
        </is>
      </c>
      <c r="B10" t="inlineStr">
        <is>
          <t>Google Business Profile + UAE citations (NAP consistent)</t>
        </is>
      </c>
      <c r="C10" t="inlineStr">
        <is>
          <t>High</t>
        </is>
      </c>
      <c r="D10" t="inlineStr">
        <is>
          <t>Not yet verified</t>
        </is>
      </c>
    </row>
    <row r="11">
      <c r="A11" t="inlineStr">
        <is>
          <t>Technical</t>
        </is>
      </c>
      <c r="B11" t="inlineStr">
        <is>
          <t>HTTPS, www/non-www redirect, canonical tags, no duplicate URLs</t>
        </is>
      </c>
      <c r="C11" t="inlineStr">
        <is>
          <t>High</t>
        </is>
      </c>
      <c r="D11" t="inlineStr">
        <is>
          <t>Not yet verified</t>
        </is>
      </c>
    </row>
    <row r="12">
      <c r="A12" t="inlineStr">
        <is>
          <t>Technical</t>
        </is>
      </c>
      <c r="B12" t="inlineStr">
        <is>
          <t>Core Web Vitals / mobile speed, image compression, WebP</t>
        </is>
      </c>
      <c r="C12" t="inlineStr">
        <is>
          <t>Medium</t>
        </is>
      </c>
      <c r="D12" t="inlineStr">
        <is>
          <t>Not yet verified</t>
        </is>
      </c>
    </row>
    <row r="13">
      <c r="A13" t="inlineStr">
        <is>
          <t>International</t>
        </is>
      </c>
      <c r="B13" t="inlineStr">
        <is>
          <t>Arabic version with hreflang (en-AE / ar-AE)</t>
        </is>
      </c>
      <c r="C13" t="inlineStr">
        <is>
          <t>Medium</t>
        </is>
      </c>
      <c r="D13" t="inlineStr">
        <is>
          <t>Not yet verified</t>
        </is>
      </c>
    </row>
    <row r="14">
      <c r="A14" t="inlineStr">
        <is>
          <t>Content</t>
        </is>
      </c>
      <c r="B14" t="inlineStr">
        <is>
          <t>Blog hub and internal linking from guides to category pages</t>
        </is>
      </c>
      <c r="C14" t="inlineStr">
        <is>
          <t>Medium</t>
        </is>
      </c>
      <c r="D14" t="inlineStr">
        <is>
          <t>Not yet verified</t>
        </is>
      </c>
    </row>
  </sheetData>
  <autoFilter ref="A1:D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2026-10-07T06:36:26Z</dcterms:created>
  <dcterms:modified xmlns:dcterms="http://purl.org/dc/terms/" xmlns:xsi="http://www.w3.org/2001/XMLSchema-instance" xsi:type="dcterms:W3CDTF">2026-10-07T06:36:26Z</dcterms:modified>
</cp:coreProperties>
</file>
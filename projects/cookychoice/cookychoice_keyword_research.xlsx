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Playbook (Hinglish)" sheetId="2" state="visible" r:id="rId2"/>
    <sheet xmlns:r="http://schemas.openxmlformats.org/officeDocument/2006/relationships" name="Page Placement Map" sheetId="3" state="visible" r:id="rId3"/>
    <sheet xmlns:r="http://schemas.openxmlformats.org/officeDocument/2006/relationships" name="Keyword Master" sheetId="4" state="visible" r:id="rId4"/>
    <sheet xmlns:r="http://schemas.openxmlformats.org/officeDocument/2006/relationships" name="Placement Rules" sheetId="5" state="visible" r:id="rId5"/>
    <sheet xmlns:r="http://schemas.openxmlformats.org/officeDocument/2006/relationships" name="Page Mapping" sheetId="6" state="visible" r:id="rId6"/>
    <sheet xmlns:r="http://schemas.openxmlformats.org/officeDocument/2006/relationships" name="Internal Linking" sheetId="7" state="visible" r:id="rId7"/>
    <sheet xmlns:r="http://schemas.openxmlformats.org/officeDocument/2006/relationships" name="Location Wise" sheetId="8" state="visible" r:id="rId8"/>
    <sheet xmlns:r="http://schemas.openxmlformats.org/officeDocument/2006/relationships" name="Questions &amp; Blog" sheetId="9" state="visible" r:id="rId9"/>
    <sheet xmlns:r="http://schemas.openxmlformats.org/officeDocument/2006/relationships" name="Glossary (Shabd-kosh)" sheetId="10" state="visible" r:id="rId10"/>
    <sheet xmlns:r="http://schemas.openxmlformats.org/officeDocument/2006/relationships" name="Competitor Research" sheetId="11" state="visible" r:id="rId11"/>
    <sheet xmlns:r="http://schemas.openxmlformats.org/officeDocument/2006/relationships" name="Audit Checklist" sheetId="12" state="visible" r:id="rId12"/>
    <sheet xmlns:r="http://schemas.openxmlformats.org/officeDocument/2006/relationships" name="Semrush Import" sheetId="13" state="visible" r:id="rId13"/>
    <sheet xmlns:r="http://schemas.openxmlformats.org/officeDocument/2006/relationships" name="KP Import" sheetId="14" state="visible" r:id="rId14"/>
  </sheets>
  <definedNames>
    <definedName name="_xlnm._FilterDatabase" localSheetId="1" hidden="1">'Playbook (Hinglish)'!$A$1:$H$69</definedName>
    <definedName name="_xlnm._FilterDatabase" localSheetId="2" hidden="1">'Page Placement Map'!$A$1:$F$337</definedName>
    <definedName name="_xlnm._FilterDatabase" localSheetId="3" hidden="1">'Keyword Master'!$A$1:$T$576</definedName>
    <definedName name="_xlnm._FilterDatabase" localSheetId="4" hidden="1">'Placement Rules'!$A$1:$E$15</definedName>
    <definedName name="_xlnm._FilterDatabase" localSheetId="5" hidden="1">'Page Mapping'!$A$1:$I$30</definedName>
    <definedName name="_xlnm._FilterDatabase" localSheetId="6" hidden="1">'Internal Linking'!$A$1:$E$106</definedName>
    <definedName name="_xlnm._FilterDatabase" localSheetId="7" hidden="1">'Location Wise'!$A$1:$F$31</definedName>
    <definedName name="_xlnm._FilterDatabase" localSheetId="8" hidden="1">'Questions &amp; Blog'!$A$1:$H$32</definedName>
    <definedName name="_xlnm._FilterDatabase" localSheetId="9" hidden="1">'Glossary (Shabd-kosh)'!$A$1:$B$34</definedName>
    <definedName name="_xlnm._FilterDatabase" localSheetId="10" hidden="1">'Competitor Research'!$A$1:$C$7</definedName>
    <definedName name="_xlnm._FilterDatabase" localSheetId="11" hidden="1">'Audit Checklist'!$A$1:$D$14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50" customWidth="1" min="1" max="1"/>
  </cols>
  <sheetData>
    <row r="1">
      <c r="A1" s="1" t="inlineStr">
        <is>
          <t>Cookychoice - Keyword Research + Placement Playbook</t>
        </is>
      </c>
    </row>
    <row r="2">
      <c r="A2" t="inlineStr">
        <is>
          <t>Business: rice trading, Dubai. ABHI: B2B (importers, exporters, traders, wholesalers, HORECA). BAAD MEIN: B2C. Target: UAE + export markets.</t>
        </is>
      </c>
    </row>
    <row r="3">
      <c r="A3" t="inlineStr">
        <is>
          <t>Total keywords: 575  |  Phase 1 (abhi): 375  |  Phase 2 (B2C baad mein): 200</t>
        </is>
      </c>
    </row>
    <row r="4">
      <c r="A4" t="inlineStr"/>
    </row>
    <row r="5">
      <c r="A5" s="2" t="inlineStr">
        <is>
          <t>SABSE PEHLE KYA PADHEIN</t>
        </is>
      </c>
    </row>
    <row r="6">
      <c r="A6" t="inlineStr">
        <is>
          <t>1. 'Playbook (Hinglish)' tab - A se G tak step-by-step, naye aadmi ke liye bhi. Part A (site Google ko dikhana) pehle.</t>
        </is>
      </c>
    </row>
    <row r="7">
      <c r="A7" t="inlineStr">
        <is>
          <t>2. 'Page Placement Map' tab - har page par kaunsa keyword kahan (URL, title, meta, H1, intro, H2, FAQ, alt, links, schema).</t>
        </is>
      </c>
    </row>
    <row r="8">
      <c r="A8" t="inlineStr">
        <is>
          <t>3. 'Keyword Master' - 575 keywords. Column D = FINAL PAGE (ye keyword isi page pe), E = role, F = kahan lagana hai.</t>
        </is>
      </c>
    </row>
    <row r="9">
      <c r="A9" t="inlineStr"/>
    </row>
    <row r="10">
      <c r="A10" s="2" t="inlineStr">
        <is>
          <t>DATA KI SACHAI</t>
        </is>
      </c>
    </row>
    <row r="11">
      <c r="A11" t="inlineStr">
        <is>
          <t>Search Volume / KD / CPC columns KHALI hain. Koi number andaze se nahi bhara. Semrush + Keyword Planner export 'Semrush Import' aur 'KP Import' tab mein paste karo; Keyword Master apne aap bhar jayega (Playbook Part B).</t>
        </is>
      </c>
    </row>
    <row r="12">
      <c r="A12" t="inlineStr">
        <is>
          <t>Page mapping, role aur placement keyword ke shape/intent se bani hai. Volume aane ke baad top keywords ko H2 / title mein upar laao.</t>
        </is>
      </c>
    </row>
    <row r="13">
      <c r="A13" t="inlineStr"/>
    </row>
    <row r="14">
      <c r="A14" s="2" t="inlineStr">
        <is>
          <t>TABS</t>
        </is>
      </c>
    </row>
    <row r="15">
      <c r="A15" t="inlineStr">
        <is>
          <t>Playbook (Hinglish) - poora step-by-step</t>
        </is>
      </c>
    </row>
    <row r="16">
      <c r="A16" t="inlineStr">
        <is>
          <t>Keyword Master - saare keywords, final page, role, spot, volume/KD formula</t>
        </is>
      </c>
    </row>
    <row r="17">
      <c r="A17" t="inlineStr">
        <is>
          <t>Page Placement Map - page-wise exact placement</t>
        </is>
      </c>
    </row>
    <row r="18">
      <c r="A18" t="inlineStr">
        <is>
          <t>Placement Rules - har hisse ke liye rules (kitni baar, kya na karein)</t>
        </is>
      </c>
    </row>
    <row r="19">
      <c r="A19" t="inlineStr">
        <is>
          <t>Page Mapping - page ka primary, title, H1, secondary summary</t>
        </is>
      </c>
    </row>
    <row r="20">
      <c r="A20" t="inlineStr">
        <is>
          <t>Internal Linking - kis page se kis page ko, kaunsa anchor</t>
        </is>
      </c>
    </row>
    <row r="21">
      <c r="A21" t="inlineStr">
        <is>
          <t>Location Wise - emirate / area pages</t>
        </is>
      </c>
    </row>
    <row r="22">
      <c r="A22" t="inlineStr">
        <is>
          <t>Questions &amp; Blog - blog articles + money page link</t>
        </is>
      </c>
    </row>
    <row r="23">
      <c r="A23" t="inlineStr">
        <is>
          <t>Glossary (Shabd-kosh) - SEO ke shabdon ka matlab</t>
        </is>
      </c>
    </row>
    <row r="24">
      <c r="A24" t="inlineStr">
        <is>
          <t>Competitor Research - Semrush se competitor gap ke steps</t>
        </is>
      </c>
    </row>
    <row r="25">
      <c r="A25" t="inlineStr">
        <is>
          <t>Audit Checklist - technical/on-page checks (site abhi dekhi nahi, isliye 'not verified')</t>
        </is>
      </c>
    </row>
    <row r="26">
      <c r="A26" t="inlineStr">
        <is>
          <t>Semrush Import / KP Import - raw export yahan paste karein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7" customWidth="1" min="2" max="2"/>
    <col width="34" customWidth="1" min="3" max="3"/>
    <col width="90" customWidth="1" min="4" max="4"/>
    <col width="26" customWidth="1" min="5" max="5"/>
    <col width="12" customWidth="1" min="6" max="6"/>
    <col width="34" customWidth="1" min="7" max="7"/>
    <col width="40" customWidth="1" min="8" max="8"/>
  </cols>
  <sheetData>
    <row r="1">
      <c r="A1" s="3" t="inlineStr">
        <is>
          <t>Part</t>
        </is>
      </c>
      <c r="B1" s="3" t="inlineStr">
        <is>
          <t>Step</t>
        </is>
      </c>
      <c r="C1" s="3" t="inlineStr">
        <is>
          <t>Kya karna hai</t>
        </is>
      </c>
      <c r="D1" s="3" t="inlineStr">
        <is>
          <t>Kaise karna hai (chhote steps)</t>
        </is>
      </c>
      <c r="E1" s="3" t="inlineStr">
        <is>
          <t>Kahan / kaunsa tool</t>
        </is>
      </c>
      <c r="F1" s="3" t="inlineStr">
        <is>
          <t>Time</t>
        </is>
      </c>
      <c r="G1" s="3" t="inlineStr">
        <is>
          <t>Kaise pata chale ki ho gaya</t>
        </is>
      </c>
      <c r="H1" s="3" t="inlineStr">
        <is>
          <t>Dhyan rakhein (galti)</t>
        </is>
      </c>
    </row>
    <row r="2">
      <c r="A2" s="4" t="inlineStr">
        <is>
          <t>PART A - Pehle site ko Google ke liye khol do (sabse zaroori)</t>
        </is>
      </c>
      <c r="B2" s="4" t="inlineStr">
        <is>
          <t>A1</t>
        </is>
      </c>
      <c r="C2" s="4" t="inlineStr">
        <is>
          <t>Site ka backup lo</t>
        </is>
      </c>
      <c r="D2" s="4" t="inlineStr">
        <is>
          <t>1. WordPress Admin kholo: cookychoice.com/wp-admin (username/password se login).
2. Left menu → Plugins → Add New → 'UpdraftPlus' search → Install → Activate.
3. Settings → UpdraftPlus Backups → 'Backup Now' dabao.
4. Dono tick (database + files) rakho → Backup Now.</t>
        </is>
      </c>
      <c r="E2" s="4" t="inlineStr">
        <is>
          <t>WordPress Admin</t>
        </is>
      </c>
      <c r="F2" s="4" t="inlineStr">
        <is>
          <t>10 min</t>
        </is>
      </c>
      <c r="G2" s="4" t="inlineStr">
        <is>
          <t>Backup list mein aaj ki date dikhe</t>
        </is>
      </c>
      <c r="H2" s="4" t="inlineStr">
        <is>
          <t>Backup ke bina kuch bhi edit mat karo. Kuch bigde to wapas la sakte ho.</t>
        </is>
      </c>
    </row>
    <row r="3">
      <c r="A3" s="4" t="inlineStr">
        <is>
          <t>PART A - Pehle site ko Google ke liye khol do (sabse zaroori)</t>
        </is>
      </c>
      <c r="B3" s="4" t="inlineStr">
        <is>
          <t>A2</t>
        </is>
      </c>
      <c r="C3" s="4" t="inlineStr">
        <is>
          <t>'Discourage search engines' band karo</t>
        </is>
      </c>
      <c r="D3" s="4" t="inlineStr">
        <is>
          <t>1. WP Admin → left menu → Settings → Reading.
2. Neeche 'Search engine visibility' dhundo.
3. 'Discourage search engines from indexing this site' ka TICK HATA do.
4. 'Save Changes' dabao.</t>
        </is>
      </c>
      <c r="E3" s="4" t="inlineStr">
        <is>
          <t>WP Admin → Settings → Reading</t>
        </is>
      </c>
      <c r="F3" s="4" t="inlineStr">
        <is>
          <t>2 min</t>
        </is>
      </c>
      <c r="G3" s="4" t="inlineStr">
        <is>
          <t>Dobara Settings → Reading kholo, tick na ho</t>
        </is>
      </c>
      <c r="H3" s="4" t="inlineStr">
        <is>
          <t>Ye tick laga reh gaya to baaki saara SEO bekaar hai.</t>
        </is>
      </c>
    </row>
    <row r="4">
      <c r="A4" s="4" t="inlineStr">
        <is>
          <t>PART A - Pehle site ko Google ke liye khol do (sabse zaroori)</t>
        </is>
      </c>
      <c r="B4" s="4" t="inlineStr">
        <is>
          <t>A3</t>
        </is>
      </c>
      <c r="C4" s="4" t="inlineStr">
        <is>
          <t>robots.txt check karo</t>
        </is>
      </c>
      <c r="D4" s="4" t="inlineStr">
        <is>
          <t>1. Browser mein kholo: cookychoice.com/robots.txt
2. Dekho 'Disallow: /' likha hai ya nahi.
3. Agar hai to: Yoast SEO → Tools → File editor (ya hosting ka File Manager) → robots.txt kholo → 'Disallow: /' wali line hatao → Save.
4. Sahi robots.txt ka example: User-agent: *\nDisallow: /wp-admin/\nAllow: /wp-admin/admin-ajax.php\nSitemap: https://cookychoice.com/sitemap_index.xml</t>
        </is>
      </c>
      <c r="E4" s="4" t="inlineStr">
        <is>
          <t>Browser + Yoast</t>
        </is>
      </c>
      <c r="F4" s="4" t="inlineStr">
        <is>
          <t>5 min</t>
        </is>
      </c>
      <c r="G4" s="4" t="inlineStr">
        <is>
          <t>'Disallow: /' (akeli slash) nahi dikhe</t>
        </is>
      </c>
      <c r="H4" s="4" t="inlineStr">
        <is>
          <t>Sirf /wp-admin/ block karna theek hai; poori site block nahi.</t>
        </is>
      </c>
    </row>
    <row r="5">
      <c r="A5" s="4" t="inlineStr">
        <is>
          <t>PART A - Pehle site ko Google ke liye khol do (sabse zaroori)</t>
        </is>
      </c>
      <c r="B5" s="4" t="inlineStr">
        <is>
          <t>A4</t>
        </is>
      </c>
      <c r="C5" s="4" t="inlineStr">
        <is>
          <t>noindex tag check karo (har important page par)</t>
        </is>
      </c>
      <c r="D5" s="4" t="inlineStr">
        <is>
          <t>1. Home page kholo.
2. Right click → 'View Page Source'.
3. Ctrl+F dabao, 'noindex' type karo.
4. Kuch mile to: us page ko WP mein edit karo → Yoast SEO box → 'Advanced' → 'Allow search engines to show this page in search results?' = Yes → Update.
5. Yahi har naye page ke liye Publish ke baad check karo.</t>
        </is>
      </c>
      <c r="E5" s="4" t="inlineStr">
        <is>
          <t>Browser + Yoast</t>
        </is>
      </c>
      <c r="F5" s="4" t="inlineStr">
        <is>
          <t>10 min</t>
        </is>
      </c>
      <c r="G5" s="4" t="inlineStr">
        <is>
          <t>Page source mein 'noindex' na mile</t>
        </is>
      </c>
      <c r="H5" s="4" t="inlineStr">
        <is>
          <t>Kabhi-kabhi plugin poori site par noindex lagata hai; Yoast → Settings → Site basics bhi dekh lo.</t>
        </is>
      </c>
    </row>
    <row r="6">
      <c r="A6" s="4" t="inlineStr">
        <is>
          <t>PART A - Pehle site ko Google ke liye khol do (sabse zaroori)</t>
        </is>
      </c>
      <c r="B6" s="4" t="inlineStr">
        <is>
          <t>A5</t>
        </is>
      </c>
      <c r="C6" s="4" t="inlineStr">
        <is>
          <t>Yoast SEO ya RankMath plugin lagao (agar nahi hai)</t>
        </is>
      </c>
      <c r="D6" s="4" t="inlineStr">
        <is>
          <t>1. Plugins → Add New → 'Yoast SEO' search → Install → Activate.
2. Setup wizard chalao: Site type = Business, Organization name = Cookychoice, logo upload.
3. 'Search appearance' mein sab important page types ON rakho.
4. Dono (Yoast aur RankMath) saath mein mat lagana.</t>
        </is>
      </c>
      <c r="E6" s="4" t="inlineStr">
        <is>
          <t>WP Admin → Plugins</t>
        </is>
      </c>
      <c r="F6" s="4" t="inlineStr">
        <is>
          <t>15 min</t>
        </is>
      </c>
      <c r="G6" s="4" t="inlineStr">
        <is>
          <t>Har page ke neeche 'Yoast SEO' box dikhe</t>
        </is>
      </c>
      <c r="H6" s="4" t="inlineStr">
        <is>
          <t>Ek hi SEO plugin rakho.</t>
        </is>
      </c>
    </row>
    <row r="7">
      <c r="A7" s="4" t="inlineStr">
        <is>
          <t>PART A - Pehle site ko Google ke liye khol do (sabse zaroori)</t>
        </is>
      </c>
      <c r="B7" s="4" t="inlineStr">
        <is>
          <t>A6</t>
        </is>
      </c>
      <c r="C7" s="4" t="inlineStr">
        <is>
          <t>Google Search Console set up karo</t>
        </is>
      </c>
      <c r="D7" s="4" t="inlineStr">
        <is>
          <t>1. search.google.com/search-console kholo, Gmail se login.
2. 'Add property' → 'URL prefix' → https://cookychoice.com daalo.
3. Verify ka sabse aasaan tareeka: 'HTML tag' → meta tag copy karo → Yoast → Settings → Site connections → Google verification code mein paste → Save.
4. Wapas GSC mein 'Verify' dabao.</t>
        </is>
      </c>
      <c r="E7" s="4" t="inlineStr">
        <is>
          <t>Google Search Console</t>
        </is>
      </c>
      <c r="F7" s="4" t="inlineStr">
        <is>
          <t>15 min</t>
        </is>
      </c>
      <c r="G7" s="4" t="inlineStr">
        <is>
          <t>Property mein 'Ownership verified' dikhe</t>
        </is>
      </c>
      <c r="H7" s="4" t="inlineStr">
        <is>
          <t>Verify hone tak data nahi aayega.</t>
        </is>
      </c>
    </row>
    <row r="8">
      <c r="A8" s="4" t="inlineStr">
        <is>
          <t>PART A - Pehle site ko Google ke liye khol do (sabse zaroori)</t>
        </is>
      </c>
      <c r="B8" s="4" t="inlineStr">
        <is>
          <t>A7</t>
        </is>
      </c>
      <c r="C8" s="4" t="inlineStr">
        <is>
          <t>Sitemap Google ko do</t>
        </is>
      </c>
      <c r="D8" s="4" t="inlineStr">
        <is>
          <t>1. Browser mein kholo: cookychoice.com/sitemap_index.xml (Yoast apne aap banata hai).
2. GSC → left menu → Sitemaps.
3. 'Add a new sitemap' mein sitemap_index.xml likho → Submit.
4. Status 'Success' hone tak 1 din tak wait karo.</t>
        </is>
      </c>
      <c r="E8" s="4" t="inlineStr">
        <is>
          <t>GSC → Sitemaps</t>
        </is>
      </c>
      <c r="F8" s="4" t="inlineStr">
        <is>
          <t>5 min</t>
        </is>
      </c>
      <c r="G8" s="4" t="inlineStr">
        <is>
          <t>Status 'Success', discovered pages ki sankhya dikhe</t>
        </is>
      </c>
      <c r="H8" s="4" t="inlineStr">
        <is>
          <t>Sitemap mein noindex pages nahi hone chahiye.</t>
        </is>
      </c>
    </row>
    <row r="9">
      <c r="A9" s="4" t="inlineStr">
        <is>
          <t>PART A - Pehle site ko Google ke liye khol do (sabse zaroori)</t>
        </is>
      </c>
      <c r="B9" s="4" t="inlineStr">
        <is>
          <t>A8</t>
        </is>
      </c>
      <c r="C9" s="4" t="inlineStr">
        <is>
          <t>Home page ko turant index karwao</t>
        </is>
      </c>
      <c r="D9" s="4" t="inlineStr">
        <is>
          <t>1. GSC ke upar search bar mein https://cookychoice.com/ paste karo → Enter.
2. 'URL is not on Google' aaye to 'Request indexing' dabao.
3. 1-2 min wait → 'Indexing requested' aayega.
4. Har naya page publish karke yahi karo (limit ~10 requests/din).</t>
        </is>
      </c>
      <c r="E9" s="4" t="inlineStr">
        <is>
          <t>GSC → URL Inspection</t>
        </is>
      </c>
      <c r="F9" s="4" t="inlineStr">
        <is>
          <t>5 min</t>
        </is>
      </c>
      <c r="G9" s="4" t="inlineStr">
        <is>
          <t>1-7 din mein 'URL is on Google' dikhe</t>
        </is>
      </c>
      <c r="H9" s="4" t="inlineStr">
        <is>
          <t>Bar-bar request mat bhejo; ek page ek baar kaafi hai.</t>
        </is>
      </c>
    </row>
    <row r="10">
      <c r="A10" s="4" t="inlineStr">
        <is>
          <t>PART A - Pehle site ko Google ke liye khol do (sabse zaroori)</t>
        </is>
      </c>
      <c r="B10" s="4" t="inlineStr">
        <is>
          <t>A9</t>
        </is>
      </c>
      <c r="C10" s="4" t="inlineStr">
        <is>
          <t>Bing Webmaster Tools</t>
        </is>
      </c>
      <c r="D10" s="4" t="inlineStr">
        <is>
          <t>1. bing.com/webmasters → login.
2. 'Import from Google Search Console' chuno (sabse aasaan).
3. Sitemap automatically aa jaata hai.</t>
        </is>
      </c>
      <c r="E10" s="4" t="inlineStr">
        <is>
          <t>Bing Webmaster</t>
        </is>
      </c>
      <c r="F10" s="4" t="inlineStr">
        <is>
          <t>10 min</t>
        </is>
      </c>
      <c r="G10" s="4" t="inlineStr">
        <is>
          <t>Site Bing mein verified</t>
        </is>
      </c>
      <c r="H10" s="4" t="inlineStr">
        <is>
          <t>-</t>
        </is>
      </c>
    </row>
    <row r="11">
      <c r="A11" s="4" t="inlineStr">
        <is>
          <t>PART A - Pehle site ko Google ke liye khol do (sabse zaroori)</t>
        </is>
      </c>
      <c r="B11" s="4" t="inlineStr">
        <is>
          <t>A10</t>
        </is>
      </c>
      <c r="C11" s="4" t="inlineStr">
        <is>
          <t>Google Analytics 4 lagao</t>
        </is>
      </c>
      <c r="D11" s="4" t="inlineStr">
        <is>
          <t>1. analytics.google.com → Admin → Create Property → 'Cookychoice' → Time zone = UAE, Currency = AED.
2. Data stream → Web → URL daalo → 'Measurement ID' (G-XXXX) copy karo.
3. WP → Plugins → 'Site Kit by Google' install → Google se connect karo, GA4 chuno. (Ya Yoast/header mein ID paste.)
4. 24 ghante baad Reports → Realtime kholo aur apne phone se site kholkar dekho ki 1 user dikhe.</t>
        </is>
      </c>
      <c r="E11" s="4" t="inlineStr">
        <is>
          <t>GA4 + Site Kit</t>
        </is>
      </c>
      <c r="F11" s="4" t="inlineStr">
        <is>
          <t>20 min</t>
        </is>
      </c>
      <c r="G11" s="4" t="inlineStr">
        <is>
          <t>Realtime mein aapka visit dikhe</t>
        </is>
      </c>
      <c r="H11" s="4" t="inlineStr">
        <is>
          <t>Conversions (quote form) agle step mein set honge.</t>
        </is>
      </c>
    </row>
    <row r="12">
      <c r="A12" s="4" t="inlineStr">
        <is>
          <t>PART A - Pehle site ko Google ke liye khol do (sabse zaroori)</t>
        </is>
      </c>
      <c r="B12" s="4" t="inlineStr">
        <is>
          <t>A11</t>
        </is>
      </c>
      <c r="C12" s="4" t="inlineStr">
        <is>
          <t>Quote form + WhatsApp click ko 'conversion' banao</t>
        </is>
      </c>
      <c r="D12" s="4" t="inlineStr">
        <is>
          <t>1. Get Quote page par form plugin (Contact Form 7/WPForms) lagao; submit ke baad /thank-you/ page par bhejo.
2. GA4 → Admin → Events → 'Create event' → page_view jahan URL contains /thank-you/ → naam 'quote_submit'.
3. Events list mein 'quote_submit' ko 'Mark as key event' karo.
4. WhatsApp button / phone click ke liye bhi alag event (Site Kit ya Google Tag Manager se).</t>
        </is>
      </c>
      <c r="E12" s="4" t="inlineStr">
        <is>
          <t>GA4</t>
        </is>
      </c>
      <c r="F12" s="4" t="inlineStr">
        <is>
          <t>30 min</t>
        </is>
      </c>
      <c r="G12" s="4" t="inlineStr">
        <is>
          <t>Test form bharne par event Realtime mein dikhe</t>
        </is>
      </c>
      <c r="H12" s="4" t="inlineStr">
        <is>
          <t>Bina conversion tracking ke pata nahi chalega SEO se order aaya ya nahi.</t>
        </is>
      </c>
    </row>
    <row r="13">
      <c r="A13" s="4" t="inlineStr">
        <is>
          <t>PART A - Pehle site ko Google ke liye khol do (sabse zaroori)</t>
        </is>
      </c>
      <c r="B13" s="4" t="inlineStr">
        <is>
          <t>A12</t>
        </is>
      </c>
      <c r="C13" s="4" t="inlineStr">
        <is>
          <t>Pura site crawl karo (technical errors ke liye)</t>
        </is>
      </c>
      <c r="D13" s="4" t="inlineStr">
        <is>
          <t>1. Semrush → Site Audit → New project → cookychoice.com → Start (ya Screaming Frog free: 500 URL tak).
2. Report mein Errors → Warnings → Notices kram se dekho.
3. Har error 'Audit Checklist' tab mein likho: error, URL, fix, status.
4. Critical: 404, 5xx, redirect chain, duplicate title, missing H1, noindex.</t>
        </is>
      </c>
      <c r="E13" s="4" t="inlineStr">
        <is>
          <t>Semrush Site Audit</t>
        </is>
      </c>
      <c r="F13" s="4" t="inlineStr">
        <is>
          <t>30 min + fix time</t>
        </is>
      </c>
      <c r="G13" s="4" t="inlineStr">
        <is>
          <t>Errors ki list sheet mein ban jaye</t>
        </is>
      </c>
      <c r="H13" s="4" t="inlineStr">
        <is>
          <t>Ye step tab ho paayega jab site Semrush crawler ke liye khuli ho.</t>
        </is>
      </c>
    </row>
    <row r="14">
      <c r="A14" s="4" t="inlineStr">
        <is>
          <t>PART B - Keyword ka asli data lao (volume aur difficulty)</t>
        </is>
      </c>
      <c r="B14" s="4" t="inlineStr">
        <is>
          <t>B1</t>
        </is>
      </c>
      <c r="C14" s="4" t="inlineStr">
        <is>
          <t>Semrush mein login karo</t>
        </is>
      </c>
      <c r="D14" s="4" t="inlineStr">
        <is>
          <t>1. Toolzbuy.com kholo → apne account se login.
2. Semrush ka link kholo.
3. Upar database ko 'United Arab Emirates' (UAE) select karo.</t>
        </is>
      </c>
      <c r="E14" s="4" t="inlineStr">
        <is>
          <t>toolzbuy.com → Semrush</t>
        </is>
      </c>
      <c r="F14" s="4" t="inlineStr">
        <is>
          <t>5 min</t>
        </is>
      </c>
      <c r="G14" s="4" t="inlineStr">
        <is>
          <t>Semrush dashboard khule</t>
        </is>
      </c>
      <c r="H14" s="4" t="inlineStr">
        <is>
          <t>Database galat (US) rahega to numbers galat honge.</t>
        </is>
      </c>
    </row>
    <row r="15">
      <c r="A15" s="4" t="inlineStr">
        <is>
          <t>PART B - Keyword ka asli data lao (volume aur difficulty)</t>
        </is>
      </c>
      <c r="B15" s="4" t="inlineStr">
        <is>
          <t>B2</t>
        </is>
      </c>
      <c r="C15" s="4" t="inlineStr">
        <is>
          <t>Keyword Magic Tool se naye keywords nikalo</t>
        </is>
      </c>
      <c r="D15" s="4" t="inlineStr">
        <is>
          <t>1. Left menu → Keyword Research → Keyword Magic Tool.
2. Seed keyword type karo (ek ek karke): rice wholesale, rice importers, basmati rice supplier, rice export, rice price per ton, private label rice, rice supplier.
3. Database = UAE, phir ek baar Global bhi (trade terms ke liye).
4. Filters: Volume &gt; 10, KD &lt; 70.
5. Result upar-right 'Export' → CSV download.</t>
        </is>
      </c>
      <c r="E15" s="4" t="inlineStr">
        <is>
          <t>Semrush → Keyword Magic Tool</t>
        </is>
      </c>
      <c r="F15" s="4" t="inlineStr">
        <is>
          <t>30 min</t>
        </is>
      </c>
      <c r="G15" s="4" t="inlineStr">
        <is>
          <t>7-8 CSV files download hon</t>
        </is>
      </c>
      <c r="H15" s="4" t="inlineStr">
        <is>
          <t>Sirf aapke business se jude keywords rakho (jaise 'rice recipe' B2B ke liye nahi).</t>
        </is>
      </c>
    </row>
    <row r="16">
      <c r="A16" s="4" t="inlineStr">
        <is>
          <t>PART B - Keyword ka asli data lao (volume aur difficulty)</t>
        </is>
      </c>
      <c r="B16" s="4" t="inlineStr">
        <is>
          <t>B3</t>
        </is>
      </c>
      <c r="C16" s="4" t="inlineStr">
        <is>
          <t>Apni list ka volume/KD nikalo (Bulk Analysis)</t>
        </is>
      </c>
      <c r="D16" s="4" t="inlineStr">
        <is>
          <t>1. Semrush → Keyword Overview → 'Bulk analysis' tab.
2. Workbook ka 'Keyword Master' kholo → column A (Keyword) copy karo (100 keywords ek baar mein).
3. Semrush mein paste → Analyze.
4. Table aane par Export → CSV.
5. 100-100 ke batch mein pura 575+ kaam khatam karo.</t>
        </is>
      </c>
      <c r="E16" s="4" t="inlineStr">
        <is>
          <t>Semrush Bulk Analysis</t>
        </is>
      </c>
      <c r="F16" s="4" t="inlineStr">
        <is>
          <t>40 min</t>
        </is>
      </c>
      <c r="G16" s="4" t="inlineStr">
        <is>
          <t>Har batch ka CSV ban jaye</t>
        </is>
      </c>
      <c r="H16" s="4" t="inlineStr">
        <is>
          <t>Free account mein limit hoti hai; paid/toolzbuy account mein 100 per run.</t>
        </is>
      </c>
    </row>
    <row r="17">
      <c r="A17" s="4" t="inlineStr">
        <is>
          <t>PART B - Keyword ka asli data lao (volume aur difficulty)</t>
        </is>
      </c>
      <c r="B17" s="4" t="inlineStr">
        <is>
          <t>B4</t>
        </is>
      </c>
      <c r="C17" s="4" t="inlineStr">
        <is>
          <t>Google Keyword Planner se volume lo</t>
        </is>
      </c>
      <c r="D17" s="4" t="inlineStr">
        <is>
          <t>1. ads.google.com → Tools → Keyword Planner.
2. 'Get search volume and forecasts' chuno.
3. Keywords paste karo (10,000 tak).
4. Location = United Arab Emirates (phir alag se Dubai).
5. Download → CSV.</t>
        </is>
      </c>
      <c r="E17" s="4" t="inlineStr">
        <is>
          <t>Google Ads → Keyword Planner</t>
        </is>
      </c>
      <c r="F17" s="4" t="inlineStr">
        <is>
          <t>20 min</t>
        </is>
      </c>
      <c r="G17" s="4" t="inlineStr">
        <is>
          <t>CSV mil jaye</t>
        </is>
      </c>
      <c r="H17" s="4" t="inlineStr">
        <is>
          <t>Planner volume ranges deta hai (1K-10K) jab tak ad spend na ho; Semrush ko pehle rakhein.</t>
        </is>
      </c>
    </row>
    <row r="18">
      <c r="A18" s="4" t="inlineStr">
        <is>
          <t>PART B - Keyword ka asli data lao (volume aur difficulty)</t>
        </is>
      </c>
      <c r="B18" s="4" t="inlineStr">
        <is>
          <t>B5</t>
        </is>
      </c>
      <c r="C18" s="4" t="inlineStr">
        <is>
          <t>Data workbook mein daalo</t>
        </is>
      </c>
      <c r="D18" s="4" t="inlineStr">
        <is>
          <t>1. Workbook 'Semrush Import' tab kholo.
2. Semrush CSV se 4 columns copy karo: Keyword, Volume, KD, CPC → A2 se paste (headers ke neeche).
3. 'KP Import' tab mein Keyword Planner ka data.
4. 'Keyword Master' mein columns M-P apne aap bhar jayenge (formula).</t>
        </is>
      </c>
      <c r="E18" s="4" t="inlineStr">
        <is>
          <t>Google Sheets</t>
        </is>
      </c>
      <c r="F18" s="4" t="inlineStr">
        <is>
          <t>15 min</t>
        </is>
      </c>
      <c r="G18" s="4" t="inlineStr">
        <is>
          <t>Keyword Master mein numbers dikhen</t>
        </is>
      </c>
      <c r="H18" s="4" t="inlineStr">
        <is>
          <t>Keyword ka spelling dono jagah bilkul same ho, warna lookup nahi hoga.</t>
        </is>
      </c>
    </row>
    <row r="19">
      <c r="A19" s="4" t="inlineStr">
        <is>
          <t>PART B - Keyword ka asli data lao (volume aur difficulty)</t>
        </is>
      </c>
      <c r="B19" s="4" t="inlineStr">
        <is>
          <t>B6</t>
        </is>
      </c>
      <c r="C19" s="4" t="inlineStr">
        <is>
          <t>Priority nikalo</t>
        </is>
      </c>
      <c r="D19" s="4" t="inlineStr">
        <is>
          <t>1. Keyword Master → Data → 'Create a filter' (agar nahi hai).
2. Column B (Phase) filter = 'Phase 1'.
3. Column Q (Priority score) pe Z→A sort.
4. Column R mein A / B / C tier dikhega.
5. A-tier keywords sabse pehle kaam par aayenge.</t>
        </is>
      </c>
      <c r="E19" s="4" t="inlineStr">
        <is>
          <t>Google Sheets</t>
        </is>
      </c>
      <c r="F19" s="4" t="inlineStr">
        <is>
          <t>10 min</t>
        </is>
      </c>
      <c r="G19" s="4" t="inlineStr">
        <is>
          <t>A-tier ki list ban jaye</t>
        </is>
      </c>
      <c r="H19" s="4" t="inlineStr">
        <is>
          <t>Score kam ho par buying-intent (price per ton, importers, quote) wale keywords bhi rakho.</t>
        </is>
      </c>
    </row>
    <row r="20">
      <c r="A20" s="4" t="inlineStr">
        <is>
          <t>PART B - Keyword ka asli data lao (volume aur difficulty)</t>
        </is>
      </c>
      <c r="B20" s="4" t="inlineStr">
        <is>
          <t>B7</t>
        </is>
      </c>
      <c r="C20" s="4" t="inlineStr">
        <is>
          <t>Competitors ka gap dekho</t>
        </is>
      </c>
      <c r="D20" s="4" t="inlineStr">
        <is>
          <t>1. Google par 'rice wholesale dubai', 'rice importers uae', 'basmati rice supplier uae' search karo.
2. Top 5 UAE rice companies ke domain likho.
3. Semrush → Competitive Research → Keyword Gap → apna domain + 3-5 competitors → Compare.
4. 'Missing' / 'Weak' keywords export karo.
5. Jo business se milte hain, Keyword Master ke neeche naye rows mein add karo (Phase 1).</t>
        </is>
      </c>
      <c r="E20" s="4" t="inlineStr">
        <is>
          <t>Semrush Keyword Gap</t>
        </is>
      </c>
      <c r="F20" s="4" t="inlineStr">
        <is>
          <t>45 min</t>
        </is>
      </c>
      <c r="G20" s="4" t="inlineStr">
        <is>
          <t>10-30 naye keywords mile</t>
        </is>
      </c>
      <c r="H20" s="4" t="inlineStr">
        <is>
          <t>Marketplace (Alibaba, IndiaMART) ko competitor mat samjho; rice trading companies dekho.</t>
        </is>
      </c>
    </row>
    <row r="21">
      <c r="A21" s="4" t="inlineStr">
        <is>
          <t>PART B - Keyword ka asli data lao (volume aur difficulty)</t>
        </is>
      </c>
      <c r="B21" s="4" t="inlineStr">
        <is>
          <t>B8</t>
        </is>
      </c>
      <c r="C21" s="4" t="inlineStr">
        <is>
          <t>Har keyword ka SERP ek baar dekho (top 20 priority ke liye)</t>
        </is>
      </c>
      <c r="D21" s="4" t="inlineStr">
        <is>
          <t>1. Keyword Google mein search karo (incognito, location UAE).
2. Dekho top 10 mein kaun hain: company site, directory, ya blog.
3. Agar sab directories/marketplace hain to aapko 'supplier page' bana ke rank karna aasaan hai.
4. Agar sab blog/news hain to us keyword ke liye blog article likho.</t>
        </is>
      </c>
      <c r="E21" s="4" t="inlineStr">
        <is>
          <t>Google (incognito)</t>
        </is>
      </c>
      <c r="F21" s="4" t="inlineStr">
        <is>
          <t>1 din</t>
        </is>
      </c>
      <c r="G21" s="4" t="inlineStr">
        <is>
          <t>Top 20 keywords ke saamne 'SERP type' note ho</t>
        </is>
      </c>
      <c r="H21" s="4" t="inlineStr">
        <is>
          <t>SERP jaisa content hi banao: SERP mein pages hain to page, blog hain to blog.</t>
        </is>
      </c>
    </row>
    <row r="22">
      <c r="A22" s="4" t="inlineStr">
        <is>
          <t>PART C - Ek page ko optimise karne ka pura process (har page ke liye yahi dohrana)</t>
        </is>
      </c>
      <c r="B22" s="4" t="inlineStr">
        <is>
          <t>C1</t>
        </is>
      </c>
      <c r="C22" s="4" t="inlineStr">
        <is>
          <t>Page chuno</t>
        </is>
      </c>
      <c r="D22" s="4" t="inlineStr">
        <is>
          <t>1. 'Page Placement Map' tab kholo.
2. Pehle in pages ko lo: Home → Wholesale → Importers &amp; Exporters → Price per ton → Export → Basmati category... (Phase 1 order).
3. Ek baar mein sirf ek page par kaam karo.</t>
        </is>
      </c>
      <c r="E22" s="4" t="inlineStr">
        <is>
          <t>Google Sheets</t>
        </is>
      </c>
      <c r="F22" s="4" t="inlineStr">
        <is>
          <t>1 min</t>
        </is>
      </c>
      <c r="G22" s="4" t="inlineStr">
        <is>
          <t>Page tay ho gaya</t>
        </is>
      </c>
      <c r="H22" s="4" t="inlineStr">
        <is>
          <t>-</t>
        </is>
      </c>
    </row>
    <row r="23">
      <c r="A23" s="4" t="inlineStr">
        <is>
          <t>PART C - Ek page ko optimise karne ka pura process (har page ke liye yahi dohrana)</t>
        </is>
      </c>
      <c r="B23" s="4" t="inlineStr">
        <is>
          <t>C2</t>
        </is>
      </c>
      <c r="C23" s="4" t="inlineStr">
        <is>
          <t>Us page ke saare keywords nikalo</t>
        </is>
      </c>
      <c r="D23" s="4" t="inlineStr">
        <is>
          <t>1. 'Keyword Master' kholo.
2. Column D (FINAL PAGE) par filter lagao → us page ka naam chuno.
3. Column E dekho: PRIMARY (ek), baaki Secondary.
4. Column F bataata hai ki keyword kahan lagana hai.
5. Priority score ke hisaab se sort karo.</t>
        </is>
      </c>
      <c r="E23" s="4" t="inlineStr">
        <is>
          <t>Keyword Master</t>
        </is>
      </c>
      <c r="F23" s="4" t="inlineStr">
        <is>
          <t>5 min</t>
        </is>
      </c>
      <c r="G23" s="4" t="inlineStr">
        <is>
          <t>Us page ki keyword list saamne ho</t>
        </is>
      </c>
      <c r="H23" s="4" t="inlineStr">
        <is>
          <t>Ek keyword sirf ek hi page ka primary hoga.</t>
        </is>
      </c>
    </row>
    <row r="24">
      <c r="A24" s="4" t="inlineStr">
        <is>
          <t>PART C - Ek page ko optimise karne ka pura process (har page ke liye yahi dohrana)</t>
        </is>
      </c>
      <c r="B24" s="4" t="inlineStr">
        <is>
          <t>C3</t>
        </is>
      </c>
      <c r="C24" s="4" t="inlineStr">
        <is>
          <t>Competitor page padho (research)</t>
        </is>
      </c>
      <c r="D24" s="4" t="inlineStr">
        <is>
          <t>1. Primary keyword Google mein search karo.
2. Top 3 results kholo.
3. Note karo: heading kya hain (H2), kitne shabd, kaun si trade details (MOQ, packing, certificates), FAQ.
4. Aap wahi sab + zyada behtar dena.</t>
        </is>
      </c>
      <c r="E24" s="4" t="inlineStr">
        <is>
          <t>Google</t>
        </is>
      </c>
      <c r="F24" s="4" t="inlineStr">
        <is>
          <t>20 min</t>
        </is>
      </c>
      <c r="G24" s="4" t="inlineStr">
        <is>
          <t>3 competitors ke headings note</t>
        </is>
      </c>
      <c r="H24" s="4" t="inlineStr">
        <is>
          <t>Copy-paste mat karo; sirf structure samjho.</t>
        </is>
      </c>
    </row>
    <row r="25">
      <c r="A25" s="4" t="inlineStr">
        <is>
          <t>PART C - Ek page ko optimise karne ka pura process (har page ke liye yahi dohrana)</t>
        </is>
      </c>
      <c r="B25" s="4" t="inlineStr">
        <is>
          <t>C4</t>
        </is>
      </c>
      <c r="C25" s="4" t="inlineStr">
        <is>
          <t>WordPress mein page kholo</t>
        </is>
      </c>
      <c r="D25" s="4" t="inlineStr">
        <is>
          <t>1. WP Admin → Pages → All Pages → us page par 'Edit'.
2. Page nahi hai to Pages → Add New → title likho.
3. Editor (Gutenberg/Elementor) khulega.</t>
        </is>
      </c>
      <c r="E25" s="4" t="inlineStr">
        <is>
          <t>WP Admin</t>
        </is>
      </c>
      <c r="F25" s="4" t="inlineStr">
        <is>
          <t>1 min</t>
        </is>
      </c>
      <c r="G25" s="4" t="inlineStr">
        <is>
          <t>Editor khula</t>
        </is>
      </c>
      <c r="H25" s="4" t="inlineStr">
        <is>
          <t>Live page par edit karte waqt pehle draft copy bana lo.</t>
        </is>
      </c>
    </row>
    <row r="26">
      <c r="A26" s="4" t="inlineStr">
        <is>
          <t>PART C - Ek page ko optimise karne ka pura process (har page ke liye yahi dohrana)</t>
        </is>
      </c>
      <c r="B26" s="4" t="inlineStr">
        <is>
          <t>C5</t>
        </is>
      </c>
      <c r="C26" s="4" t="inlineStr">
        <is>
          <t>URL slug set karo</t>
        </is>
      </c>
      <c r="D26" s="4" t="inlineStr">
        <is>
          <t>1. Right side panel (Settings) → 'Summary' ya Yoast box → 'Slug' / 'Permalink'.
2. Page Placement Map ke hisaab se slug likho (sirf primary keyword, hyphen se).
3. Slug badla ho to purane URL ka 301 redirect (Yoast Premium / Redirection plugin).</t>
        </is>
      </c>
      <c r="E26" s="4" t="inlineStr">
        <is>
          <t>WP editor</t>
        </is>
      </c>
      <c r="F26" s="4" t="inlineStr">
        <is>
          <t>2 min</t>
        </is>
      </c>
      <c r="G26" s="4" t="inlineStr">
        <is>
          <t>URL browser mein sahi khule</t>
        </is>
      </c>
      <c r="H26" s="4" t="inlineStr">
        <is>
          <t>Live page ka URL baar-baar mat badlo.</t>
        </is>
      </c>
    </row>
    <row r="27">
      <c r="A27" s="4" t="inlineStr">
        <is>
          <t>PART C - Ek page ko optimise karne ka pura process (har page ke liye yahi dohrana)</t>
        </is>
      </c>
      <c r="B27" s="4" t="inlineStr">
        <is>
          <t>C6</t>
        </is>
      </c>
      <c r="C27" s="4" t="inlineStr">
        <is>
          <t>SEO title likho</t>
        </is>
      </c>
      <c r="D27" s="4" t="inlineStr">
        <is>
          <t>1. Page ke neeche Yoast SEO box → 'Google preview' → 'Edit snippet'.
2. 'SEO title' mein Placement Map ka title paste karo.
3. Yoast ki bar green ho; 60 characters ke andar.</t>
        </is>
      </c>
      <c r="E27" s="4" t="inlineStr">
        <is>
          <t>Yoast</t>
        </is>
      </c>
      <c r="F27" s="4" t="inlineStr">
        <is>
          <t>3 min</t>
        </is>
      </c>
      <c r="G27" s="4" t="inlineStr">
        <is>
          <t>Title bar green; kata nahi</t>
        </is>
      </c>
      <c r="H27" s="4" t="inlineStr">
        <is>
          <t>Title ke shuru mein primary keyword.</t>
        </is>
      </c>
    </row>
    <row r="28">
      <c r="A28" s="4" t="inlineStr">
        <is>
          <t>PART C - Ek page ko optimise karne ka pura process (har page ke liye yahi dohrana)</t>
        </is>
      </c>
      <c r="B28" s="4" t="inlineStr">
        <is>
          <t>C7</t>
        </is>
      </c>
      <c r="C28" s="4" t="inlineStr">
        <is>
          <t>Meta description likho</t>
        </is>
      </c>
      <c r="D28" s="4" t="inlineStr">
        <is>
          <t>1. Yoast box → 'Meta description'.
2. Map ka template lo, apni sachchi details daalo (origin, pack sizes, MOQ).
3. 140-155 characters; end mein 'Get a quote' jaisa CTA.</t>
        </is>
      </c>
      <c r="E28" s="4" t="inlineStr">
        <is>
          <t>Yoast</t>
        </is>
      </c>
      <c r="F28" s="4" t="inlineStr">
        <is>
          <t>3 min</t>
        </is>
      </c>
      <c r="G28" s="4" t="inlineStr">
        <is>
          <t>Bar green</t>
        </is>
      </c>
      <c r="H28" s="4" t="inlineStr">
        <is>
          <t>Jhooth mat likho (jaise certification jo nahi hai).</t>
        </is>
      </c>
    </row>
    <row r="29">
      <c r="A29" s="4" t="inlineStr">
        <is>
          <t>PART C - Ek page ko optimise karne ka pura process (har page ke liye yahi dohrana)</t>
        </is>
      </c>
      <c r="B29" s="4" t="inlineStr">
        <is>
          <t>C8</t>
        </is>
      </c>
      <c r="C29" s="4" t="inlineStr">
        <is>
          <t>Focus keyphrase set karo</t>
        </is>
      </c>
      <c r="D29" s="4" t="inlineStr">
        <is>
          <t>1. Yoast box → 'Focus keyphrase' mein primary keyword paste.
2. Yoast ke checks dekho, lekin sirf guide ki tarah — har light green karne ke liye content kharab mat karo.</t>
        </is>
      </c>
      <c r="E29" s="4" t="inlineStr">
        <is>
          <t>Yoast</t>
        </is>
      </c>
      <c r="F29" s="4" t="inlineStr">
        <is>
          <t>1 min</t>
        </is>
      </c>
      <c r="G29" s="4" t="inlineStr">
        <is>
          <t>Focus keyphrase save</t>
        </is>
      </c>
      <c r="H29" s="4" t="inlineStr">
        <is>
          <t>-</t>
        </is>
      </c>
    </row>
    <row r="30">
      <c r="A30" s="4" t="inlineStr">
        <is>
          <t>PART C - Ek page ko optimise karne ka pura process (har page ke liye yahi dohrana)</t>
        </is>
      </c>
      <c r="B30" s="4" t="inlineStr">
        <is>
          <t>C9</t>
        </is>
      </c>
      <c r="C30" s="4" t="inlineStr">
        <is>
          <t>H1 likho</t>
        </is>
      </c>
      <c r="D30" s="4" t="inlineStr">
        <is>
          <t>1. Page ka sabse upar ka heading → block type 'Heading' → Level H1.
2. Placement Map ka H1 likho.
3. Poore page mein sirf ek H1.</t>
        </is>
      </c>
      <c r="E30" s="4" t="inlineStr">
        <is>
          <t>WP editor</t>
        </is>
      </c>
      <c r="F30" s="4" t="inlineStr">
        <is>
          <t>2 min</t>
        </is>
      </c>
      <c r="G30" s="4" t="inlineStr">
        <is>
          <t>Sirf ek H1</t>
        </is>
      </c>
      <c r="H30" s="4" t="inlineStr">
        <is>
          <t>Theme kabhi page title ko H1 bana deta hai; duplicate H1 mat bano.</t>
        </is>
      </c>
    </row>
    <row r="31">
      <c r="A31" s="4" t="inlineStr">
        <is>
          <t>PART C - Ek page ko optimise karne ka pura process (har page ke liye yahi dohrana)</t>
        </is>
      </c>
      <c r="B31" s="4" t="inlineStr">
        <is>
          <t>C10</t>
        </is>
      </c>
      <c r="C31" s="4" t="inlineStr">
        <is>
          <t>Pehle 100 shabd likho</t>
        </is>
      </c>
      <c r="D31" s="4" t="inlineStr">
        <is>
          <t>1. H1 ke neeche 3-4 line ka intro.
2. Pehli 1-2 line mein primary keyword aaye.
3. Batao: aap kaun ho, kisko supply karte ho, kahan se kahan, kitna maal.
4. Last mein CTA line: 'Request a quote'.</t>
        </is>
      </c>
      <c r="E31" s="4" t="inlineStr">
        <is>
          <t>WP editor</t>
        </is>
      </c>
      <c r="F31" s="4" t="inlineStr">
        <is>
          <t>10 min</t>
        </is>
      </c>
      <c r="G31" s="4" t="inlineStr">
        <is>
          <t>Intro mein primary keyword + CTA</t>
        </is>
      </c>
      <c r="H31" s="4" t="inlineStr">
        <is>
          <t>Marketing wali bhari-bharkam line mat likho; seedhi baat.</t>
        </is>
      </c>
    </row>
    <row r="32">
      <c r="A32" s="4" t="inlineStr">
        <is>
          <t>PART C - Ek page ko optimise karne ka pura process (har page ke liye yahi dohrana)</t>
        </is>
      </c>
      <c r="B32" s="4" t="inlineStr">
        <is>
          <t>C11</t>
        </is>
      </c>
      <c r="C32" s="4" t="inlineStr">
        <is>
          <t>H2 sections banao</t>
        </is>
      </c>
      <c r="D32" s="4" t="inlineStr">
        <is>
          <t>1. 'Page Placement Map' ki row '6. H2 headings' ke keywords lo.
2. Har keyword ke liye ek H2 heading likho (heading block → H2).
3. Har H2 ke neeche 80-150 shabd likho: kya, kitna, kaise.
4. Trade page ho to ye sections zaroor rakho: Products, Pack sizes &amp; MOQ, Origins, Shipping terms (FOB/CIF), Payment terms, Documents, FAQ.</t>
        </is>
      </c>
      <c r="E32" s="4" t="inlineStr">
        <is>
          <t>WP editor</t>
        </is>
      </c>
      <c r="F32" s="4" t="inlineStr">
        <is>
          <t>1-2 ghante</t>
        </is>
      </c>
      <c r="G32" s="4" t="inlineStr">
        <is>
          <t>Har H2 ke neeche asli content</t>
        </is>
      </c>
      <c r="H32" s="4" t="inlineStr">
        <is>
          <t>H2 sirf keyword ki list na ho — content ke saath ho.</t>
        </is>
      </c>
    </row>
    <row r="33">
      <c r="A33" s="4" t="inlineStr">
        <is>
          <t>PART C - Ek page ko optimise karne ka pura process (har page ke liye yahi dohrana)</t>
        </is>
      </c>
      <c r="B33" s="4" t="inlineStr">
        <is>
          <t>C12</t>
        </is>
      </c>
      <c r="C33" s="4" t="inlineStr">
        <is>
          <t>Trade facts table banao</t>
        </is>
      </c>
      <c r="D33" s="4" t="inlineStr">
        <is>
          <t>1. Table block daalo.
2. Rows: Product | Origin | Grain length | Pack size | MOQ | Price basis (FOB/CIF) | Lead time.
3. Real details daalo (jo aap sach mein offer karte ho).</t>
        </is>
      </c>
      <c r="E33" s="4" t="inlineStr">
        <is>
          <t>WP editor</t>
        </is>
      </c>
      <c r="F33" s="4" t="inlineStr">
        <is>
          <t>20 min</t>
        </is>
      </c>
      <c r="G33" s="4" t="inlineStr">
        <is>
          <t>Table page pe dikhe</t>
        </is>
      </c>
      <c r="H33" s="4" t="inlineStr">
        <is>
          <t>Fake data buyers ka bharosa tod deta hai.</t>
        </is>
      </c>
    </row>
    <row r="34">
      <c r="A34" s="4" t="inlineStr">
        <is>
          <t>PART C - Ek page ko optimise karne ka pura process (har page ke liye yahi dohrana)</t>
        </is>
      </c>
      <c r="B34" s="4" t="inlineStr">
        <is>
          <t>C13</t>
        </is>
      </c>
      <c r="C34" s="4" t="inlineStr">
        <is>
          <t>Baaki keywords body mein daalo</t>
        </is>
      </c>
      <c r="D34" s="4" t="inlineStr">
        <is>
          <t>1. Map ki row '7. H3 / body' ki keywords lo.
2. Natural jagah par: bullet list, table, paragraph, H3.
3. Ek keyword 1-2 baar. Synonyms use karo (supplier/trader/exporter).
4. Page ko ek baar zor se padho — robot jaisa lage to dobara likho.</t>
        </is>
      </c>
      <c r="E34" s="4" t="inlineStr">
        <is>
          <t>WP editor</t>
        </is>
      </c>
      <c r="F34" s="4" t="inlineStr">
        <is>
          <t>30 min</t>
        </is>
      </c>
      <c r="G34" s="4" t="inlineStr">
        <is>
          <t>Padhne mein natural lage</t>
        </is>
      </c>
      <c r="H34" s="4" t="inlineStr">
        <is>
          <t>Keyword stuffing se penalty ho sakti hai.</t>
        </is>
      </c>
    </row>
    <row r="35">
      <c r="A35" s="4" t="inlineStr">
        <is>
          <t>PART C - Ek page ko optimise karne ka pura process (har page ke liye yahi dohrana)</t>
        </is>
      </c>
      <c r="B35" s="4" t="inlineStr">
        <is>
          <t>C14</t>
        </is>
      </c>
      <c r="C35" s="4" t="inlineStr">
        <is>
          <t>Images lagao aur alt text bharo</t>
        </is>
      </c>
      <c r="D35" s="4" t="inlineStr">
        <is>
          <t>1. Real photos lo (godown, bag packing, sample). Stock photo kam.
2. File ka naam badlo (jaise sella-basmati-rice-25kg-bag.jpg).
3. Tinypng.com ya Squoosh se compress (100 KB ke andar), WebP format best.
4. WP Media → image → 'Alt Text' → batao image mein kya hai + keyword natural.
5. Page pe max 3-6 images.</t>
        </is>
      </c>
      <c r="E35" s="4" t="inlineStr">
        <is>
          <t>WP Media + Squoosh</t>
        </is>
      </c>
      <c r="F35" s="4" t="inlineStr">
        <is>
          <t>30 min</t>
        </is>
      </c>
      <c r="G35" s="4" t="inlineStr">
        <is>
          <t>Har image ka alt text bhara</t>
        </is>
      </c>
      <c r="H35" s="4" t="inlineStr">
        <is>
          <t>Har image mein same keyword mat daalo.</t>
        </is>
      </c>
    </row>
    <row r="36">
      <c r="A36" s="4" t="inlineStr">
        <is>
          <t>PART C - Ek page ko optimise karne ka pura process (har page ke liye yahi dohrana)</t>
        </is>
      </c>
      <c r="B36" s="4" t="inlineStr">
        <is>
          <t>C15</t>
        </is>
      </c>
      <c r="C36" s="4" t="inlineStr">
        <is>
          <t>FAQ section banao</t>
        </is>
      </c>
      <c r="D36" s="4" t="inlineStr">
        <is>
          <t>1. 'Page Placement Map' row '8. FAQ' ke questions lo.
2. Yoast FAQ block (ya RankMath FAQ block) daalo.
3. Har question ka 40-60 shabd ka seedha jawab.
4. Apne asli salesperson se pucho ki buyers kya poochte hain, wo bhi add karo.</t>
        </is>
      </c>
      <c r="E36" s="4" t="inlineStr">
        <is>
          <t>Yoast FAQ block</t>
        </is>
      </c>
      <c r="F36" s="4" t="inlineStr">
        <is>
          <t>30 min</t>
        </is>
      </c>
      <c r="G36" s="4" t="inlineStr">
        <is>
          <t>5-8 FAQ ban gaye</t>
        </is>
      </c>
      <c r="H36" s="4" t="inlineStr">
        <is>
          <t>FAQ mein ad copy mat likho.</t>
        </is>
      </c>
    </row>
    <row r="37">
      <c r="A37" s="4" t="inlineStr">
        <is>
          <t>PART C - Ek page ko optimise karne ka pura process (har page ke liye yahi dohrana)</t>
        </is>
      </c>
      <c r="B37" s="4" t="inlineStr">
        <is>
          <t>C16</t>
        </is>
      </c>
      <c r="C37" s="4" t="inlineStr">
        <is>
          <t>Internal links lagao (page se bahar jaane wale)</t>
        </is>
      </c>
      <c r="D37" s="4" t="inlineStr">
        <is>
          <t>1. 'Internal Linking' tab mein is page ki row dhundo (Link FROM = ye page).
2. Sentence select karo → link icon → target URL → anchor text wahi jo sheet mein hai.
3. Kam se kam 3-5 internal links; ek Get Quote ka.
4. 'Open in new tab' mat karo (internal links ke liye).</t>
        </is>
      </c>
      <c r="E37" s="4" t="inlineStr">
        <is>
          <t>WP editor</t>
        </is>
      </c>
      <c r="F37" s="4" t="inlineStr">
        <is>
          <t>15 min</t>
        </is>
      </c>
      <c r="G37" s="4" t="inlineStr">
        <is>
          <t>3-5 links</t>
        </is>
      </c>
      <c r="H37" s="4" t="inlineStr">
        <is>
          <t>Anchor 'click here' nahi.</t>
        </is>
      </c>
    </row>
    <row r="38">
      <c r="A38" s="4" t="inlineStr">
        <is>
          <t>PART C - Ek page ko optimise karne ka pura process (har page ke liye yahi dohrana)</t>
        </is>
      </c>
      <c r="B38" s="4" t="inlineStr">
        <is>
          <t>C17</t>
        </is>
      </c>
      <c r="C38" s="4" t="inlineStr">
        <is>
          <t>Is page par aane wale links lagao (doosre pages se)</t>
        </is>
      </c>
      <c r="D38" s="4" t="inlineStr">
        <is>
          <t>1. 'Internal Linking' tab mein Link TO = ye page wali rows dekho.
2. Un source pages ko edit karke link daalo.
3. Home page par is page ka card/link zaroor.
4. Footer/Header menu mein bhi add karo.</t>
        </is>
      </c>
      <c r="E38" s="4" t="inlineStr">
        <is>
          <t>WP editor</t>
        </is>
      </c>
      <c r="F38" s="4" t="inlineStr">
        <is>
          <t>15 min</t>
        </is>
      </c>
      <c r="G38" s="4" t="inlineStr">
        <is>
          <t>Kam se kam 2 page is page ko link karen</t>
        </is>
      </c>
      <c r="H38" s="4" t="inlineStr">
        <is>
          <t>Orphan page (jisse koi link na kare) rank nahi karta.</t>
        </is>
      </c>
    </row>
    <row r="39">
      <c r="A39" s="4" t="inlineStr">
        <is>
          <t>PART C - Ek page ko optimise karne ka pura process (har page ke liye yahi dohrana)</t>
        </is>
      </c>
      <c r="B39" s="4" t="inlineStr">
        <is>
          <t>C18</t>
        </is>
      </c>
      <c r="C39" s="4" t="inlineStr">
        <is>
          <t>CTA aur trust section</t>
        </is>
      </c>
      <c r="D39" s="4" t="inlineStr">
        <is>
          <t>1. Page ke upar (fold ke andar) 'Get a Quote' button.
2. Beech aur neeche mein bhi.
3. WhatsApp click-to-chat button.
4. Trust block: trade licence number, years, warehouse location, certificates (jo sach ho), contact person.</t>
        </is>
      </c>
      <c r="E39" s="4" t="inlineStr">
        <is>
          <t>WP editor</t>
        </is>
      </c>
      <c r="F39" s="4" t="inlineStr">
        <is>
          <t>20 min</t>
        </is>
      </c>
      <c r="G39" s="4" t="inlineStr">
        <is>
          <t>3 CTA + trust block</t>
        </is>
      </c>
      <c r="H39" s="4" t="inlineStr">
        <is>
          <t>B2B buyer naam, number aur address dekhna chahta hai.</t>
        </is>
      </c>
    </row>
    <row r="40">
      <c r="A40" s="4" t="inlineStr">
        <is>
          <t>PART C - Ek page ko optimise karne ka pura process (har page ke liye yahi dohrana)</t>
        </is>
      </c>
      <c r="B40" s="4" t="inlineStr">
        <is>
          <t>C19</t>
        </is>
      </c>
      <c r="C40" s="4" t="inlineStr">
        <is>
          <t>Schema check karo</t>
        </is>
      </c>
      <c r="D40" s="4" t="inlineStr">
        <is>
          <t>1. Yoast/RankMath → Schema tab → page type = Web Page / FAQ.
2. Product pages par Product + Offer.
3. Publish ke baad: search.google.com/test/rich-results → URL daalo → Test.
4. Errors ho to fix.</t>
        </is>
      </c>
      <c r="E40" s="4" t="inlineStr">
        <is>
          <t>Yoast + Rich Results Test</t>
        </is>
      </c>
      <c r="F40" s="4" t="inlineStr">
        <is>
          <t>10 min</t>
        </is>
      </c>
      <c r="G40" s="4" t="inlineStr">
        <is>
          <t>Rich Results Test mein error zero</t>
        </is>
      </c>
      <c r="H40" s="4" t="inlineStr">
        <is>
          <t>-</t>
        </is>
      </c>
    </row>
    <row r="41">
      <c r="A41" s="4" t="inlineStr">
        <is>
          <t>PART C - Ek page ko optimise karne ka pura process (har page ke liye yahi dohrana)</t>
        </is>
      </c>
      <c r="B41" s="4" t="inlineStr">
        <is>
          <t>C20</t>
        </is>
      </c>
      <c r="C41" s="4" t="inlineStr">
        <is>
          <t>Mobile par check karo</t>
        </is>
      </c>
      <c r="D41" s="4" t="inlineStr">
        <is>
          <t>1. Chrome → page kholo → F12 → phone icon (device toolbar) → iPhone 12 chuno.
2. Text, buttons, table (scroll karta hai?) dekho.
3. pagespeed.web.dev → URL → Mobile score dekho (70+ target).</t>
        </is>
      </c>
      <c r="E41" s="4" t="inlineStr">
        <is>
          <t>Chrome + PageSpeed</t>
        </is>
      </c>
      <c r="F41" s="4" t="inlineStr">
        <is>
          <t>15 min</t>
        </is>
      </c>
      <c r="G41" s="4" t="inlineStr">
        <is>
          <t>Mobile par sab sahi dikhe</t>
        </is>
      </c>
      <c r="H41" s="4" t="inlineStr">
        <is>
          <t>Zyada B2B log desktop par bhi, par mobile score Google ke liye zaroori.</t>
        </is>
      </c>
    </row>
    <row r="42">
      <c r="A42" s="4" t="inlineStr">
        <is>
          <t>PART C - Ek page ko optimise karne ka pura process (har page ke liye yahi dohrana)</t>
        </is>
      </c>
      <c r="B42" s="4" t="inlineStr">
        <is>
          <t>C21</t>
        </is>
      </c>
      <c r="C42" s="4" t="inlineStr">
        <is>
          <t>Publish / Update dabao</t>
        </is>
      </c>
      <c r="D42" s="4" t="inlineStr">
        <is>
          <t>1. WP editor → 'Update' / 'Publish'.
2. Cache plugin hai to 'Purge cache'.
3. Page ko logged-out (incognito) mein kholkar dekho.</t>
        </is>
      </c>
      <c r="E42" s="4" t="inlineStr">
        <is>
          <t>WP editor</t>
        </is>
      </c>
      <c r="F42" s="4" t="inlineStr">
        <is>
          <t>2 min</t>
        </is>
      </c>
      <c r="G42" s="4" t="inlineStr">
        <is>
          <t>Live page sahi</t>
        </is>
      </c>
      <c r="H42" s="4" t="inlineStr">
        <is>
          <t>-</t>
        </is>
      </c>
    </row>
    <row r="43">
      <c r="A43" s="4" t="inlineStr">
        <is>
          <t>PART C - Ek page ko optimise karne ka pura process (har page ke liye yahi dohrana)</t>
        </is>
      </c>
      <c r="B43" s="4" t="inlineStr">
        <is>
          <t>C22</t>
        </is>
      </c>
      <c r="C43" s="4" t="inlineStr">
        <is>
          <t>Google ko batao (indexing)</t>
        </is>
      </c>
      <c r="D43" s="4" t="inlineStr">
        <is>
          <t>1. GSC → URL Inspection → page URL paste.
2. 'Request indexing' dabao.
3. Date aur status 'Placement Map' ke Status column mein likho: 'Done'.
4. Keyword Master mein is page ke keywords ka Status = Done.</t>
        </is>
      </c>
      <c r="E43" s="4" t="inlineStr">
        <is>
          <t>GSC</t>
        </is>
      </c>
      <c r="F43" s="4" t="inlineStr">
        <is>
          <t>5 min</t>
        </is>
      </c>
      <c r="G43" s="4" t="inlineStr">
        <is>
          <t>'Indexing requested' mila</t>
        </is>
      </c>
      <c r="H43" s="4" t="inlineStr">
        <is>
          <t>-</t>
        </is>
      </c>
    </row>
    <row r="44">
      <c r="A44" s="4" t="inlineStr">
        <is>
          <t>PART C - Ek page ko optimise karne ka pura process (har page ke liye yahi dohrana)</t>
        </is>
      </c>
      <c r="B44" s="4" t="inlineStr">
        <is>
          <t>C23</t>
        </is>
      </c>
      <c r="C44" s="4" t="inlineStr">
        <is>
          <t>7 din baad check</t>
        </is>
      </c>
      <c r="D44" s="4" t="inlineStr">
        <is>
          <t>1. GSC → URL Inspection → page URL → 'URL is on Google' hona chahiye.
2. Nahi ho to: noindex, robots, internal link, sitemap dobara check.</t>
        </is>
      </c>
      <c r="E44" s="4" t="inlineStr">
        <is>
          <t>GSC</t>
        </is>
      </c>
      <c r="F44" s="4" t="inlineStr">
        <is>
          <t>5 min</t>
        </is>
      </c>
      <c r="G44" s="4" t="inlineStr">
        <is>
          <t>Indexed</t>
        </is>
      </c>
      <c r="H44" s="4" t="inlineStr">
        <is>
          <t>-</t>
        </is>
      </c>
    </row>
    <row r="45">
      <c r="A45" s="4" t="inlineStr">
        <is>
          <t>PART C - Ek page ko optimise karne ka pura process (har page ke liye yahi dohrana)</t>
        </is>
      </c>
      <c r="B45" s="4" t="inlineStr">
        <is>
          <t>C24</t>
        </is>
      </c>
      <c r="C45" s="4" t="inlineStr">
        <is>
          <t>30 din baad ranking check</t>
        </is>
      </c>
      <c r="D45" s="4" t="inlineStr">
        <is>
          <t>1. GSC → Performance → Pages → us page par click → Queries dekho.
2. Primary keyword ka average position note karo.
3. 10 ke andar nahi aaya to content badhao, links badhao, title test karo.</t>
        </is>
      </c>
      <c r="E45" s="4" t="inlineStr">
        <is>
          <t>GSC / Semrush</t>
        </is>
      </c>
      <c r="F45" s="4" t="inlineStr">
        <is>
          <t>10 min</t>
        </is>
      </c>
      <c r="G45" s="4" t="inlineStr">
        <is>
          <t>Position sheet mein likhi</t>
        </is>
      </c>
      <c r="H45" s="4" t="inlineStr">
        <is>
          <t>Rank aane mein 2-4 mahine lag sakte hain, ghabrana nahi.</t>
        </is>
      </c>
    </row>
    <row r="46">
      <c r="A46" s="4" t="inlineStr">
        <is>
          <t>PART D - Blog article ka process (B2B guide)</t>
        </is>
      </c>
      <c r="B46" s="4" t="inlineStr">
        <is>
          <t>D1</t>
        </is>
      </c>
      <c r="C46" s="4" t="inlineStr">
        <is>
          <t>Article chuno</t>
        </is>
      </c>
      <c r="D46" s="4" t="inlineStr">
        <is>
          <t>1. 'Questions &amp; Blog' tab kholo.
2. Phase 1 wale article chuno.
3. 'Link this article to' column dekho — wohi money page se link karna hai.</t>
        </is>
      </c>
      <c r="E46" s="4" t="inlineStr">
        <is>
          <t>Google Sheets</t>
        </is>
      </c>
      <c r="F46" s="4" t="inlineStr">
        <is>
          <t>2 min</t>
        </is>
      </c>
      <c r="G46" s="4" t="inlineStr">
        <is>
          <t>Article tay</t>
        </is>
      </c>
      <c r="H46" s="4" t="inlineStr">
        <is>
          <t>-</t>
        </is>
      </c>
    </row>
    <row r="47">
      <c r="A47" s="4" t="inlineStr">
        <is>
          <t>PART D - Blog article ka process (B2B guide)</t>
        </is>
      </c>
      <c r="B47" s="4" t="inlineStr">
        <is>
          <t>D2</t>
        </is>
      </c>
      <c r="C47" s="4" t="inlineStr">
        <is>
          <t>Google se sawaal dhundo</t>
        </is>
      </c>
      <c r="D47" s="4" t="inlineStr">
        <is>
          <t>1. Primary keyword Google karo.
2. 'People also ask' ke sawaal note karo.
3. Neeche 'Related searches' bhi note karo.
4. Ye sawaal H2 aur FAQ banenge.</t>
        </is>
      </c>
      <c r="E47" s="4" t="inlineStr">
        <is>
          <t>Google</t>
        </is>
      </c>
      <c r="F47" s="4" t="inlineStr">
        <is>
          <t>15 min</t>
        </is>
      </c>
      <c r="G47" s="4" t="inlineStr">
        <is>
          <t>6-10 sawaal</t>
        </is>
      </c>
      <c r="H47" s="4" t="inlineStr">
        <is>
          <t>-</t>
        </is>
      </c>
    </row>
    <row r="48">
      <c r="A48" s="4" t="inlineStr">
        <is>
          <t>PART D - Blog article ka process (B2B guide)</t>
        </is>
      </c>
      <c r="B48" s="4" t="inlineStr">
        <is>
          <t>D3</t>
        </is>
      </c>
      <c r="C48" s="4" t="inlineStr">
        <is>
          <t>Outline likho</t>
        </is>
      </c>
      <c r="D48" s="4" t="inlineStr">
        <is>
          <t>1. Title: primary keyword + (UAE Guide).
2. H2: har sawaal ke liye.
3. End mein 'Next step: get a quote' CTA.</t>
        </is>
      </c>
      <c r="E48" s="4" t="inlineStr">
        <is>
          <t>Google Doc</t>
        </is>
      </c>
      <c r="F48" s="4" t="inlineStr">
        <is>
          <t>20 min</t>
        </is>
      </c>
      <c r="G48" s="4" t="inlineStr">
        <is>
          <t>Outline taiyaar</t>
        </is>
      </c>
      <c r="H48" s="4" t="inlineStr">
        <is>
          <t>-</t>
        </is>
      </c>
    </row>
    <row r="49">
      <c r="A49" s="4" t="inlineStr">
        <is>
          <t>PART D - Blog article ka process (B2B guide)</t>
        </is>
      </c>
      <c r="B49" s="4" t="inlineStr">
        <is>
          <t>D4</t>
        </is>
      </c>
      <c r="C49" s="4" t="inlineStr">
        <is>
          <t>Article likho (1,200+ shabd)</t>
        </is>
      </c>
      <c r="D49" s="4" t="inlineStr">
        <is>
          <t>1. Seedhe jawab se shuru karo (pehle 100 shabd mein primary keyword).
2. Real example, table, checklist daalo.
3. Author ka naam aur experience likho.
4. Money page ka link article ke beech mein aur CTA mein.</t>
        </is>
      </c>
      <c r="E49" s="4" t="inlineStr">
        <is>
          <t>WP editor</t>
        </is>
      </c>
      <c r="F49" s="4" t="inlineStr">
        <is>
          <t>3-4 ghante</t>
        </is>
      </c>
      <c r="G49" s="4" t="inlineStr">
        <is>
          <t>1,200+ shabd</t>
        </is>
      </c>
      <c r="H49" s="4" t="inlineStr">
        <is>
          <t>AI/copy-paste jaisa text mat dalo; apni trade ki asli jaankari likho.</t>
        </is>
      </c>
    </row>
    <row r="50">
      <c r="A50" s="4" t="inlineStr">
        <is>
          <t>PART D - Blog article ka process (B2B guide)</t>
        </is>
      </c>
      <c r="B50" s="4" t="inlineStr">
        <is>
          <t>D5</t>
        </is>
      </c>
      <c r="C50" s="4" t="inlineStr">
        <is>
          <t>Publish aur index</t>
        </is>
      </c>
      <c r="D50" s="4" t="inlineStr">
        <is>
          <t>1. Slug, title, meta, alt text (Part C ki tarah).
2. Publish → GSC se Request indexing.
3. LinkedIn/WhatsApp par share.</t>
        </is>
      </c>
      <c r="E50" s="4" t="inlineStr">
        <is>
          <t>WP + GSC</t>
        </is>
      </c>
      <c r="F50" s="4" t="inlineStr">
        <is>
          <t>15 min</t>
        </is>
      </c>
      <c r="G50" s="4" t="inlineStr">
        <is>
          <t>Indexed</t>
        </is>
      </c>
      <c r="H50" s="4" t="inlineStr">
        <is>
          <t>-</t>
        </is>
      </c>
    </row>
    <row r="51">
      <c r="A51" s="4" t="inlineStr">
        <is>
          <t>PART E - Off-page: backlinks aur profile</t>
        </is>
      </c>
      <c r="B51" s="4" t="inlineStr">
        <is>
          <t>E1</t>
        </is>
      </c>
      <c r="C51" s="4" t="inlineStr">
        <is>
          <t>Google Business Profile</t>
        </is>
      </c>
      <c r="D51" s="4" t="inlineStr">
        <is>
          <t>1. business.google.com → 'Add your business'.
2. Naam: Cookychoice (jaise licence mein), Category: 'Rice wholesaler' / 'Food products supplier'.
3. Address, phone, hours, website daalo.
4. Verify (postcard/video).
5. Photos, products add karo.</t>
        </is>
      </c>
      <c r="E51" s="4" t="inlineStr">
        <is>
          <t>Google Business Profile</t>
        </is>
      </c>
      <c r="F51" s="4" t="inlineStr">
        <is>
          <t>1 ghanta</t>
        </is>
      </c>
      <c r="G51" s="4" t="inlineStr">
        <is>
          <t>Profile verified</t>
        </is>
      </c>
      <c r="H51" s="4" t="inlineStr">
        <is>
          <t>Naam, address, phone sab jagah bilkul ek jaisa (NAP).</t>
        </is>
      </c>
    </row>
    <row r="52">
      <c r="A52" s="4" t="inlineStr">
        <is>
          <t>PART E - Off-page: backlinks aur profile</t>
        </is>
      </c>
      <c r="B52" s="4" t="inlineStr">
        <is>
          <t>E2</t>
        </is>
      </c>
      <c r="C52" s="4" t="inlineStr">
        <is>
          <t>NAP sheet banao</t>
        </is>
      </c>
      <c r="D52" s="4" t="inlineStr">
        <is>
          <t>1. Google Sheet banao: Business name | Address | Phone | Email | Website.
2. Har listing mein yahi copy-paste karo.</t>
        </is>
      </c>
      <c r="E52" s="4" t="inlineStr">
        <is>
          <t>Google Sheets</t>
        </is>
      </c>
      <c r="F52" s="4" t="inlineStr">
        <is>
          <t>10 min</t>
        </is>
      </c>
      <c r="G52" s="4" t="inlineStr">
        <is>
          <t>Ek hi source</t>
        </is>
      </c>
      <c r="H52" s="4" t="inlineStr">
        <is>
          <t>-</t>
        </is>
      </c>
    </row>
    <row r="53">
      <c r="A53" s="4" t="inlineStr">
        <is>
          <t>PART E - Off-page: backlinks aur profile</t>
        </is>
      </c>
      <c r="B53" s="4" t="inlineStr">
        <is>
          <t>E3</t>
        </is>
      </c>
      <c r="C53" s="4" t="inlineStr">
        <is>
          <t>B2B directories par listing</t>
        </is>
      </c>
      <c r="D53" s="4" t="inlineStr">
        <is>
          <t>1. List: Alibaba, IndiaMART, TradeIndia, Go4WorldBusiness, Tradekey, EC21, Dubai Chamber directory, UAE yellow pages.
2. Har jagah profile + products + website link.
3. 10 listings pehle mahine mein.</t>
        </is>
      </c>
      <c r="E53" s="4" t="inlineStr">
        <is>
          <t>Directory websites</t>
        </is>
      </c>
      <c r="F53" s="4" t="inlineStr">
        <is>
          <t>3-4 ghante</t>
        </is>
      </c>
      <c r="G53" s="4" t="inlineStr">
        <is>
          <t>10 live listings</t>
        </is>
      </c>
      <c r="H53" s="4" t="inlineStr">
        <is>
          <t>Spam sites par mat jao.</t>
        </is>
      </c>
    </row>
    <row r="54">
      <c r="A54" s="4" t="inlineStr">
        <is>
          <t>PART E - Off-page: backlinks aur profile</t>
        </is>
      </c>
      <c r="B54" s="4" t="inlineStr">
        <is>
          <t>E4</t>
        </is>
      </c>
      <c r="C54" s="4" t="inlineStr">
        <is>
          <t>Reviews / social proof</t>
        </is>
      </c>
      <c r="D54" s="4" t="inlineStr">
        <is>
          <t>1. Purane buyers se Google review maango.
2. LinkedIn company page banao aur hafte mein 2 post.</t>
        </is>
      </c>
      <c r="E54" s="4" t="inlineStr">
        <is>
          <t>Google / LinkedIn</t>
        </is>
      </c>
      <c r="F54" s="4" t="inlineStr">
        <is>
          <t>hafta bhar</t>
        </is>
      </c>
      <c r="G54" s="4" t="inlineStr">
        <is>
          <t>5+ reviews</t>
        </is>
      </c>
      <c r="H54" s="4" t="inlineStr">
        <is>
          <t>Fake reviews bilkul nahi.</t>
        </is>
      </c>
    </row>
    <row r="55">
      <c r="A55" s="4" t="inlineStr">
        <is>
          <t>PART E - Off-page: backlinks aur profile</t>
        </is>
      </c>
      <c r="B55" s="4" t="inlineStr">
        <is>
          <t>E5</t>
        </is>
      </c>
      <c r="C55" s="4" t="inlineStr">
        <is>
          <t>Guest posts / PR</t>
        </is>
      </c>
      <c r="D55" s="4" t="inlineStr">
        <is>
          <t>1. UAE food-trade, logistics blogs ki list banao.
2. Unko guide/data offer karo.
3. Link mein brand ya page ka anchor.</t>
        </is>
      </c>
      <c r="E55" s="4" t="inlineStr">
        <is>
          <t>Email</t>
        </is>
      </c>
      <c r="F55" s="4" t="inlineStr">
        <is>
          <t>mahina bhar</t>
        </is>
      </c>
      <c r="G55" s="4" t="inlineStr">
        <is>
          <t>2-3 links mahina</t>
        </is>
      </c>
      <c r="H55" s="4" t="inlineStr">
        <is>
          <t>Paid link farms mat lo.</t>
        </is>
      </c>
    </row>
    <row r="56">
      <c r="A56" s="4" t="inlineStr">
        <is>
          <t>PART F - Tracking aur monthly review</t>
        </is>
      </c>
      <c r="B56" s="4" t="inlineStr">
        <is>
          <t>F1</t>
        </is>
      </c>
      <c r="C56" s="4" t="inlineStr">
        <is>
          <t>Rank tracking set karo</t>
        </is>
      </c>
      <c r="D56" s="4" t="inlineStr">
        <is>
          <t>1. Semrush → Position Tracking → Create project.
2. Location UAE (aur Dubai), device mobile+desktop.
3. Top 30 Phase 1 keywords add karo.</t>
        </is>
      </c>
      <c r="E56" s="4" t="inlineStr">
        <is>
          <t>Semrush</t>
        </is>
      </c>
      <c r="F56" s="4" t="inlineStr">
        <is>
          <t>20 min</t>
        </is>
      </c>
      <c r="G56" s="4" t="inlineStr">
        <is>
          <t>Tracking chalu</t>
        </is>
      </c>
      <c r="H56" s="4" t="inlineStr">
        <is>
          <t>-</t>
        </is>
      </c>
    </row>
    <row r="57">
      <c r="A57" s="4" t="inlineStr">
        <is>
          <t>PART F - Tracking aur monthly review</t>
        </is>
      </c>
      <c r="B57" s="4" t="inlineStr">
        <is>
          <t>F2</t>
        </is>
      </c>
      <c r="C57" s="4" t="inlineStr">
        <is>
          <t>Har hafte GSC dekho</t>
        </is>
      </c>
      <c r="D57" s="4" t="inlineStr">
        <is>
          <t>1. Performance → Impressions, Clicks, Position.
2. Pages indexed count dekho.
3. Errors (Pages tab) dekho.</t>
        </is>
      </c>
      <c r="E57" s="4" t="inlineStr">
        <is>
          <t>GSC</t>
        </is>
      </c>
      <c r="F57" s="4" t="inlineStr">
        <is>
          <t>15 min</t>
        </is>
      </c>
      <c r="G57" s="4" t="inlineStr">
        <is>
          <t>Sheet mein note</t>
        </is>
      </c>
      <c r="H57" s="4" t="inlineStr">
        <is>
          <t>-</t>
        </is>
      </c>
    </row>
    <row r="58">
      <c r="A58" s="4" t="inlineStr">
        <is>
          <t>PART F - Tracking aur monthly review</t>
        </is>
      </c>
      <c r="B58" s="4" t="inlineStr">
        <is>
          <t>F3</t>
        </is>
      </c>
      <c r="C58" s="4" t="inlineStr">
        <is>
          <t>Har mahine report</t>
        </is>
      </c>
      <c r="D58" s="4" t="inlineStr">
        <is>
          <t>1. Ye 7 numbers likho: Indexed pages | Impressions | Clicks | Top-10 keywords | Quote requests | Backlinks | Orders.
2. Pichhle mahine se compare.
3. Keyword Master ka priority dobara dekho aur agla mahina tay karo.</t>
        </is>
      </c>
      <c r="E58" s="4" t="inlineStr">
        <is>
          <t>Google Sheets</t>
        </is>
      </c>
      <c r="F58" s="4" t="inlineStr">
        <is>
          <t>1 ghanta</t>
        </is>
      </c>
      <c r="G58" s="4" t="inlineStr">
        <is>
          <t>Report ban gayi</t>
        </is>
      </c>
      <c r="H58" s="4" t="inlineStr">
        <is>
          <t>Sirf traffic nahi, quote requests dekho.</t>
        </is>
      </c>
    </row>
    <row r="59">
      <c r="A59" s="4" t="inlineStr">
        <is>
          <t>PART F - Tracking aur monthly review</t>
        </is>
      </c>
      <c r="B59" s="4" t="inlineStr">
        <is>
          <t>F4</t>
        </is>
      </c>
      <c r="C59" s="4" t="inlineStr">
        <is>
          <t>Phase 2 (B2C) kab</t>
        </is>
      </c>
      <c r="D59" s="4" t="inlineStr">
        <is>
          <t>1. Jab Phase 1 ke pages index ho jayen aur quote flow chal jaye.
2. Keyword Master mein Phase = 'Phase 2' filter karo.
3. Shop, Delivery, Brands, Biryani pages Part C jaise banao.</t>
        </is>
      </c>
      <c r="E59" s="4" t="inlineStr">
        <is>
          <t>Google Sheets</t>
        </is>
      </c>
      <c r="F59" s="4" t="inlineStr">
        <is>
          <t>-</t>
        </is>
      </c>
      <c r="G59" s="4" t="inlineStr">
        <is>
          <t>B2B base pakka</t>
        </is>
      </c>
      <c r="H59" s="4" t="inlineStr">
        <is>
          <t>Pehle B2B stable; B2C baad mein.</t>
        </is>
      </c>
    </row>
    <row r="60">
      <c r="A60" s="4" t="inlineStr">
        <is>
          <t>PART G - Common galtiyan (inse bachna)</t>
        </is>
      </c>
      <c r="B60" s="4" t="inlineStr">
        <is>
          <t>G1</t>
        </is>
      </c>
      <c r="C60" s="4" t="inlineStr">
        <is>
          <t>Keyword stuffing</t>
        </is>
      </c>
      <c r="D60" s="4" t="inlineStr">
        <is>
          <t>Ek keyword ko zabardasti 10-20 baar dohrana. Natural likho.</t>
        </is>
      </c>
      <c r="E60" s="4" t="inlineStr">
        <is>
          <t>-</t>
        </is>
      </c>
      <c r="F60" s="4" t="inlineStr">
        <is>
          <t>-</t>
        </is>
      </c>
      <c r="G60" s="4" t="inlineStr">
        <is>
          <t>-</t>
        </is>
      </c>
      <c r="H60" s="4" t="inlineStr">
        <is>
          <t>-</t>
        </is>
      </c>
    </row>
    <row r="61">
      <c r="A61" s="4" t="inlineStr">
        <is>
          <t>PART G - Common galtiyan (inse bachna)</t>
        </is>
      </c>
      <c r="B61" s="4" t="inlineStr">
        <is>
          <t>G2</t>
        </is>
      </c>
      <c r="C61" s="4" t="inlineStr">
        <is>
          <t>Ek hi keyword do pages pe primary</t>
        </is>
      </c>
      <c r="D61" s="4" t="inlineStr">
        <is>
          <t>Cannibalization; dono rank nahi karte. Keyword Master col D follow karo.</t>
        </is>
      </c>
      <c r="E61" s="4" t="inlineStr">
        <is>
          <t>-</t>
        </is>
      </c>
      <c r="F61" s="4" t="inlineStr">
        <is>
          <t>-</t>
        </is>
      </c>
      <c r="G61" s="4" t="inlineStr">
        <is>
          <t>-</t>
        </is>
      </c>
      <c r="H61" s="4" t="inlineStr">
        <is>
          <t>-</t>
        </is>
      </c>
    </row>
    <row r="62">
      <c r="A62" s="4" t="inlineStr">
        <is>
          <t>PART G - Common galtiyan (inse bachna)</t>
        </is>
      </c>
      <c r="B62" s="4" t="inlineStr">
        <is>
          <t>G3</t>
        </is>
      </c>
      <c r="C62" s="4" t="inlineStr">
        <is>
          <t>Title/meta same har page pe</t>
        </is>
      </c>
      <c r="D62" s="4" t="inlineStr">
        <is>
          <t>Har page ka alag title aur description.</t>
        </is>
      </c>
      <c r="E62" s="4" t="inlineStr">
        <is>
          <t>-</t>
        </is>
      </c>
      <c r="F62" s="4" t="inlineStr">
        <is>
          <t>-</t>
        </is>
      </c>
      <c r="G62" s="4" t="inlineStr">
        <is>
          <t>-</t>
        </is>
      </c>
      <c r="H62" s="4" t="inlineStr">
        <is>
          <t>-</t>
        </is>
      </c>
    </row>
    <row r="63">
      <c r="A63" s="4" t="inlineStr">
        <is>
          <t>PART G - Common galtiyan (inse bachna)</t>
        </is>
      </c>
      <c r="B63" s="4" t="inlineStr">
        <is>
          <t>G4</t>
        </is>
      </c>
      <c r="C63" s="4" t="inlineStr">
        <is>
          <t>Image bina compress, bina alt</t>
        </is>
      </c>
      <c r="D63" s="4" t="inlineStr">
        <is>
          <t>Site slow aur Google ko image samajh nahi aata.</t>
        </is>
      </c>
      <c r="E63" s="4" t="inlineStr">
        <is>
          <t>-</t>
        </is>
      </c>
      <c r="F63" s="4" t="inlineStr">
        <is>
          <t>-</t>
        </is>
      </c>
      <c r="G63" s="4" t="inlineStr">
        <is>
          <t>-</t>
        </is>
      </c>
      <c r="H63" s="4" t="inlineStr">
        <is>
          <t>-</t>
        </is>
      </c>
    </row>
    <row r="64">
      <c r="A64" s="4" t="inlineStr">
        <is>
          <t>PART G - Common galtiyan (inse bachna)</t>
        </is>
      </c>
      <c r="B64" s="4" t="inlineStr">
        <is>
          <t>G5</t>
        </is>
      </c>
      <c r="C64" s="4" t="inlineStr">
        <is>
          <t>noindex / Discourage tick wapas on</t>
        </is>
      </c>
      <c r="D64" s="4" t="inlineStr">
        <is>
          <t>Har bade update ke baad Settings → Reading check karo.</t>
        </is>
      </c>
      <c r="E64" s="4" t="inlineStr">
        <is>
          <t>-</t>
        </is>
      </c>
      <c r="F64" s="4" t="inlineStr">
        <is>
          <t>-</t>
        </is>
      </c>
      <c r="G64" s="4" t="inlineStr">
        <is>
          <t>-</t>
        </is>
      </c>
      <c r="H64" s="4" t="inlineStr">
        <is>
          <t>-</t>
        </is>
      </c>
    </row>
    <row r="65">
      <c r="A65" s="4" t="inlineStr">
        <is>
          <t>PART G - Common galtiyan (inse bachna)</t>
        </is>
      </c>
      <c r="B65" s="4" t="inlineStr">
        <is>
          <t>G6</t>
        </is>
      </c>
      <c r="C65" s="4" t="inlineStr">
        <is>
          <t>Fake claims / fake certificates</t>
        </is>
      </c>
      <c r="D65" s="4" t="inlineStr">
        <is>
          <t>Buyer ka bharosa aur Google ki policy dono khatam.</t>
        </is>
      </c>
      <c r="E65" s="4" t="inlineStr">
        <is>
          <t>-</t>
        </is>
      </c>
      <c r="F65" s="4" t="inlineStr">
        <is>
          <t>-</t>
        </is>
      </c>
      <c r="G65" s="4" t="inlineStr">
        <is>
          <t>-</t>
        </is>
      </c>
      <c r="H65" s="4" t="inlineStr">
        <is>
          <t>-</t>
        </is>
      </c>
    </row>
    <row r="66">
      <c r="A66" s="4" t="inlineStr">
        <is>
          <t>PART G - Common galtiyan (inse bachna)</t>
        </is>
      </c>
      <c r="B66" s="4" t="inlineStr">
        <is>
          <t>G7</t>
        </is>
      </c>
      <c r="C66" s="4" t="inlineStr">
        <is>
          <t>Sirf Google ke liye likhna</t>
        </is>
      </c>
      <c r="D66" s="4" t="inlineStr">
        <is>
          <t>Pehle buyer ke liye: MOQ, price basis, docs, shipping.</t>
        </is>
      </c>
      <c r="E66" s="4" t="inlineStr">
        <is>
          <t>-</t>
        </is>
      </c>
      <c r="F66" s="4" t="inlineStr">
        <is>
          <t>-</t>
        </is>
      </c>
      <c r="G66" s="4" t="inlineStr">
        <is>
          <t>-</t>
        </is>
      </c>
      <c r="H66" s="4" t="inlineStr">
        <is>
          <t>-</t>
        </is>
      </c>
    </row>
    <row r="67">
      <c r="A67" s="4" t="inlineStr">
        <is>
          <t>PART G - Common galtiyan (inse bachna)</t>
        </is>
      </c>
      <c r="B67" s="4" t="inlineStr">
        <is>
          <t>G8</t>
        </is>
      </c>
      <c r="C67" s="4" t="inlineStr">
        <is>
          <t>Conversion tracking nahi</t>
        </is>
      </c>
      <c r="D67" s="4" t="inlineStr">
        <is>
          <t>Quote form aur WhatsApp click track karo, warna ROI nahi pata.</t>
        </is>
      </c>
      <c r="E67" s="4" t="inlineStr">
        <is>
          <t>-</t>
        </is>
      </c>
      <c r="F67" s="4" t="inlineStr">
        <is>
          <t>-</t>
        </is>
      </c>
      <c r="G67" s="4" t="inlineStr">
        <is>
          <t>-</t>
        </is>
      </c>
      <c r="H67" s="4" t="inlineStr">
        <is>
          <t>-</t>
        </is>
      </c>
    </row>
    <row r="68">
      <c r="A68" s="4" t="inlineStr">
        <is>
          <t>PART G - Common galtiyan (inse bachna)</t>
        </is>
      </c>
      <c r="B68" s="4" t="inlineStr">
        <is>
          <t>G9</t>
        </is>
      </c>
      <c r="C68" s="4" t="inlineStr">
        <is>
          <t>Result jaldi na milne par ghabrana</t>
        </is>
      </c>
      <c r="D68" s="4" t="inlineStr">
        <is>
          <t>SEO mein 2-4 mahine lagte hain; process follow karte raho.</t>
        </is>
      </c>
      <c r="E68" s="4" t="inlineStr">
        <is>
          <t>-</t>
        </is>
      </c>
      <c r="F68" s="4" t="inlineStr">
        <is>
          <t>-</t>
        </is>
      </c>
      <c r="G68" s="4" t="inlineStr">
        <is>
          <t>-</t>
        </is>
      </c>
      <c r="H68" s="4" t="inlineStr">
        <is>
          <t>-</t>
        </is>
      </c>
    </row>
    <row r="69">
      <c r="A69" s="4" t="inlineStr">
        <is>
          <t>PART G - Common galtiyan (inse bachna)</t>
        </is>
      </c>
      <c r="B69" s="4" t="inlineStr">
        <is>
          <t>G10</t>
        </is>
      </c>
      <c r="C69" s="4" t="inlineStr">
        <is>
          <t>Mobile ignore</t>
        </is>
      </c>
      <c r="D69" s="4" t="inlineStr">
        <is>
          <t>Mobile score 70+ rakho.</t>
        </is>
      </c>
      <c r="E69" s="4" t="inlineStr">
        <is>
          <t>-</t>
        </is>
      </c>
      <c r="F69" s="4" t="inlineStr">
        <is>
          <t>-</t>
        </is>
      </c>
      <c r="G69" s="4" t="inlineStr">
        <is>
          <t>-</t>
        </is>
      </c>
      <c r="H69" s="4" t="inlineStr">
        <is>
          <t>-</t>
        </is>
      </c>
    </row>
  </sheetData>
  <autoFilter ref="A1:H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4" customWidth="1" min="2" max="2"/>
    <col width="48" customWidth="1" min="3" max="3"/>
    <col width="64" customWidth="1" min="4" max="4"/>
    <col width="80" customWidth="1" min="5" max="5"/>
    <col width="12" customWidth="1" min="6" max="6"/>
  </cols>
  <sheetData>
    <row r="1">
      <c r="A1" s="3" t="inlineStr">
        <is>
          <t>PAGE</t>
        </is>
      </c>
      <c r="B1" s="3" t="inlineStr">
        <is>
          <t>ELEMENT (page ka kaun sa hissa)</t>
        </is>
      </c>
      <c r="C1" s="3" t="inlineStr">
        <is>
          <t>KEYWORD(S) YAHAN LAGAO</t>
        </is>
      </c>
      <c r="D1" s="3" t="inlineStr">
        <is>
          <t>EXACT EXAMPLE / TEMPLATE</t>
        </is>
      </c>
      <c r="E1" s="3" t="inlineStr">
        <is>
          <t>KAISE KAREIN (WordPress mein)</t>
        </is>
      </c>
      <c r="F1" s="3" t="inlineStr">
        <is>
          <t>Status</t>
        </is>
      </c>
    </row>
    <row r="2">
      <c r="A2" s="4" t="inlineStr">
        <is>
          <t>Home</t>
        </is>
      </c>
      <c r="B2" s="4" t="inlineStr">
        <is>
          <t>1. URL slug</t>
        </is>
      </c>
      <c r="C2" s="4" t="inlineStr">
        <is>
          <t>rice trading company dubai</t>
        </is>
      </c>
      <c r="D2" s="4" t="inlineStr">
        <is>
          <t>cookychoice.com/</t>
        </is>
      </c>
      <c r="E2" s="4" t="inlineStr">
        <is>
          <t>Page edit karo → Yoast SEO / RankMath box → 'Slug' ya Permalink field mein sirf primary keyword (hyphen ke saath) likho. Chhota rakho, year ya number mat daalo. Slug badalne ke baad purana URL ho to 301 redirect lagao.</t>
        </is>
      </c>
      <c r="F2" s="4" t="inlineStr">
        <is>
          <t>To do</t>
        </is>
      </c>
    </row>
    <row r="3">
      <c r="A3" s="4" t="inlineStr">
        <is>
          <t>Home</t>
        </is>
      </c>
      <c r="B3" s="4" t="inlineStr">
        <is>
          <t>2. SEO title (Google mein neela link)</t>
        </is>
      </c>
      <c r="C3" s="4" t="inlineStr">
        <is>
          <t>rice trading company dubai</t>
        </is>
      </c>
      <c r="D3" s="4" t="inlineStr">
        <is>
          <t>Rice Trading Company Dubai | Bulk Rice Supplier UAE</t>
        </is>
      </c>
      <c r="E3" s="4" t="inlineStr">
        <is>
          <t>Yoast SEO → 'SEO title' mein ye likho. Primary keyword sabse pehle, brand (Cookychoice) last. 60 characters se chhota (51 chars hai).</t>
        </is>
      </c>
      <c r="F3" s="4" t="inlineStr">
        <is>
          <t>To do</t>
        </is>
      </c>
    </row>
    <row r="4">
      <c r="A4" s="4" t="inlineStr">
        <is>
          <t>Home</t>
        </is>
      </c>
      <c r="B4" s="4" t="inlineStr">
        <is>
          <t>3. Meta description</t>
        </is>
      </c>
      <c r="C4" s="4" t="inlineStr">
        <is>
          <t>rice trading company dubai + rice supplier dubai</t>
        </is>
      </c>
      <c r="D4" s="4" t="inlineStr">
        <is>
          <t>Rice Trading Company Dubai - Dubai-based bulk supplier. [Pack sizes / origins / MOQ yahan apni sachchi details daalein]. Get a quote in 24 hrs.</t>
        </is>
      </c>
      <c r="E4" s="4" t="inlineStr">
        <is>
          <t>Yoast → 'Meta description'. 140-155 characters. Primary keyword + ek offer + 'Get a quote' jaisa CTA. Apni sachchi details daalo, jhoot nahi.</t>
        </is>
      </c>
      <c r="F4" s="4" t="inlineStr">
        <is>
          <t>To do</t>
        </is>
      </c>
    </row>
    <row r="5">
      <c r="A5" s="4" t="inlineStr">
        <is>
          <t>Home</t>
        </is>
      </c>
      <c r="B5" s="4" t="inlineStr">
        <is>
          <t>4. H1 (page ka mukhya heading)</t>
        </is>
      </c>
      <c r="C5" s="4" t="inlineStr">
        <is>
          <t>rice trading company dubai</t>
        </is>
      </c>
      <c r="D5" s="4" t="inlineStr">
        <is>
          <t>Bulk Rice Supply for Importers &amp; Exporters</t>
        </is>
      </c>
      <c r="E5" s="4" t="inlineStr">
        <is>
          <t>Page editor mein sabse upar ek hi H1 (Heading 1). Primary keyword (ya uska natural form) isme hona chahiye. Ek page = ek H1.</t>
        </is>
      </c>
      <c r="F5" s="4" t="inlineStr">
        <is>
          <t>To do</t>
        </is>
      </c>
    </row>
    <row r="6">
      <c r="A6" s="4" t="inlineStr">
        <is>
          <t>Home</t>
        </is>
      </c>
      <c r="B6" s="4" t="inlineStr">
        <is>
          <t>5. Pehle 100 shabd (intro paragraph)</t>
        </is>
      </c>
      <c r="C6" s="4" t="inlineStr">
        <is>
          <t>rice trading company dubai + rice supplier dubai</t>
        </is>
      </c>
      <c r="D6" s="4" t="inlineStr">
        <is>
          <t>[Pehli 1-2 line mein 'rice trading company dubai' natural tareeke se likho.] Example: Cookychoice is a Dubai-based rice supplier for importers, exporters and bulk buyers. We supply [origins/grades] in [pack sizes] on [FOB/CIF] terms - request a quote today.</t>
        </is>
      </c>
      <c r="E6" s="4" t="inlineStr">
        <is>
          <t>H1 ke turant neeche paragraph mein primary keyword pehle 1-2 line mein aaye. Padhne mein natural lage, zabardasti nahi.</t>
        </is>
      </c>
      <c r="F6" s="4" t="inlineStr">
        <is>
          <t>To do</t>
        </is>
      </c>
    </row>
    <row r="7">
      <c r="A7" s="4" t="inlineStr">
        <is>
          <t>Home</t>
        </is>
      </c>
      <c r="B7" s="4" t="inlineStr">
        <is>
          <t>6. H2 headings (sections)</t>
        </is>
      </c>
      <c r="C7" s="4" t="inlineStr">
        <is>
          <t>rice supplier dubai | rice supplier uae | rice trading llc dubai</t>
        </is>
      </c>
      <c r="D7" s="4" t="inlineStr">
        <is>
          <t>Rice Supplier Dubai | Rice Supplier Uae | Rice Trading Llc Dubai</t>
        </is>
      </c>
      <c r="E7" s="4" t="inlineStr">
        <is>
          <t>Har secondary keyword ko ek H2 (Heading 2) bana do aur uske neeche 2-4 line likho. Volume aane ke baad Keyword Master mein Priority score ke hisaab se top 6 ko H2 banao.</t>
        </is>
      </c>
      <c r="F7" s="4" t="inlineStr">
        <is>
          <t>To do</t>
        </is>
      </c>
    </row>
    <row r="8">
      <c r="A8" s="4" t="inlineStr">
        <is>
          <t>Home</t>
        </is>
      </c>
      <c r="B8" s="4" t="inlineStr">
        <is>
          <t>7. H3 / body paragraphs / table rows</t>
        </is>
      </c>
      <c r="C8" s="4" t="inlineStr">
        <is>
          <t>-</t>
        </is>
      </c>
      <c r="D8" s="4" t="inlineStr">
        <is>
          <t>Body mein naturally 1-2 baar, ya table / list ke andar</t>
        </is>
      </c>
      <c r="E8" s="4" t="inlineStr">
        <is>
          <t>Baaki keywords ko H3, bullet, table ya paragraph mein naturally daalo. Ek keyword page pe zyada se zyada 2-3 baar. Same keyword baar-baar mat dohrao (stuffing).</t>
        </is>
      </c>
      <c r="F8" s="4" t="inlineStr">
        <is>
          <t>To do</t>
        </is>
      </c>
    </row>
    <row r="9">
      <c r="A9" s="4" t="inlineStr">
        <is>
          <t>Home</t>
        </is>
      </c>
      <c r="B9" s="4" t="inlineStr">
        <is>
          <t>8. FAQ section + FAQPage schema</t>
        </is>
      </c>
      <c r="C9" s="4" t="inlineStr">
        <is>
          <t>What is your minimum order quantity (MOQ)? | How do I get a price quote for rice trading company dubai? | Which origins, grades and pack sizes do you supply?</t>
        </is>
      </c>
      <c r="D9" s="4" t="inlineStr">
        <is>
          <t>What is your minimum order quantity (MOQ)? | How do I get a price quote for rice trading company dubai? | Which origins, grades and pack sizes do you supply? | Do you ship internationally? Which incoterms (FOB / CIF) do you offer? | Can I get a sample before placing a bulk order?</t>
        </is>
      </c>
      <c r="E9" s="4" t="inlineStr">
        <is>
          <t>Page ke neeche 5-8 FAQ. Yoast FAQ block ya RankMath FAQ block use karo - schema apne aap ban jaata hai. Jawab 40-60 shabd.</t>
        </is>
      </c>
      <c r="F9" s="4" t="inlineStr">
        <is>
          <t>To do</t>
        </is>
      </c>
    </row>
    <row r="10">
      <c r="A10" s="4" t="inlineStr">
        <is>
          <t>Home</t>
        </is>
      </c>
      <c r="B10" s="4" t="inlineStr">
        <is>
          <t>9. Image file name + alt text</t>
        </is>
      </c>
      <c r="C10" s="4" t="inlineStr">
        <is>
          <t>rice trading company dubai</t>
        </is>
      </c>
      <c r="D10" s="4" t="inlineStr">
        <is>
          <t>File: rice-trading-company-dubai-25kg-bag.webp | Alt: "Rice Trading Company Dubai 25kg bag packing"</t>
        </is>
      </c>
      <c r="E10" s="4" t="inlineStr">
        <is>
          <t>Media Library mein image par click → 'Alt Text' bharo. Alt mein image jo dikha rahi hai wahi likho + keyword natural (har image mein nahi, sirf 1-2 mein). File name upload se pehle badlo.</t>
        </is>
      </c>
      <c r="F10" s="4" t="inlineStr">
        <is>
          <t>To do</t>
        </is>
      </c>
    </row>
    <row r="11">
      <c r="A11" s="4" t="inlineStr">
        <is>
          <t>Home</t>
        </is>
      </c>
      <c r="B11" s="4" t="inlineStr">
        <is>
          <t>10. Internal links - is page par aane wale links (anchor text)</t>
        </is>
      </c>
      <c r="C11" s="4" t="inlineStr">
        <is>
          <t>rice trading company dubai | rice supplier dubai | Cookychoice | get a quote</t>
        </is>
      </c>
      <c r="D11" s="4" t="inlineStr">
        <is>
          <t>Home page aur related pages se is page par link, anchor = ye words</t>
        </is>
      </c>
      <c r="E11" s="4" t="inlineStr">
        <is>
          <t>Dusre page mein relevant sentence select karo → Link button → is page ka URL. Anchor text har baar thoda alag rakho (exact + partial). 'click here' mat likho.</t>
        </is>
      </c>
      <c r="F11" s="4" t="inlineStr">
        <is>
          <t>To do</t>
        </is>
      </c>
    </row>
    <row r="12">
      <c r="A12" s="4" t="inlineStr">
        <is>
          <t>Home</t>
        </is>
      </c>
      <c r="B12" s="4" t="inlineStr">
        <is>
          <t>11. CTA button / Get Quote</t>
        </is>
      </c>
      <c r="C12" s="4" t="inlineStr">
        <is>
          <t>get a quote | request sample</t>
        </is>
      </c>
      <c r="D12" s="4" t="inlineStr">
        <is>
          <t>Button text: 'Get a Quote' / 'Request Price per Ton' / 'WhatsApp Us'</t>
        </is>
      </c>
      <c r="E12" s="4" t="inlineStr">
        <is>
          <t>Page ke upar (fold ke andar), beech mein aur neeche - teen jagah button. Button /get-quote/ page ya form pe jaye.</t>
        </is>
      </c>
      <c r="F12" s="4" t="inlineStr">
        <is>
          <t>To do</t>
        </is>
      </c>
    </row>
    <row r="13">
      <c r="A13" s="4" t="inlineStr">
        <is>
          <t>Home</t>
        </is>
      </c>
      <c r="B13" s="4" t="inlineStr">
        <is>
          <t>12. Schema (structured data)</t>
        </is>
      </c>
      <c r="C13" s="4" t="inlineStr">
        <is>
          <t>-</t>
        </is>
      </c>
      <c r="D13" s="4" t="inlineStr">
        <is>
          <t>Organization + BreadcrumbList + FAQPage + LocalBusiness</t>
        </is>
      </c>
      <c r="E13" s="4" t="inlineStr">
        <is>
          <t>Yoast/RankMath → Schema tab. Publish ke baad Google Rich Results Test mein URL daalke check karo ki error nahi hai.</t>
        </is>
      </c>
      <c r="F13" s="4" t="inlineStr">
        <is>
          <t>To do</t>
        </is>
      </c>
    </row>
    <row r="14">
      <c r="A14" s="4" t="inlineStr">
        <is>
          <t>Importers &amp; Exporters</t>
        </is>
      </c>
      <c r="B14" s="4" t="inlineStr">
        <is>
          <t>1. URL slug</t>
        </is>
      </c>
      <c r="C14" s="4" t="inlineStr">
        <is>
          <t>rice importers in uae</t>
        </is>
      </c>
      <c r="D14" s="4" t="inlineStr">
        <is>
          <t>cookychoice.com/rice-importers-exporters-uae/</t>
        </is>
      </c>
      <c r="E14" s="4" t="inlineStr">
        <is>
          <t>Page edit karo → Yoast SEO / RankMath box → 'Slug' ya Permalink field mein sirf primary keyword (hyphen ke saath) likho. Chhota rakho, year ya number mat daalo. Slug badalne ke baad purana URL ho to 301 redirect lagao.</t>
        </is>
      </c>
      <c r="F14" s="4" t="inlineStr">
        <is>
          <t>To do</t>
        </is>
      </c>
    </row>
    <row r="15">
      <c r="A15" s="4" t="inlineStr">
        <is>
          <t>Importers &amp; Exporters</t>
        </is>
      </c>
      <c r="B15" s="4" t="inlineStr">
        <is>
          <t>2. SEO title (Google mein neela link)</t>
        </is>
      </c>
      <c r="C15" s="4" t="inlineStr">
        <is>
          <t>rice importers in uae</t>
        </is>
      </c>
      <c r="D15" s="4" t="inlineStr">
        <is>
          <t>Rice Importers &amp; Exporters UAE | Trade Partner Dubai</t>
        </is>
      </c>
      <c r="E15" s="4" t="inlineStr">
        <is>
          <t>Yoast SEO → 'SEO title' mein ye likho. Primary keyword sabse pehle, brand (Cookychoice) last. 60 characters se chhota (52 chars hai).</t>
        </is>
      </c>
      <c r="F15" s="4" t="inlineStr">
        <is>
          <t>To do</t>
        </is>
      </c>
    </row>
    <row r="16">
      <c r="A16" s="4" t="inlineStr">
        <is>
          <t>Importers &amp; Exporters</t>
        </is>
      </c>
      <c r="B16" s="4" t="inlineStr">
        <is>
          <t>3. Meta description</t>
        </is>
      </c>
      <c r="C16" s="4" t="inlineStr">
        <is>
          <t>rice importers in uae + rice distributor dubai</t>
        </is>
      </c>
      <c r="D16" s="4" t="inlineStr">
        <is>
          <t>Rice Importers in Uae - Dubai-based bulk supplier. [Pack sizes / origins / MOQ yahan apni sachchi details daalein]. Get a quote in 24 hrs.</t>
        </is>
      </c>
      <c r="E16" s="4" t="inlineStr">
        <is>
          <t>Yoast → 'Meta description'. 140-155 characters. Primary keyword + ek offer + 'Get a quote' jaisa CTA. Apni sachchi details daalo, jhoot nahi.</t>
        </is>
      </c>
      <c r="F16" s="4" t="inlineStr">
        <is>
          <t>To do</t>
        </is>
      </c>
    </row>
    <row r="17">
      <c r="A17" s="4" t="inlineStr">
        <is>
          <t>Importers &amp; Exporters</t>
        </is>
      </c>
      <c r="B17" s="4" t="inlineStr">
        <is>
          <t>4. H1 (page ka mukhya heading)</t>
        </is>
      </c>
      <c r="C17" s="4" t="inlineStr">
        <is>
          <t>rice importers in uae</t>
        </is>
      </c>
      <c r="D17" s="4" t="inlineStr">
        <is>
          <t>Your Rice Import &amp; Export Partner in Dubai</t>
        </is>
      </c>
      <c r="E17" s="4" t="inlineStr">
        <is>
          <t>Page editor mein sabse upar ek hi H1 (Heading 1). Primary keyword (ya uska natural form) isme hona chahiye. Ek page = ek H1.</t>
        </is>
      </c>
      <c r="F17" s="4" t="inlineStr">
        <is>
          <t>To do</t>
        </is>
      </c>
    </row>
    <row r="18">
      <c r="A18" s="4" t="inlineStr">
        <is>
          <t>Importers &amp; Exporters</t>
        </is>
      </c>
      <c r="B18" s="4" t="inlineStr">
        <is>
          <t>5. Pehle 100 shabd (intro paragraph)</t>
        </is>
      </c>
      <c r="C18" s="4" t="inlineStr">
        <is>
          <t>rice importers in uae + rice distributor dubai</t>
        </is>
      </c>
      <c r="D18" s="4" t="inlineStr">
        <is>
          <t>[Pehli 1-2 line mein 'rice importers in uae' natural tareeke se likho.] Example: Cookychoice is a Dubai-based rice supplier for importers, exporters and bulk buyers. We supply [origins/grades] in [pack sizes] on [FOB/CIF] terms - request a quote today.</t>
        </is>
      </c>
      <c r="E18" s="4" t="inlineStr">
        <is>
          <t>H1 ke turant neeche paragraph mein primary keyword pehle 1-2 line mein aaye. Padhne mein natural lage, zabardasti nahi.</t>
        </is>
      </c>
      <c r="F18" s="4" t="inlineStr">
        <is>
          <t>To do</t>
        </is>
      </c>
    </row>
    <row r="19">
      <c r="A19" s="4" t="inlineStr">
        <is>
          <t>Importers &amp; Exporters</t>
        </is>
      </c>
      <c r="B19" s="4" t="inlineStr">
        <is>
          <t>6. H2 headings (sections)</t>
        </is>
      </c>
      <c r="C19" s="4" t="inlineStr">
        <is>
          <t>rice distributor dubai | rice importer uae | rice container import uae | rice importers in dubai | rice importer dubai | rice exporters in uae</t>
        </is>
      </c>
      <c r="D19" s="4" t="inlineStr">
        <is>
          <t>Rice Distributor Dubai | Rice Importer Uae | Rice Container Import Uae | Rice Importers in Dubai | Rice Importer Dubai | Rice Exporters in Uae</t>
        </is>
      </c>
      <c r="E19" s="4" t="inlineStr">
        <is>
          <t>Har secondary keyword ko ek H2 (Heading 2) bana do aur uske neeche 2-4 line likho. Volume aane ke baad Keyword Master mein Priority score ke hisaab se top 6 ko H2 banao.</t>
        </is>
      </c>
      <c r="F19" s="4" t="inlineStr">
        <is>
          <t>To do</t>
        </is>
      </c>
    </row>
    <row r="20">
      <c r="A20" s="4" t="inlineStr">
        <is>
          <t>Importers &amp; Exporters</t>
        </is>
      </c>
      <c r="B20" s="4" t="inlineStr">
        <is>
          <t>7. H3 / body paragraphs / table rows</t>
        </is>
      </c>
      <c r="C20" s="4" t="inlineStr">
        <is>
          <t>basmati rice importers uae | rice trading company in uae | rice traders in dubai | rice buyers in uae | rice buyers in dubai | rice distributors in uae | rice stockist dubai</t>
        </is>
      </c>
      <c r="D20" s="4" t="inlineStr">
        <is>
          <t>Body mein naturally 1-2 baar, ya table / list ke andar</t>
        </is>
      </c>
      <c r="E20" s="4" t="inlineStr">
        <is>
          <t>Baaki keywords ko H3, bullet, table ya paragraph mein naturally daalo. Ek keyword page pe zyada se zyada 2-3 baar. Same keyword baar-baar mat dohrao (stuffing).</t>
        </is>
      </c>
      <c r="F20" s="4" t="inlineStr">
        <is>
          <t>To do</t>
        </is>
      </c>
    </row>
    <row r="21">
      <c r="A21" s="4" t="inlineStr">
        <is>
          <t>Importers &amp; Exporters</t>
        </is>
      </c>
      <c r="B21" s="4" t="inlineStr">
        <is>
          <t>8. FAQ section + FAQPage schema</t>
        </is>
      </c>
      <c r="C21" s="4" t="inlineStr">
        <is>
          <t>What is your minimum order quantity (MOQ)? | How do I get a price quote for rice importers in uae? | Which origins, grades and pack sizes do you supply?</t>
        </is>
      </c>
      <c r="D21" s="4" t="inlineStr">
        <is>
          <t>What is your minimum order quantity (MOQ)? | How do I get a price quote for rice importers in uae? | Which origins, grades and pack sizes do you supply? | Do you ship internationally? Which incoterms (FOB / CIF) do you offer? | Can I get a sample before placing a bulk order?</t>
        </is>
      </c>
      <c r="E21" s="4" t="inlineStr">
        <is>
          <t>Page ke neeche 5-8 FAQ. Yoast FAQ block ya RankMath FAQ block use karo - schema apne aap ban jaata hai. Jawab 40-60 shabd.</t>
        </is>
      </c>
      <c r="F21" s="4" t="inlineStr">
        <is>
          <t>To do</t>
        </is>
      </c>
    </row>
    <row r="22">
      <c r="A22" s="4" t="inlineStr">
        <is>
          <t>Importers &amp; Exporters</t>
        </is>
      </c>
      <c r="B22" s="4" t="inlineStr">
        <is>
          <t>9. Image file name + alt text</t>
        </is>
      </c>
      <c r="C22" s="4" t="inlineStr">
        <is>
          <t>rice importers in uae</t>
        </is>
      </c>
      <c r="D22" s="4" t="inlineStr">
        <is>
          <t>File: rice-importers-in-uae-25kg-bag.webp | Alt: "Rice Importers in Uae 25kg bag packing"</t>
        </is>
      </c>
      <c r="E22" s="4" t="inlineStr">
        <is>
          <t>Media Library mein image par click → 'Alt Text' bharo. Alt mein image jo dikha rahi hai wahi likho + keyword natural (har image mein nahi, sirf 1-2 mein). File name upload se pehle badlo.</t>
        </is>
      </c>
      <c r="F22" s="4" t="inlineStr">
        <is>
          <t>To do</t>
        </is>
      </c>
    </row>
    <row r="23">
      <c r="A23" s="4" t="inlineStr">
        <is>
          <t>Importers &amp; Exporters</t>
        </is>
      </c>
      <c r="B23" s="4" t="inlineStr">
        <is>
          <t>10. Internal links - is page par aane wale links (anchor text)</t>
        </is>
      </c>
      <c r="C23" s="4" t="inlineStr">
        <is>
          <t>rice importers in uae | rice distributor dubai | Cookychoice | get a quote</t>
        </is>
      </c>
      <c r="D23" s="4" t="inlineStr">
        <is>
          <t>Home page aur related pages se is page par link, anchor = ye words</t>
        </is>
      </c>
      <c r="E23" s="4" t="inlineStr">
        <is>
          <t>Dusre page mein relevant sentence select karo → Link button → is page ka URL. Anchor text har baar thoda alag rakho (exact + partial). 'click here' mat likho.</t>
        </is>
      </c>
      <c r="F23" s="4" t="inlineStr">
        <is>
          <t>To do</t>
        </is>
      </c>
    </row>
    <row r="24">
      <c r="A24" s="4" t="inlineStr">
        <is>
          <t>Importers &amp; Exporters</t>
        </is>
      </c>
      <c r="B24" s="4" t="inlineStr">
        <is>
          <t>11. CTA button / Get Quote</t>
        </is>
      </c>
      <c r="C24" s="4" t="inlineStr">
        <is>
          <t>get a quote | request sample</t>
        </is>
      </c>
      <c r="D24" s="4" t="inlineStr">
        <is>
          <t>Button text: 'Get a Quote' / 'Request Price per Ton' / 'WhatsApp Us'</t>
        </is>
      </c>
      <c r="E24" s="4" t="inlineStr">
        <is>
          <t>Page ke upar (fold ke andar), beech mein aur neeche - teen jagah button. Button /get-quote/ page ya form pe jaye.</t>
        </is>
      </c>
      <c r="F24" s="4" t="inlineStr">
        <is>
          <t>To do</t>
        </is>
      </c>
    </row>
    <row r="25">
      <c r="A25" s="4" t="inlineStr">
        <is>
          <t>Importers &amp; Exporters</t>
        </is>
      </c>
      <c r="B25" s="4" t="inlineStr">
        <is>
          <t>12. Schema (structured data)</t>
        </is>
      </c>
      <c r="C25" s="4" t="inlineStr">
        <is>
          <t>-</t>
        </is>
      </c>
      <c r="D25" s="4" t="inlineStr">
        <is>
          <t>Organization + BreadcrumbList + FAQPage</t>
        </is>
      </c>
      <c r="E25" s="4" t="inlineStr">
        <is>
          <t>Yoast/RankMath → Schema tab. Publish ke baad Google Rich Results Test mein URL daalke check karo ki error nahi hai.</t>
        </is>
      </c>
      <c r="F25" s="4" t="inlineStr">
        <is>
          <t>To do</t>
        </is>
      </c>
    </row>
    <row r="26">
      <c r="A26" s="4" t="inlineStr">
        <is>
          <t>Wholesale / Bulk</t>
        </is>
      </c>
      <c r="B26" s="4" t="inlineStr">
        <is>
          <t>1. URL slug</t>
        </is>
      </c>
      <c r="C26" s="4" t="inlineStr">
        <is>
          <t>rice wholesale dubai</t>
        </is>
      </c>
      <c r="D26" s="4" t="inlineStr">
        <is>
          <t>cookychoice.com/rice-wholesale-dubai/</t>
        </is>
      </c>
      <c r="E26" s="4" t="inlineStr">
        <is>
          <t>Page edit karo → Yoast SEO / RankMath box → 'Slug' ya Permalink field mein sirf primary keyword (hyphen ke saath) likho. Chhota rakho, year ya number mat daalo. Slug badalne ke baad purana URL ho to 301 redirect lagao.</t>
        </is>
      </c>
      <c r="F26" s="4" t="inlineStr">
        <is>
          <t>To do</t>
        </is>
      </c>
    </row>
    <row r="27">
      <c r="A27" s="4" t="inlineStr">
        <is>
          <t>Wholesale / Bulk</t>
        </is>
      </c>
      <c r="B27" s="4" t="inlineStr">
        <is>
          <t>2. SEO title (Google mein neela link)</t>
        </is>
      </c>
      <c r="C27" s="4" t="inlineStr">
        <is>
          <t>rice wholesale dubai</t>
        </is>
      </c>
      <c r="D27" s="4" t="inlineStr">
        <is>
          <t>Rice Wholesale Dubai | Bulk Rice Supplier UAE</t>
        </is>
      </c>
      <c r="E27" s="4" t="inlineStr">
        <is>
          <t>Yoast SEO → 'SEO title' mein ye likho. Primary keyword sabse pehle, brand (Cookychoice) last. 60 characters se chhota (45 chars hai).</t>
        </is>
      </c>
      <c r="F27" s="4" t="inlineStr">
        <is>
          <t>To do</t>
        </is>
      </c>
    </row>
    <row r="28">
      <c r="A28" s="4" t="inlineStr">
        <is>
          <t>Wholesale / Bulk</t>
        </is>
      </c>
      <c r="B28" s="4" t="inlineStr">
        <is>
          <t>3. Meta description</t>
        </is>
      </c>
      <c r="C28" s="4" t="inlineStr">
        <is>
          <t>rice wholesale dubai + sharjah rice</t>
        </is>
      </c>
      <c r="D28" s="4" t="inlineStr">
        <is>
          <t>Rice Wholesale Dubai - Dubai-based bulk supplier. [Pack sizes / origins / MOQ yahan apni sachchi details daalein]. Get a quote in 24 hrs.</t>
        </is>
      </c>
      <c r="E28" s="4" t="inlineStr">
        <is>
          <t>Yoast → 'Meta description'. 140-155 characters. Primary keyword + ek offer + 'Get a quote' jaisa CTA. Apni sachchi details daalo, jhoot nahi.</t>
        </is>
      </c>
      <c r="F28" s="4" t="inlineStr">
        <is>
          <t>To do</t>
        </is>
      </c>
    </row>
    <row r="29">
      <c r="A29" s="4" t="inlineStr">
        <is>
          <t>Wholesale / Bulk</t>
        </is>
      </c>
      <c r="B29" s="4" t="inlineStr">
        <is>
          <t>4. H1 (page ka mukhya heading)</t>
        </is>
      </c>
      <c r="C29" s="4" t="inlineStr">
        <is>
          <t>rice wholesale dubai</t>
        </is>
      </c>
      <c r="D29" s="4" t="inlineStr">
        <is>
          <t>Rice Wholesale in Dubai</t>
        </is>
      </c>
      <c r="E29" s="4" t="inlineStr">
        <is>
          <t>Page editor mein sabse upar ek hi H1 (Heading 1). Primary keyword (ya uska natural form) isme hona chahiye. Ek page = ek H1.</t>
        </is>
      </c>
      <c r="F29" s="4" t="inlineStr">
        <is>
          <t>To do</t>
        </is>
      </c>
    </row>
    <row r="30">
      <c r="A30" s="4" t="inlineStr">
        <is>
          <t>Wholesale / Bulk</t>
        </is>
      </c>
      <c r="B30" s="4" t="inlineStr">
        <is>
          <t>5. Pehle 100 shabd (intro paragraph)</t>
        </is>
      </c>
      <c r="C30" s="4" t="inlineStr">
        <is>
          <t>rice wholesale dubai + sharjah rice</t>
        </is>
      </c>
      <c r="D30" s="4" t="inlineStr">
        <is>
          <t>[Pehli 1-2 line mein 'rice wholesale dubai' natural tareeke se likho.] Example: Cookychoice is a Dubai-based rice supplier for importers, exporters and bulk buyers. We supply [origins/grades] in [pack sizes] on [FOB/CIF] terms - request a quote today.</t>
        </is>
      </c>
      <c r="E30" s="4" t="inlineStr">
        <is>
          <t>H1 ke turant neeche paragraph mein primary keyword pehle 1-2 line mein aaye. Padhne mein natural lage, zabardasti nahi.</t>
        </is>
      </c>
      <c r="F30" s="4" t="inlineStr">
        <is>
          <t>To do</t>
        </is>
      </c>
    </row>
    <row r="31">
      <c r="A31" s="4" t="inlineStr">
        <is>
          <t>Wholesale / Bulk</t>
        </is>
      </c>
      <c r="B31" s="4" t="inlineStr">
        <is>
          <t>6. H2 headings (sections)</t>
        </is>
      </c>
      <c r="C31" s="4" t="inlineStr">
        <is>
          <t>sharjah rice | bulk rice dubai | rice wholesale uae | rice wholesale market dubai | rice wholesaler near me | wholesale rice price dubai</t>
        </is>
      </c>
      <c r="D31" s="4" t="inlineStr">
        <is>
          <t>Sharjah Rice | Bulk Rice Dubai | Rice Wholesale Uae | Rice Wholesale Market Dubai | Rice Wholesaler Near Me | Wholesale Rice Price Dubai</t>
        </is>
      </c>
      <c r="E31" s="4" t="inlineStr">
        <is>
          <t>Har secondary keyword ko ek H2 (Heading 2) bana do aur uske neeche 2-4 line likho. Volume aane ke baad Keyword Master mein Priority score ke hisaab se top 6 ko H2 banao.</t>
        </is>
      </c>
      <c r="F31" s="4" t="inlineStr">
        <is>
          <t>To do</t>
        </is>
      </c>
    </row>
    <row r="32">
      <c r="A32" s="4" t="inlineStr">
        <is>
          <t>Wholesale / Bulk</t>
        </is>
      </c>
      <c r="B32" s="4" t="inlineStr">
        <is>
          <t>7. H3 / body paragraphs / table rows</t>
        </is>
      </c>
      <c r="C32" s="4" t="inlineStr">
        <is>
          <t>sharjah rice price in uae | sharjah rice price in dubai | 1kg rice bag price dubai | 5kg rice bag price dubai | 10kg rice bag price dubai | 20kg rice bag price dubai | 25kg rice bag price dubai | 40kg rice bag price dubai | 50kg rice bag price dubai | rice in bulk 50kg uae | food stuff trading dubai | foodstuff wholesale dubai</t>
        </is>
      </c>
      <c r="D32" s="4" t="inlineStr">
        <is>
          <t>Body mein naturally 1-2 baar, ya table / list ke andar</t>
        </is>
      </c>
      <c r="E32" s="4" t="inlineStr">
        <is>
          <t>Baaki keywords ko H3, bullet, table ya paragraph mein naturally daalo. Ek keyword page pe zyada se zyada 2-3 baar. Same keyword baar-baar mat dohrao (stuffing).</t>
        </is>
      </c>
      <c r="F32" s="4" t="inlineStr">
        <is>
          <t>To do</t>
        </is>
      </c>
    </row>
    <row r="33">
      <c r="A33" s="4" t="inlineStr">
        <is>
          <t>Wholesale / Bulk</t>
        </is>
      </c>
      <c r="B33" s="4" t="inlineStr">
        <is>
          <t>8. FAQ section + FAQPage schema</t>
        </is>
      </c>
      <c r="C33" s="4" t="inlineStr">
        <is>
          <t>What is your minimum order quantity (MOQ)? | How do I get a price quote for rice wholesale dubai? | Which origins, grades and pack sizes do you supply?</t>
        </is>
      </c>
      <c r="D33" s="4" t="inlineStr">
        <is>
          <t>What is your minimum order quantity (MOQ)? | How do I get a price quote for rice wholesale dubai? | Which origins, grades and pack sizes do you supply? | Do you ship internationally? Which incoterms (FOB / CIF) do you offer? | Can I get a sample before placing a bulk order?</t>
        </is>
      </c>
      <c r="E33" s="4" t="inlineStr">
        <is>
          <t>Page ke neeche 5-8 FAQ. Yoast FAQ block ya RankMath FAQ block use karo - schema apne aap ban jaata hai. Jawab 40-60 shabd.</t>
        </is>
      </c>
      <c r="F33" s="4" t="inlineStr">
        <is>
          <t>To do</t>
        </is>
      </c>
    </row>
    <row r="34">
      <c r="A34" s="4" t="inlineStr">
        <is>
          <t>Wholesale / Bulk</t>
        </is>
      </c>
      <c r="B34" s="4" t="inlineStr">
        <is>
          <t>9. Image file name + alt text</t>
        </is>
      </c>
      <c r="C34" s="4" t="inlineStr">
        <is>
          <t>rice wholesale dubai</t>
        </is>
      </c>
      <c r="D34" s="4" t="inlineStr">
        <is>
          <t>File: rice-wholesale-dubai-25kg-bag.webp | Alt: "Rice Wholesale Dubai 25kg bag packing"</t>
        </is>
      </c>
      <c r="E34" s="4" t="inlineStr">
        <is>
          <t>Media Library mein image par click → 'Alt Text' bharo. Alt mein image jo dikha rahi hai wahi likho + keyword natural (har image mein nahi, sirf 1-2 mein). File name upload se pehle badlo.</t>
        </is>
      </c>
      <c r="F34" s="4" t="inlineStr">
        <is>
          <t>To do</t>
        </is>
      </c>
    </row>
    <row r="35">
      <c r="A35" s="4" t="inlineStr">
        <is>
          <t>Wholesale / Bulk</t>
        </is>
      </c>
      <c r="B35" s="4" t="inlineStr">
        <is>
          <t>10. Internal links - is page par aane wale links (anchor text)</t>
        </is>
      </c>
      <c r="C35" s="4" t="inlineStr">
        <is>
          <t>rice wholesale dubai | sharjah rice | Cookychoice | get a quote</t>
        </is>
      </c>
      <c r="D35" s="4" t="inlineStr">
        <is>
          <t>Home page aur related pages se is page par link, anchor = ye words</t>
        </is>
      </c>
      <c r="E35" s="4" t="inlineStr">
        <is>
          <t>Dusre page mein relevant sentence select karo → Link button → is page ka URL. Anchor text har baar thoda alag rakho (exact + partial). 'click here' mat likho.</t>
        </is>
      </c>
      <c r="F35" s="4" t="inlineStr">
        <is>
          <t>To do</t>
        </is>
      </c>
    </row>
    <row r="36">
      <c r="A36" s="4" t="inlineStr">
        <is>
          <t>Wholesale / Bulk</t>
        </is>
      </c>
      <c r="B36" s="4" t="inlineStr">
        <is>
          <t>11. CTA button / Get Quote</t>
        </is>
      </c>
      <c r="C36" s="4" t="inlineStr">
        <is>
          <t>get a quote | request sample</t>
        </is>
      </c>
      <c r="D36" s="4" t="inlineStr">
        <is>
          <t>Button text: 'Get a Quote' / 'Request Price per Ton' / 'WhatsApp Us'</t>
        </is>
      </c>
      <c r="E36" s="4" t="inlineStr">
        <is>
          <t>Page ke upar (fold ke andar), beech mein aur neeche - teen jagah button. Button /get-quote/ page ya form pe jaye.</t>
        </is>
      </c>
      <c r="F36" s="4" t="inlineStr">
        <is>
          <t>To do</t>
        </is>
      </c>
    </row>
    <row r="37">
      <c r="A37" s="4" t="inlineStr">
        <is>
          <t>Wholesale / Bulk</t>
        </is>
      </c>
      <c r="B37" s="4" t="inlineStr">
        <is>
          <t>12. Schema (structured data)</t>
        </is>
      </c>
      <c r="C37" s="4" t="inlineStr">
        <is>
          <t>-</t>
        </is>
      </c>
      <c r="D37" s="4" t="inlineStr">
        <is>
          <t>Organization + BreadcrumbList + FAQPage</t>
        </is>
      </c>
      <c r="E37" s="4" t="inlineStr">
        <is>
          <t>Yoast/RankMath → Schema tab. Publish ke baad Google Rich Results Test mein URL daalke check karo ki error nahi hai.</t>
        </is>
      </c>
      <c r="F37" s="4" t="inlineStr">
        <is>
          <t>To do</t>
        </is>
      </c>
    </row>
    <row r="38">
      <c r="A38" s="4" t="inlineStr">
        <is>
          <t>Export / Re-export</t>
        </is>
      </c>
      <c r="B38" s="4" t="inlineStr">
        <is>
          <t>1. URL slug</t>
        </is>
      </c>
      <c r="C38" s="4" t="inlineStr">
        <is>
          <t>rice re-export from dubai</t>
        </is>
      </c>
      <c r="D38" s="4" t="inlineStr">
        <is>
          <t>cookychoice.com/rice-export-from-dubai/</t>
        </is>
      </c>
      <c r="E38" s="4" t="inlineStr">
        <is>
          <t>Page edit karo → Yoast SEO / RankMath box → 'Slug' ya Permalink field mein sirf primary keyword (hyphen ke saath) likho. Chhota rakho, year ya number mat daalo. Slug badalne ke baad purana URL ho to 301 redirect lagao.</t>
        </is>
      </c>
      <c r="F38" s="4" t="inlineStr">
        <is>
          <t>To do</t>
        </is>
      </c>
    </row>
    <row r="39">
      <c r="A39" s="4" t="inlineStr">
        <is>
          <t>Export / Re-export</t>
        </is>
      </c>
      <c r="B39" s="4" t="inlineStr">
        <is>
          <t>2. SEO title (Google mein neela link)</t>
        </is>
      </c>
      <c r="C39" s="4" t="inlineStr">
        <is>
          <t>rice re-export from dubai</t>
        </is>
      </c>
      <c r="D39" s="4" t="inlineStr">
        <is>
          <t>Rice Export from Dubai | Africa, GCC &amp; Middle East</t>
        </is>
      </c>
      <c r="E39" s="4" t="inlineStr">
        <is>
          <t>Yoast SEO → 'SEO title' mein ye likho. Primary keyword sabse pehle, brand (Cookychoice) last. 60 characters se chhota (50 chars hai).</t>
        </is>
      </c>
      <c r="F39" s="4" t="inlineStr">
        <is>
          <t>To do</t>
        </is>
      </c>
    </row>
    <row r="40">
      <c r="A40" s="4" t="inlineStr">
        <is>
          <t>Export / Re-export</t>
        </is>
      </c>
      <c r="B40" s="4" t="inlineStr">
        <is>
          <t>3. Meta description</t>
        </is>
      </c>
      <c r="C40" s="4" t="inlineStr">
        <is>
          <t>rice re-export from dubai + rice supplier for africa from dubai</t>
        </is>
      </c>
      <c r="D40" s="4" t="inlineStr">
        <is>
          <t>Rice Re-export from Dubai - Dubai-based bulk supplier. [Pack sizes / origins / MOQ yahan apni sachchi details daalein]. Get a quote in 24 hrs.</t>
        </is>
      </c>
      <c r="E40" s="4" t="inlineStr">
        <is>
          <t>Yoast → 'Meta description'. 140-155 characters. Primary keyword + ek offer + 'Get a quote' jaisa CTA. Apni sachchi details daalo, jhoot nahi.</t>
        </is>
      </c>
      <c r="F40" s="4" t="inlineStr">
        <is>
          <t>To do</t>
        </is>
      </c>
    </row>
    <row r="41">
      <c r="A41" s="4" t="inlineStr">
        <is>
          <t>Export / Re-export</t>
        </is>
      </c>
      <c r="B41" s="4" t="inlineStr">
        <is>
          <t>4. H1 (page ka mukhya heading)</t>
        </is>
      </c>
      <c r="C41" s="4" t="inlineStr">
        <is>
          <t>rice re-export from dubai</t>
        </is>
      </c>
      <c r="D41" s="4" t="inlineStr">
        <is>
          <t>Rice Export &amp; Re-export from Dubai</t>
        </is>
      </c>
      <c r="E41" s="4" t="inlineStr">
        <is>
          <t>Page editor mein sabse upar ek hi H1 (Heading 1). Primary keyword (ya uska natural form) isme hona chahiye. Ek page = ek H1.</t>
        </is>
      </c>
      <c r="F41" s="4" t="inlineStr">
        <is>
          <t>To do</t>
        </is>
      </c>
    </row>
    <row r="42">
      <c r="A42" s="4" t="inlineStr">
        <is>
          <t>Export / Re-export</t>
        </is>
      </c>
      <c r="B42" s="4" t="inlineStr">
        <is>
          <t>5. Pehle 100 shabd (intro paragraph)</t>
        </is>
      </c>
      <c r="C42" s="4" t="inlineStr">
        <is>
          <t>rice re-export from dubai + rice supplier for africa from dubai</t>
        </is>
      </c>
      <c r="D42" s="4" t="inlineStr">
        <is>
          <t>[Pehli 1-2 line mein 'rice re-export from dubai' natural tareeke se likho.] Example: Cookychoice is a Dubai-based rice supplier for importers, exporters and bulk buyers. We supply [origins/grades] in [pack sizes] on [FOB/CIF] terms - request a quote today.</t>
        </is>
      </c>
      <c r="E42" s="4" t="inlineStr">
        <is>
          <t>H1 ke turant neeche paragraph mein primary keyword pehle 1-2 line mein aaye. Padhne mein natural lage, zabardasti nahi.</t>
        </is>
      </c>
      <c r="F42" s="4" t="inlineStr">
        <is>
          <t>To do</t>
        </is>
      </c>
    </row>
    <row r="43">
      <c r="A43" s="4" t="inlineStr">
        <is>
          <t>Export / Re-export</t>
        </is>
      </c>
      <c r="B43" s="4" t="inlineStr">
        <is>
          <t>6. H2 headings (sections)</t>
        </is>
      </c>
      <c r="C43" s="4" t="inlineStr">
        <is>
          <t>rice export to yemen | rice supplier somalia | rice export to nigeria | rice supplier gcc | rice supplier qatar | rice supplier kuwait</t>
        </is>
      </c>
      <c r="D43" s="4" t="inlineStr">
        <is>
          <t>Rice Export to Yemen | Rice Supplier Somalia | Rice Export to Nigeria | Rice Supplier Gcc | Rice Supplier Qatar | Rice Supplier Kuwait</t>
        </is>
      </c>
      <c r="E43" s="4" t="inlineStr">
        <is>
          <t>Har secondary keyword ko ek H2 (Heading 2) bana do aur uske neeche 2-4 line likho. Volume aane ke baad Keyword Master mein Priority score ke hisaab se top 6 ko H2 banao.</t>
        </is>
      </c>
      <c r="F43" s="4" t="inlineStr">
        <is>
          <t>To do</t>
        </is>
      </c>
    </row>
    <row r="44">
      <c r="A44" s="4" t="inlineStr">
        <is>
          <t>Export / Re-export</t>
        </is>
      </c>
      <c r="B44" s="4" t="inlineStr">
        <is>
          <t>7. H3 / body paragraphs / table rows</t>
        </is>
      </c>
      <c r="C44" s="4" t="inlineStr">
        <is>
          <t>rice supplier for africa from dubai | rice export to africa from uae | rice exporter to saudi arabia | rice supplier iraq from dubai | rice supplier kenya from dubai</t>
        </is>
      </c>
      <c r="D44" s="4" t="inlineStr">
        <is>
          <t>Body mein naturally 1-2 baar, ya table / list ke andar</t>
        </is>
      </c>
      <c r="E44" s="4" t="inlineStr">
        <is>
          <t>Baaki keywords ko H3, bullet, table ya paragraph mein naturally daalo. Ek keyword page pe zyada se zyada 2-3 baar. Same keyword baar-baar mat dohrao (stuffing).</t>
        </is>
      </c>
      <c r="F44" s="4" t="inlineStr">
        <is>
          <t>To do</t>
        </is>
      </c>
    </row>
    <row r="45">
      <c r="A45" s="4" t="inlineStr">
        <is>
          <t>Export / Re-export</t>
        </is>
      </c>
      <c r="B45" s="4" t="inlineStr">
        <is>
          <t>8. FAQ section + FAQPage schema</t>
        </is>
      </c>
      <c r="C45" s="4" t="inlineStr">
        <is>
          <t>What is your minimum order quantity (MOQ)? | How do I get a price quote for rice re-export from dubai? | Which origins, grades and pack sizes do you supply?</t>
        </is>
      </c>
      <c r="D45" s="4" t="inlineStr">
        <is>
          <t>What is your minimum order quantity (MOQ)? | How do I get a price quote for rice re-export from dubai? | Which origins, grades and pack sizes do you supply? | Do you ship internationally? Which incoterms (FOB / CIF) do you offer? | Can I get a sample before placing a bulk order?</t>
        </is>
      </c>
      <c r="E45" s="4" t="inlineStr">
        <is>
          <t>Page ke neeche 5-8 FAQ. Yoast FAQ block ya RankMath FAQ block use karo - schema apne aap ban jaata hai. Jawab 40-60 shabd.</t>
        </is>
      </c>
      <c r="F45" s="4" t="inlineStr">
        <is>
          <t>To do</t>
        </is>
      </c>
    </row>
    <row r="46">
      <c r="A46" s="4" t="inlineStr">
        <is>
          <t>Export / Re-export</t>
        </is>
      </c>
      <c r="B46" s="4" t="inlineStr">
        <is>
          <t>9. Image file name + alt text</t>
        </is>
      </c>
      <c r="C46" s="4" t="inlineStr">
        <is>
          <t>rice re-export from dubai</t>
        </is>
      </c>
      <c r="D46" s="4" t="inlineStr">
        <is>
          <t>File: rice-re-export-from-dubai-25kg-bag.webp | Alt: "Rice Re-export from Dubai 25kg bag packing"</t>
        </is>
      </c>
      <c r="E46" s="4" t="inlineStr">
        <is>
          <t>Media Library mein image par click → 'Alt Text' bharo. Alt mein image jo dikha rahi hai wahi likho + keyword natural (har image mein nahi, sirf 1-2 mein). File name upload se pehle badlo.</t>
        </is>
      </c>
      <c r="F46" s="4" t="inlineStr">
        <is>
          <t>To do</t>
        </is>
      </c>
    </row>
    <row r="47">
      <c r="A47" s="4" t="inlineStr">
        <is>
          <t>Export / Re-export</t>
        </is>
      </c>
      <c r="B47" s="4" t="inlineStr">
        <is>
          <t>10. Internal links - is page par aane wale links (anchor text)</t>
        </is>
      </c>
      <c r="C47" s="4" t="inlineStr">
        <is>
          <t>rice re-export from dubai | rice supplier for africa from dubai | Cookychoice | get a quote</t>
        </is>
      </c>
      <c r="D47" s="4" t="inlineStr">
        <is>
          <t>Home page aur related pages se is page par link, anchor = ye words</t>
        </is>
      </c>
      <c r="E47" s="4" t="inlineStr">
        <is>
          <t>Dusre page mein relevant sentence select karo → Link button → is page ka URL. Anchor text har baar thoda alag rakho (exact + partial). 'click here' mat likho.</t>
        </is>
      </c>
      <c r="F47" s="4" t="inlineStr">
        <is>
          <t>To do</t>
        </is>
      </c>
    </row>
    <row r="48">
      <c r="A48" s="4" t="inlineStr">
        <is>
          <t>Export / Re-export</t>
        </is>
      </c>
      <c r="B48" s="4" t="inlineStr">
        <is>
          <t>11. CTA button / Get Quote</t>
        </is>
      </c>
      <c r="C48" s="4" t="inlineStr">
        <is>
          <t>get a quote | request sample</t>
        </is>
      </c>
      <c r="D48" s="4" t="inlineStr">
        <is>
          <t>Button text: 'Get a Quote' / 'Request Price per Ton' / 'WhatsApp Us'</t>
        </is>
      </c>
      <c r="E48" s="4" t="inlineStr">
        <is>
          <t>Page ke upar (fold ke andar), beech mein aur neeche - teen jagah button. Button /get-quote/ page ya form pe jaye.</t>
        </is>
      </c>
      <c r="F48" s="4" t="inlineStr">
        <is>
          <t>To do</t>
        </is>
      </c>
    </row>
    <row r="49">
      <c r="A49" s="4" t="inlineStr">
        <is>
          <t>Export / Re-export</t>
        </is>
      </c>
      <c r="B49" s="4" t="inlineStr">
        <is>
          <t>12. Schema (structured data)</t>
        </is>
      </c>
      <c r="C49" s="4" t="inlineStr">
        <is>
          <t>-</t>
        </is>
      </c>
      <c r="D49" s="4" t="inlineStr">
        <is>
          <t>Organization + BreadcrumbList + FAQPage</t>
        </is>
      </c>
      <c r="E49" s="4" t="inlineStr">
        <is>
          <t>Yoast/RankMath → Schema tab. Publish ke baad Google Rich Results Test mein URL daalke check karo ki error nahi hai.</t>
        </is>
      </c>
      <c r="F49" s="4" t="inlineStr">
        <is>
          <t>To do</t>
        </is>
      </c>
    </row>
    <row r="50">
      <c r="A50" s="4" t="inlineStr">
        <is>
          <t>Price per ton (RFQ)</t>
        </is>
      </c>
      <c r="B50" s="4" t="inlineStr">
        <is>
          <t>1. URL slug</t>
        </is>
      </c>
      <c r="C50" s="4" t="inlineStr">
        <is>
          <t>rice price per ton</t>
        </is>
      </c>
      <c r="D50" s="4" t="inlineStr">
        <is>
          <t>cookychoice.com/rice-price-per-ton/</t>
        </is>
      </c>
      <c r="E50" s="4" t="inlineStr">
        <is>
          <t>Page edit karo → Yoast SEO / RankMath box → 'Slug' ya Permalink field mein sirf primary keyword (hyphen ke saath) likho. Chhota rakho, year ya number mat daalo. Slug badalne ke baad purana URL ho to 301 redirect lagao.</t>
        </is>
      </c>
      <c r="F50" s="4" t="inlineStr">
        <is>
          <t>To do</t>
        </is>
      </c>
    </row>
    <row r="51">
      <c r="A51" s="4" t="inlineStr">
        <is>
          <t>Price per ton (RFQ)</t>
        </is>
      </c>
      <c r="B51" s="4" t="inlineStr">
        <is>
          <t>2. SEO title (Google mein neela link)</t>
        </is>
      </c>
      <c r="C51" s="4" t="inlineStr">
        <is>
          <t>rice price per ton</t>
        </is>
      </c>
      <c r="D51" s="4" t="inlineStr">
        <is>
          <t>Rice Price per Ton | FOB/CIF Dubai - Get Quote</t>
        </is>
      </c>
      <c r="E51" s="4" t="inlineStr">
        <is>
          <t>Yoast SEO → 'SEO title' mein ye likho. Primary keyword sabse pehle, brand (Cookychoice) last. 60 characters se chhota (46 chars hai).</t>
        </is>
      </c>
      <c r="F51" s="4" t="inlineStr">
        <is>
          <t>To do</t>
        </is>
      </c>
    </row>
    <row r="52">
      <c r="A52" s="4" t="inlineStr">
        <is>
          <t>Price per ton (RFQ)</t>
        </is>
      </c>
      <c r="B52" s="4" t="inlineStr">
        <is>
          <t>3. Meta description</t>
        </is>
      </c>
      <c r="C52" s="4" t="inlineStr">
        <is>
          <t>rice price per ton + rice fob price</t>
        </is>
      </c>
      <c r="D52" s="4" t="inlineStr">
        <is>
          <t>Rice Price Per Ton - Dubai-based bulk supplier. [Pack sizes / origins / MOQ yahan apni sachchi details daalein]. Get a quote in 24 hrs.</t>
        </is>
      </c>
      <c r="E52" s="4" t="inlineStr">
        <is>
          <t>Yoast → 'Meta description'. 140-155 characters. Primary keyword + ek offer + 'Get a quote' jaisa CTA. Apni sachchi details daalo, jhoot nahi.</t>
        </is>
      </c>
      <c r="F52" s="4" t="inlineStr">
        <is>
          <t>To do</t>
        </is>
      </c>
    </row>
    <row r="53">
      <c r="A53" s="4" t="inlineStr">
        <is>
          <t>Price per ton (RFQ)</t>
        </is>
      </c>
      <c r="B53" s="4" t="inlineStr">
        <is>
          <t>4. H1 (page ka mukhya heading)</t>
        </is>
      </c>
      <c r="C53" s="4" t="inlineStr">
        <is>
          <t>rice price per ton</t>
        </is>
      </c>
      <c r="D53" s="4" t="inlineStr">
        <is>
          <t>Rice Price per Ton &amp; Container Quotes</t>
        </is>
      </c>
      <c r="E53" s="4" t="inlineStr">
        <is>
          <t>Page editor mein sabse upar ek hi H1 (Heading 1). Primary keyword (ya uska natural form) isme hona chahiye. Ek page = ek H1.</t>
        </is>
      </c>
      <c r="F53" s="4" t="inlineStr">
        <is>
          <t>To do</t>
        </is>
      </c>
    </row>
    <row r="54">
      <c r="A54" s="4" t="inlineStr">
        <is>
          <t>Price per ton (RFQ)</t>
        </is>
      </c>
      <c r="B54" s="4" t="inlineStr">
        <is>
          <t>5. Pehle 100 shabd (intro paragraph)</t>
        </is>
      </c>
      <c r="C54" s="4" t="inlineStr">
        <is>
          <t>rice price per ton + rice fob price</t>
        </is>
      </c>
      <c r="D54" s="4" t="inlineStr">
        <is>
          <t>[Pehli 1-2 line mein 'rice price per ton' natural tareeke se likho.] Example: Cookychoice is a Dubai-based rice supplier for importers, exporters and bulk buyers. We supply [origins/grades] in [pack sizes] on [FOB/CIF] terms - request a quote today.</t>
        </is>
      </c>
      <c r="E54" s="4" t="inlineStr">
        <is>
          <t>H1 ke turant neeche paragraph mein primary keyword pehle 1-2 line mein aaye. Padhne mein natural lage, zabardasti nahi.</t>
        </is>
      </c>
      <c r="F54" s="4" t="inlineStr">
        <is>
          <t>To do</t>
        </is>
      </c>
    </row>
    <row r="55">
      <c r="A55" s="4" t="inlineStr">
        <is>
          <t>Price per ton (RFQ)</t>
        </is>
      </c>
      <c r="B55" s="4" t="inlineStr">
        <is>
          <t>6. H2 headings (sections)</t>
        </is>
      </c>
      <c r="C55" s="4" t="inlineStr">
        <is>
          <t>rice fob price | rice cif dubai | rice cif jebel ali | basmati rice fob price | rice moq | rice hs code</t>
        </is>
      </c>
      <c r="D55" s="4" t="inlineStr">
        <is>
          <t>Rice Fob Price | Rice Cif Dubai | Rice Cif Jebel Ali | Basmati Rice Fob Price | Rice Moq | Rice Hs Code</t>
        </is>
      </c>
      <c r="E55" s="4" t="inlineStr">
        <is>
          <t>Har secondary keyword ko ek H2 (Heading 2) bana do aur uske neeche 2-4 line likho. Volume aane ke baad Keyword Master mein Priority score ke hisaab se top 6 ko H2 banao.</t>
        </is>
      </c>
      <c r="F55" s="4" t="inlineStr">
        <is>
          <t>To do</t>
        </is>
      </c>
    </row>
    <row r="56">
      <c r="A56" s="4" t="inlineStr">
        <is>
          <t>Price per ton (RFQ)</t>
        </is>
      </c>
      <c r="B56" s="4" t="inlineStr">
        <is>
          <t>7. H3 / body paragraphs / table rows</t>
        </is>
      </c>
      <c r="C56" s="4" t="inlineStr">
        <is>
          <t>rice price per ton in dubai | basmati rice price per ton | 1121 basmati rice price per ton | basmati rice hs code | rice 20ft container price | rice 40ft container load | rice container shipping to dubai | rice import documents uae | rice letter of credit | rice incoterms</t>
        </is>
      </c>
      <c r="D56" s="4" t="inlineStr">
        <is>
          <t>Body mein naturally 1-2 baar, ya table / list ke andar</t>
        </is>
      </c>
      <c r="E56" s="4" t="inlineStr">
        <is>
          <t>Baaki keywords ko H3, bullet, table ya paragraph mein naturally daalo. Ek keyword page pe zyada se zyada 2-3 baar. Same keyword baar-baar mat dohrao (stuffing).</t>
        </is>
      </c>
      <c r="F56" s="4" t="inlineStr">
        <is>
          <t>To do</t>
        </is>
      </c>
    </row>
    <row r="57">
      <c r="A57" s="4" t="inlineStr">
        <is>
          <t>Price per ton (RFQ)</t>
        </is>
      </c>
      <c r="B57" s="4" t="inlineStr">
        <is>
          <t>8. FAQ section + FAQPage schema</t>
        </is>
      </c>
      <c r="C57" s="4" t="inlineStr">
        <is>
          <t>What is your minimum order quantity (MOQ)? | How do I get a price quote for rice price per ton? | Which origins, grades and pack sizes do you supply?</t>
        </is>
      </c>
      <c r="D57" s="4" t="inlineStr">
        <is>
          <t>What is your minimum order quantity (MOQ)? | How do I get a price quote for rice price per ton? | Which origins, grades and pack sizes do you supply? | Do you ship internationally? Which incoterms (FOB / CIF) do you offer? | Can I get a sample before placing a bulk order?</t>
        </is>
      </c>
      <c r="E57" s="4" t="inlineStr">
        <is>
          <t>Page ke neeche 5-8 FAQ. Yoast FAQ block ya RankMath FAQ block use karo - schema apne aap ban jaata hai. Jawab 40-60 shabd.</t>
        </is>
      </c>
      <c r="F57" s="4" t="inlineStr">
        <is>
          <t>To do</t>
        </is>
      </c>
    </row>
    <row r="58">
      <c r="A58" s="4" t="inlineStr">
        <is>
          <t>Price per ton (RFQ)</t>
        </is>
      </c>
      <c r="B58" s="4" t="inlineStr">
        <is>
          <t>9. Image file name + alt text</t>
        </is>
      </c>
      <c r="C58" s="4" t="inlineStr">
        <is>
          <t>rice price per ton</t>
        </is>
      </c>
      <c r="D58" s="4" t="inlineStr">
        <is>
          <t>File: rice-price-per-ton-25kg-bag.webp | Alt: "Rice Price Per Ton 25kg bag packing"</t>
        </is>
      </c>
      <c r="E58" s="4" t="inlineStr">
        <is>
          <t>Media Library mein image par click → 'Alt Text' bharo. Alt mein image jo dikha rahi hai wahi likho + keyword natural (har image mein nahi, sirf 1-2 mein). File name upload se pehle badlo.</t>
        </is>
      </c>
      <c r="F58" s="4" t="inlineStr">
        <is>
          <t>To do</t>
        </is>
      </c>
    </row>
    <row r="59">
      <c r="A59" s="4" t="inlineStr">
        <is>
          <t>Price per ton (RFQ)</t>
        </is>
      </c>
      <c r="B59" s="4" t="inlineStr">
        <is>
          <t>10. Internal links - is page par aane wale links (anchor text)</t>
        </is>
      </c>
      <c r="C59" s="4" t="inlineStr">
        <is>
          <t>rice price per ton | rice fob price | Cookychoice | get a quote</t>
        </is>
      </c>
      <c r="D59" s="4" t="inlineStr">
        <is>
          <t>Home page aur related pages se is page par link, anchor = ye words</t>
        </is>
      </c>
      <c r="E59" s="4" t="inlineStr">
        <is>
          <t>Dusre page mein relevant sentence select karo → Link button → is page ka URL. Anchor text har baar thoda alag rakho (exact + partial). 'click here' mat likho.</t>
        </is>
      </c>
      <c r="F59" s="4" t="inlineStr">
        <is>
          <t>To do</t>
        </is>
      </c>
    </row>
    <row r="60">
      <c r="A60" s="4" t="inlineStr">
        <is>
          <t>Price per ton (RFQ)</t>
        </is>
      </c>
      <c r="B60" s="4" t="inlineStr">
        <is>
          <t>11. CTA button / Get Quote</t>
        </is>
      </c>
      <c r="C60" s="4" t="inlineStr">
        <is>
          <t>get a quote | request sample</t>
        </is>
      </c>
      <c r="D60" s="4" t="inlineStr">
        <is>
          <t>Button text: 'Get a Quote' / 'Request Price per Ton' / 'WhatsApp Us'</t>
        </is>
      </c>
      <c r="E60" s="4" t="inlineStr">
        <is>
          <t>Page ke upar (fold ke andar), beech mein aur neeche - teen jagah button. Button /get-quote/ page ya form pe jaye.</t>
        </is>
      </c>
      <c r="F60" s="4" t="inlineStr">
        <is>
          <t>To do</t>
        </is>
      </c>
    </row>
    <row r="61">
      <c r="A61" s="4" t="inlineStr">
        <is>
          <t>Price per ton (RFQ)</t>
        </is>
      </c>
      <c r="B61" s="4" t="inlineStr">
        <is>
          <t>12. Schema (structured data)</t>
        </is>
      </c>
      <c r="C61" s="4" t="inlineStr">
        <is>
          <t>-</t>
        </is>
      </c>
      <c r="D61" s="4" t="inlineStr">
        <is>
          <t>Organization + BreadcrumbList + FAQPage</t>
        </is>
      </c>
      <c r="E61" s="4" t="inlineStr">
        <is>
          <t>Yoast/RankMath → Schema tab. Publish ke baad Google Rich Results Test mein URL daalke check karo ki error nahi hai.</t>
        </is>
      </c>
      <c r="F61" s="4" t="inlineStr">
        <is>
          <t>To do</t>
        </is>
      </c>
    </row>
    <row r="62">
      <c r="A62" s="4" t="inlineStr">
        <is>
          <t>Origin sourcing</t>
        </is>
      </c>
      <c r="B62" s="4" t="inlineStr">
        <is>
          <t>1. URL slug</t>
        </is>
      </c>
      <c r="C62" s="4" t="inlineStr">
        <is>
          <t>indian rice supplier dubai</t>
        </is>
      </c>
      <c r="D62" s="4" t="inlineStr">
        <is>
          <t>cookychoice.com/rice-sourcing/</t>
        </is>
      </c>
      <c r="E62" s="4" t="inlineStr">
        <is>
          <t>Page edit karo → Yoast SEO / RankMath box → 'Slug' ya Permalink field mein sirf primary keyword (hyphen ke saath) likho. Chhota rakho, year ya number mat daalo. Slug badalne ke baad purana URL ho to 301 redirect lagao.</t>
        </is>
      </c>
      <c r="F62" s="4" t="inlineStr">
        <is>
          <t>To do</t>
        </is>
      </c>
    </row>
    <row r="63">
      <c r="A63" s="4" t="inlineStr">
        <is>
          <t>Origin sourcing</t>
        </is>
      </c>
      <c r="B63" s="4" t="inlineStr">
        <is>
          <t>2. SEO title (Google mein neela link)</t>
        </is>
      </c>
      <c r="C63" s="4" t="inlineStr">
        <is>
          <t>indian rice supplier dubai</t>
        </is>
      </c>
      <c r="D63" s="4" t="inlineStr">
        <is>
          <t>Indian, Pakistani &amp; Thai Rice Supplier Dubai</t>
        </is>
      </c>
      <c r="E63" s="4" t="inlineStr">
        <is>
          <t>Yoast SEO → 'SEO title' mein ye likho. Primary keyword sabse pehle, brand (Cookychoice) last. 60 characters se chhota (44 chars hai).</t>
        </is>
      </c>
      <c r="F63" s="4" t="inlineStr">
        <is>
          <t>To do</t>
        </is>
      </c>
    </row>
    <row r="64">
      <c r="A64" s="4" t="inlineStr">
        <is>
          <t>Origin sourcing</t>
        </is>
      </c>
      <c r="B64" s="4" t="inlineStr">
        <is>
          <t>3. Meta description</t>
        </is>
      </c>
      <c r="C64" s="4" t="inlineStr">
        <is>
          <t>indian rice supplier dubai + rice exporter to uae</t>
        </is>
      </c>
      <c r="D64" s="4" t="inlineStr">
        <is>
          <t>Indian Rice Supplier Dubai - Dubai-based bulk supplier. [Pack sizes / origins / MOQ yahan apni sachchi details daalein]. Get a quote in 24 hrs.</t>
        </is>
      </c>
      <c r="E64" s="4" t="inlineStr">
        <is>
          <t>Yoast → 'Meta description'. 140-155 characters. Primary keyword + ek offer + 'Get a quote' jaisa CTA. Apni sachchi details daalo, jhoot nahi.</t>
        </is>
      </c>
      <c r="F64" s="4" t="inlineStr">
        <is>
          <t>To do</t>
        </is>
      </c>
    </row>
    <row r="65">
      <c r="A65" s="4" t="inlineStr">
        <is>
          <t>Origin sourcing</t>
        </is>
      </c>
      <c r="B65" s="4" t="inlineStr">
        <is>
          <t>4. H1 (page ka mukhya heading)</t>
        </is>
      </c>
      <c r="C65" s="4" t="inlineStr">
        <is>
          <t>indian rice supplier dubai</t>
        </is>
      </c>
      <c r="D65" s="4" t="inlineStr">
        <is>
          <t>Source Rice from the Best Origins</t>
        </is>
      </c>
      <c r="E65" s="4" t="inlineStr">
        <is>
          <t>Page editor mein sabse upar ek hi H1 (Heading 1). Primary keyword (ya uska natural form) isme hona chahiye. Ek page = ek H1.</t>
        </is>
      </c>
      <c r="F65" s="4" t="inlineStr">
        <is>
          <t>To do</t>
        </is>
      </c>
    </row>
    <row r="66">
      <c r="A66" s="4" t="inlineStr">
        <is>
          <t>Origin sourcing</t>
        </is>
      </c>
      <c r="B66" s="4" t="inlineStr">
        <is>
          <t>5. Pehle 100 shabd (intro paragraph)</t>
        </is>
      </c>
      <c r="C66" s="4" t="inlineStr">
        <is>
          <t>indian rice supplier dubai + rice exporter to uae</t>
        </is>
      </c>
      <c r="D66" s="4" t="inlineStr">
        <is>
          <t>[Pehli 1-2 line mein 'indian rice supplier dubai' natural tareeke se likho.] Example: Cookychoice is a Dubai-based rice supplier for importers, exporters and bulk buyers. We supply [origins/grades] in [pack sizes] on [FOB/CIF] terms - request a quote today.</t>
        </is>
      </c>
      <c r="E66" s="4" t="inlineStr">
        <is>
          <t>H1 ke turant neeche paragraph mein primary keyword pehle 1-2 line mein aaye. Padhne mein natural lage, zabardasti nahi.</t>
        </is>
      </c>
      <c r="F66" s="4" t="inlineStr">
        <is>
          <t>To do</t>
        </is>
      </c>
    </row>
    <row r="67">
      <c r="A67" s="4" t="inlineStr">
        <is>
          <t>Origin sourcing</t>
        </is>
      </c>
      <c r="B67" s="4" t="inlineStr">
        <is>
          <t>6. H2 headings (sections)</t>
        </is>
      </c>
      <c r="C67" s="4" t="inlineStr">
        <is>
          <t>rice exporter to uae | indian rice exporters uae | rice sourcing company dubai | rice procurement uae | rice sourcing agent uae | rice broker dubai</t>
        </is>
      </c>
      <c r="D67" s="4" t="inlineStr">
        <is>
          <t>Rice Exporter to Uae | Indian Rice Exporters Uae | Rice Sourcing Company Dubai | Rice Procurement Uae | Rice Sourcing Agent Uae | Rice Broker Dubai</t>
        </is>
      </c>
      <c r="E67" s="4" t="inlineStr">
        <is>
          <t>Har secondary keyword ko ek H2 (Heading 2) bana do aur uske neeche 2-4 line likho. Volume aane ke baad Keyword Master mein Priority score ke hisaab se top 6 ko H2 banao.</t>
        </is>
      </c>
      <c r="F67" s="4" t="inlineStr">
        <is>
          <t>To do</t>
        </is>
      </c>
    </row>
    <row r="68">
      <c r="A68" s="4" t="inlineStr">
        <is>
          <t>Origin sourcing</t>
        </is>
      </c>
      <c r="B68" s="4" t="inlineStr">
        <is>
          <t>7. H3 / body paragraphs / table rows</t>
        </is>
      </c>
      <c r="C68" s="4" t="inlineStr">
        <is>
          <t>pakistani rice supplier uae | thai rice supplier uae | vietnam rice supplier uae | indian rice exporters | basmati rice exporters india | basmati rice exporters pakistan | rice exporters thailand | myanmar rice supplier | indian non basmati rice export</t>
        </is>
      </c>
      <c r="D68" s="4" t="inlineStr">
        <is>
          <t>Body mein naturally 1-2 baar, ya table / list ke andar</t>
        </is>
      </c>
      <c r="E68" s="4" t="inlineStr">
        <is>
          <t>Baaki keywords ko H3, bullet, table ya paragraph mein naturally daalo. Ek keyword page pe zyada se zyada 2-3 baar. Same keyword baar-baar mat dohrao (stuffing).</t>
        </is>
      </c>
      <c r="F68" s="4" t="inlineStr">
        <is>
          <t>To do</t>
        </is>
      </c>
    </row>
    <row r="69">
      <c r="A69" s="4" t="inlineStr">
        <is>
          <t>Origin sourcing</t>
        </is>
      </c>
      <c r="B69" s="4" t="inlineStr">
        <is>
          <t>8. FAQ section + FAQPage schema</t>
        </is>
      </c>
      <c r="C69" s="4" t="inlineStr">
        <is>
          <t>What is your minimum order quantity (MOQ)? | How do I get a price quote for indian rice supplier dubai? | Which origins, grades and pack sizes do you supply?</t>
        </is>
      </c>
      <c r="D69" s="4" t="inlineStr">
        <is>
          <t>What is your minimum order quantity (MOQ)? | How do I get a price quote for indian rice supplier dubai? | Which origins, grades and pack sizes do you supply? | Do you ship internationally? Which incoterms (FOB / CIF) do you offer? | Can I get a sample before placing a bulk order?</t>
        </is>
      </c>
      <c r="E69" s="4" t="inlineStr">
        <is>
          <t>Page ke neeche 5-8 FAQ. Yoast FAQ block ya RankMath FAQ block use karo - schema apne aap ban jaata hai. Jawab 40-60 shabd.</t>
        </is>
      </c>
      <c r="F69" s="4" t="inlineStr">
        <is>
          <t>To do</t>
        </is>
      </c>
    </row>
    <row r="70">
      <c r="A70" s="4" t="inlineStr">
        <is>
          <t>Origin sourcing</t>
        </is>
      </c>
      <c r="B70" s="4" t="inlineStr">
        <is>
          <t>9. Image file name + alt text</t>
        </is>
      </c>
      <c r="C70" s="4" t="inlineStr">
        <is>
          <t>indian rice supplier dubai</t>
        </is>
      </c>
      <c r="D70" s="4" t="inlineStr">
        <is>
          <t>File: indian-rice-supplier-dubai-25kg-bag.webp | Alt: "Indian Rice Supplier Dubai 25kg bag packing"</t>
        </is>
      </c>
      <c r="E70" s="4" t="inlineStr">
        <is>
          <t>Media Library mein image par click → 'Alt Text' bharo. Alt mein image jo dikha rahi hai wahi likho + keyword natural (har image mein nahi, sirf 1-2 mein). File name upload se pehle badlo.</t>
        </is>
      </c>
      <c r="F70" s="4" t="inlineStr">
        <is>
          <t>To do</t>
        </is>
      </c>
    </row>
    <row r="71">
      <c r="A71" s="4" t="inlineStr">
        <is>
          <t>Origin sourcing</t>
        </is>
      </c>
      <c r="B71" s="4" t="inlineStr">
        <is>
          <t>10. Internal links - is page par aane wale links (anchor text)</t>
        </is>
      </c>
      <c r="C71" s="4" t="inlineStr">
        <is>
          <t>indian rice supplier dubai | rice exporter to uae | Cookychoice | get a quote</t>
        </is>
      </c>
      <c r="D71" s="4" t="inlineStr">
        <is>
          <t>Home page aur related pages se is page par link, anchor = ye words</t>
        </is>
      </c>
      <c r="E71" s="4" t="inlineStr">
        <is>
          <t>Dusre page mein relevant sentence select karo → Link button → is page ka URL. Anchor text har baar thoda alag rakho (exact + partial). 'click here' mat likho.</t>
        </is>
      </c>
      <c r="F71" s="4" t="inlineStr">
        <is>
          <t>To do</t>
        </is>
      </c>
    </row>
    <row r="72">
      <c r="A72" s="4" t="inlineStr">
        <is>
          <t>Origin sourcing</t>
        </is>
      </c>
      <c r="B72" s="4" t="inlineStr">
        <is>
          <t>11. CTA button / Get Quote</t>
        </is>
      </c>
      <c r="C72" s="4" t="inlineStr">
        <is>
          <t>get a quote | request sample</t>
        </is>
      </c>
      <c r="D72" s="4" t="inlineStr">
        <is>
          <t>Button text: 'Get a Quote' / 'Request Price per Ton' / 'WhatsApp Us'</t>
        </is>
      </c>
      <c r="E72" s="4" t="inlineStr">
        <is>
          <t>Page ke upar (fold ke andar), beech mein aur neeche - teen jagah button. Button /get-quote/ page ya form pe jaye.</t>
        </is>
      </c>
      <c r="F72" s="4" t="inlineStr">
        <is>
          <t>To do</t>
        </is>
      </c>
    </row>
    <row r="73">
      <c r="A73" s="4" t="inlineStr">
        <is>
          <t>Origin sourcing</t>
        </is>
      </c>
      <c r="B73" s="4" t="inlineStr">
        <is>
          <t>12. Schema (structured data)</t>
        </is>
      </c>
      <c r="C73" s="4" t="inlineStr">
        <is>
          <t>-</t>
        </is>
      </c>
      <c r="D73" s="4" t="inlineStr">
        <is>
          <t>Organization + BreadcrumbList + FAQPage</t>
        </is>
      </c>
      <c r="E73" s="4" t="inlineStr">
        <is>
          <t>Yoast/RankMath → Schema tab. Publish ke baad Google Rich Results Test mein URL daalke check karo ki error nahi hai.</t>
        </is>
      </c>
      <c r="F73" s="4" t="inlineStr">
        <is>
          <t>To do</t>
        </is>
      </c>
    </row>
    <row r="74">
      <c r="A74" s="4" t="inlineStr">
        <is>
          <t>Private label</t>
        </is>
      </c>
      <c r="B74" s="4" t="inlineStr">
        <is>
          <t>1. URL slug</t>
        </is>
      </c>
      <c r="C74" s="4" t="inlineStr">
        <is>
          <t>private label rice supplier</t>
        </is>
      </c>
      <c r="D74" s="4" t="inlineStr">
        <is>
          <t>cookychoice.com/private-label-rice/</t>
        </is>
      </c>
      <c r="E74" s="4" t="inlineStr">
        <is>
          <t>Page edit karo → Yoast SEO / RankMath box → 'Slug' ya Permalink field mein sirf primary keyword (hyphen ke saath) likho. Chhota rakho, year ya number mat daalo. Slug badalne ke baad purana URL ho to 301 redirect lagao.</t>
        </is>
      </c>
      <c r="F74" s="4" t="inlineStr">
        <is>
          <t>To do</t>
        </is>
      </c>
    </row>
    <row r="75">
      <c r="A75" s="4" t="inlineStr">
        <is>
          <t>Private label</t>
        </is>
      </c>
      <c r="B75" s="4" t="inlineStr">
        <is>
          <t>2. SEO title (Google mein neela link)</t>
        </is>
      </c>
      <c r="C75" s="4" t="inlineStr">
        <is>
          <t>private label rice supplier</t>
        </is>
      </c>
      <c r="D75" s="4" t="inlineStr">
        <is>
          <t>Private Label Rice Supplier UAE | Your Brand</t>
        </is>
      </c>
      <c r="E75" s="4" t="inlineStr">
        <is>
          <t>Yoast SEO → 'SEO title' mein ye likho. Primary keyword sabse pehle, brand (Cookychoice) last. 60 characters se chhota (44 chars hai).</t>
        </is>
      </c>
      <c r="F75" s="4" t="inlineStr">
        <is>
          <t>To do</t>
        </is>
      </c>
    </row>
    <row r="76">
      <c r="A76" s="4" t="inlineStr">
        <is>
          <t>Private label</t>
        </is>
      </c>
      <c r="B76" s="4" t="inlineStr">
        <is>
          <t>3. Meta description</t>
        </is>
      </c>
      <c r="C76" s="4" t="inlineStr">
        <is>
          <t>private label rice supplier + private label rice uae</t>
        </is>
      </c>
      <c r="D76" s="4" t="inlineStr">
        <is>
          <t>Private Label Rice Supplier - Dubai-based bulk supplier. [Pack sizes / origins / MOQ yahan apni sachchi details daalein]. Get a quote in 24 hrs.</t>
        </is>
      </c>
      <c r="E76" s="4" t="inlineStr">
        <is>
          <t>Yoast → 'Meta description'. 140-155 characters. Primary keyword + ek offer + 'Get a quote' jaisa CTA. Apni sachchi details daalo, jhoot nahi.</t>
        </is>
      </c>
      <c r="F76" s="4" t="inlineStr">
        <is>
          <t>To do</t>
        </is>
      </c>
    </row>
    <row r="77">
      <c r="A77" s="4" t="inlineStr">
        <is>
          <t>Private label</t>
        </is>
      </c>
      <c r="B77" s="4" t="inlineStr">
        <is>
          <t>4. H1 (page ka mukhya heading)</t>
        </is>
      </c>
      <c r="C77" s="4" t="inlineStr">
        <is>
          <t>private label rice supplier</t>
        </is>
      </c>
      <c r="D77" s="4" t="inlineStr">
        <is>
          <t>Private Label Rice for Your Brand</t>
        </is>
      </c>
      <c r="E77" s="4" t="inlineStr">
        <is>
          <t>Page editor mein sabse upar ek hi H1 (Heading 1). Primary keyword (ya uska natural form) isme hona chahiye. Ek page = ek H1.</t>
        </is>
      </c>
      <c r="F77" s="4" t="inlineStr">
        <is>
          <t>To do</t>
        </is>
      </c>
    </row>
    <row r="78">
      <c r="A78" s="4" t="inlineStr">
        <is>
          <t>Private label</t>
        </is>
      </c>
      <c r="B78" s="4" t="inlineStr">
        <is>
          <t>5. Pehle 100 shabd (intro paragraph)</t>
        </is>
      </c>
      <c r="C78" s="4" t="inlineStr">
        <is>
          <t>private label rice supplier + private label rice uae</t>
        </is>
      </c>
      <c r="D78" s="4" t="inlineStr">
        <is>
          <t>[Pehli 1-2 line mein 'private label rice supplier' natural tareeke se likho.] Example: Cookychoice is a Dubai-based rice supplier for importers, exporters and bulk buyers. We supply [origins/grades] in [pack sizes] on [FOB/CIF] terms - request a quote today.</t>
        </is>
      </c>
      <c r="E78" s="4" t="inlineStr">
        <is>
          <t>H1 ke turant neeche paragraph mein primary keyword pehle 1-2 line mein aaye. Padhne mein natural lage, zabardasti nahi.</t>
        </is>
      </c>
      <c r="F78" s="4" t="inlineStr">
        <is>
          <t>To do</t>
        </is>
      </c>
    </row>
    <row r="79">
      <c r="A79" s="4" t="inlineStr">
        <is>
          <t>Private label</t>
        </is>
      </c>
      <c r="B79" s="4" t="inlineStr">
        <is>
          <t>6. H2 headings (sections)</t>
        </is>
      </c>
      <c r="C79" s="4" t="inlineStr">
        <is>
          <t>private label rice uae | rice packing manufacturer uae | rice oem packaging | custom branded rice bags | pp bag rice packing</t>
        </is>
      </c>
      <c r="D79" s="4" t="inlineStr">
        <is>
          <t>Private Label Rice Uae | Rice Packing Manufacturer Uae | Rice Oem Packaging | Custom Branded Rice Bags | Pp Bag Rice Packing</t>
        </is>
      </c>
      <c r="E79" s="4" t="inlineStr">
        <is>
          <t>Har secondary keyword ko ek H2 (Heading 2) bana do aur uske neeche 2-4 line likho. Volume aane ke baad Keyword Master mein Priority score ke hisaab se top 6 ko H2 banao.</t>
        </is>
      </c>
      <c r="F79" s="4" t="inlineStr">
        <is>
          <t>To do</t>
        </is>
      </c>
    </row>
    <row r="80">
      <c r="A80" s="4" t="inlineStr">
        <is>
          <t>Private label</t>
        </is>
      </c>
      <c r="B80" s="4" t="inlineStr">
        <is>
          <t>7. H3 / body paragraphs / table rows</t>
        </is>
      </c>
      <c r="C80" s="4" t="inlineStr">
        <is>
          <t>private label basmati rice uae</t>
        </is>
      </c>
      <c r="D80" s="4" t="inlineStr">
        <is>
          <t>Body mein naturally 1-2 baar, ya table / list ke andar</t>
        </is>
      </c>
      <c r="E80" s="4" t="inlineStr">
        <is>
          <t>Baaki keywords ko H3, bullet, table ya paragraph mein naturally daalo. Ek keyword page pe zyada se zyada 2-3 baar. Same keyword baar-baar mat dohrao (stuffing).</t>
        </is>
      </c>
      <c r="F80" s="4" t="inlineStr">
        <is>
          <t>To do</t>
        </is>
      </c>
    </row>
    <row r="81">
      <c r="A81" s="4" t="inlineStr">
        <is>
          <t>Private label</t>
        </is>
      </c>
      <c r="B81" s="4" t="inlineStr">
        <is>
          <t>8. FAQ section + FAQPage schema</t>
        </is>
      </c>
      <c r="C81" s="4" t="inlineStr">
        <is>
          <t>What is your minimum order quantity (MOQ)? | How do I get a price quote for private label rice supplier? | Which origins, grades and pack sizes do you supply?</t>
        </is>
      </c>
      <c r="D81" s="4" t="inlineStr">
        <is>
          <t>What is your minimum order quantity (MOQ)? | How do I get a price quote for private label rice supplier? | Which origins, grades and pack sizes do you supply? | Do you ship internationally? Which incoterms (FOB / CIF) do you offer? | Can I get a sample before placing a bulk order?</t>
        </is>
      </c>
      <c r="E81" s="4" t="inlineStr">
        <is>
          <t>Page ke neeche 5-8 FAQ. Yoast FAQ block ya RankMath FAQ block use karo - schema apne aap ban jaata hai. Jawab 40-60 shabd.</t>
        </is>
      </c>
      <c r="F81" s="4" t="inlineStr">
        <is>
          <t>To do</t>
        </is>
      </c>
    </row>
    <row r="82">
      <c r="A82" s="4" t="inlineStr">
        <is>
          <t>Private label</t>
        </is>
      </c>
      <c r="B82" s="4" t="inlineStr">
        <is>
          <t>9. Image file name + alt text</t>
        </is>
      </c>
      <c r="C82" s="4" t="inlineStr">
        <is>
          <t>private label rice supplier</t>
        </is>
      </c>
      <c r="D82" s="4" t="inlineStr">
        <is>
          <t>File: private-label-rice-supplier-25kg-bag.webp | Alt: "Private Label Rice Supplier 25kg bag packing"</t>
        </is>
      </c>
      <c r="E82" s="4" t="inlineStr">
        <is>
          <t>Media Library mein image par click → 'Alt Text' bharo. Alt mein image jo dikha rahi hai wahi likho + keyword natural (har image mein nahi, sirf 1-2 mein). File name upload se pehle badlo.</t>
        </is>
      </c>
      <c r="F82" s="4" t="inlineStr">
        <is>
          <t>To do</t>
        </is>
      </c>
    </row>
    <row r="83">
      <c r="A83" s="4" t="inlineStr">
        <is>
          <t>Private label</t>
        </is>
      </c>
      <c r="B83" s="4" t="inlineStr">
        <is>
          <t>10. Internal links - is page par aane wale links (anchor text)</t>
        </is>
      </c>
      <c r="C83" s="4" t="inlineStr">
        <is>
          <t>private label rice supplier | private label rice uae | Cookychoice | get a quote</t>
        </is>
      </c>
      <c r="D83" s="4" t="inlineStr">
        <is>
          <t>Home page aur related pages se is page par link, anchor = ye words</t>
        </is>
      </c>
      <c r="E83" s="4" t="inlineStr">
        <is>
          <t>Dusre page mein relevant sentence select karo → Link button → is page ka URL. Anchor text har baar thoda alag rakho (exact + partial). 'click here' mat likho.</t>
        </is>
      </c>
      <c r="F83" s="4" t="inlineStr">
        <is>
          <t>To do</t>
        </is>
      </c>
    </row>
    <row r="84">
      <c r="A84" s="4" t="inlineStr">
        <is>
          <t>Private label</t>
        </is>
      </c>
      <c r="B84" s="4" t="inlineStr">
        <is>
          <t>11. CTA button / Get Quote</t>
        </is>
      </c>
      <c r="C84" s="4" t="inlineStr">
        <is>
          <t>get a quote | request sample</t>
        </is>
      </c>
      <c r="D84" s="4" t="inlineStr">
        <is>
          <t>Button text: 'Get a Quote' / 'Request Price per Ton' / 'WhatsApp Us'</t>
        </is>
      </c>
      <c r="E84" s="4" t="inlineStr">
        <is>
          <t>Page ke upar (fold ke andar), beech mein aur neeche - teen jagah button. Button /get-quote/ page ya form pe jaye.</t>
        </is>
      </c>
      <c r="F84" s="4" t="inlineStr">
        <is>
          <t>To do</t>
        </is>
      </c>
    </row>
    <row r="85">
      <c r="A85" s="4" t="inlineStr">
        <is>
          <t>Private label</t>
        </is>
      </c>
      <c r="B85" s="4" t="inlineStr">
        <is>
          <t>12. Schema (structured data)</t>
        </is>
      </c>
      <c r="C85" s="4" t="inlineStr">
        <is>
          <t>-</t>
        </is>
      </c>
      <c r="D85" s="4" t="inlineStr">
        <is>
          <t>Organization + BreadcrumbList + FAQPage</t>
        </is>
      </c>
      <c r="E85" s="4" t="inlineStr">
        <is>
          <t>Yoast/RankMath → Schema tab. Publish ke baad Google Rich Results Test mein URL daalke check karo ki error nahi hai.</t>
        </is>
      </c>
      <c r="F85" s="4" t="inlineStr">
        <is>
          <t>To do</t>
        </is>
      </c>
    </row>
    <row r="86">
      <c r="A86" s="4" t="inlineStr">
        <is>
          <t>Quality &amp; certifications</t>
        </is>
      </c>
      <c r="B86" s="4" t="inlineStr">
        <is>
          <t>1. URL slug</t>
        </is>
      </c>
      <c r="C86" s="4" t="inlineStr">
        <is>
          <t>halal certified rice supplier</t>
        </is>
      </c>
      <c r="D86" s="4" t="inlineStr">
        <is>
          <t>cookychoice.com/quality-certifications/</t>
        </is>
      </c>
      <c r="E86" s="4" t="inlineStr">
        <is>
          <t>Page edit karo → Yoast SEO / RankMath box → 'Slug' ya Permalink field mein sirf primary keyword (hyphen ke saath) likho. Chhota rakho, year ya number mat daalo. Slug badalne ke baad purana URL ho to 301 redirect lagao.</t>
        </is>
      </c>
      <c r="F86" s="4" t="inlineStr">
        <is>
          <t>To do</t>
        </is>
      </c>
    </row>
    <row r="87">
      <c r="A87" s="4" t="inlineStr">
        <is>
          <t>Quality &amp; certifications</t>
        </is>
      </c>
      <c r="B87" s="4" t="inlineStr">
        <is>
          <t>2. SEO title (Google mein neela link)</t>
        </is>
      </c>
      <c r="C87" s="4" t="inlineStr">
        <is>
          <t>halal certified rice supplier</t>
        </is>
      </c>
      <c r="D87" s="4" t="inlineStr">
        <is>
          <t>Halal Certified Rice Supplier UAE | HACCP, ISO</t>
        </is>
      </c>
      <c r="E87" s="4" t="inlineStr">
        <is>
          <t>Yoast SEO → 'SEO title' mein ye likho. Primary keyword sabse pehle, brand (Cookychoice) last. 60 characters se chhota (46 chars hai).</t>
        </is>
      </c>
      <c r="F87" s="4" t="inlineStr">
        <is>
          <t>To do</t>
        </is>
      </c>
    </row>
    <row r="88">
      <c r="A88" s="4" t="inlineStr">
        <is>
          <t>Quality &amp; certifications</t>
        </is>
      </c>
      <c r="B88" s="4" t="inlineStr">
        <is>
          <t>3. Meta description</t>
        </is>
      </c>
      <c r="C88" s="4" t="inlineStr">
        <is>
          <t>halal certified rice supplier + haccp rice supplier</t>
        </is>
      </c>
      <c r="D88" s="4" t="inlineStr">
        <is>
          <t>Halal Certified Rice Supplier - Dubai-based bulk supplier. [Pack sizes / origins / MOQ yahan apni sachchi details daalein]. Get a quote in 24 hrs.</t>
        </is>
      </c>
      <c r="E88" s="4" t="inlineStr">
        <is>
          <t>Yoast → 'Meta description'. 140-155 characters. Primary keyword + ek offer + 'Get a quote' jaisa CTA. Apni sachchi details daalo, jhoot nahi.</t>
        </is>
      </c>
      <c r="F88" s="4" t="inlineStr">
        <is>
          <t>To do</t>
        </is>
      </c>
    </row>
    <row r="89">
      <c r="A89" s="4" t="inlineStr">
        <is>
          <t>Quality &amp; certifications</t>
        </is>
      </c>
      <c r="B89" s="4" t="inlineStr">
        <is>
          <t>4. H1 (page ka mukhya heading)</t>
        </is>
      </c>
      <c r="C89" s="4" t="inlineStr">
        <is>
          <t>halal certified rice supplier</t>
        </is>
      </c>
      <c r="D89" s="4" t="inlineStr">
        <is>
          <t>Quality &amp; Certifications</t>
        </is>
      </c>
      <c r="E89" s="4" t="inlineStr">
        <is>
          <t>Page editor mein sabse upar ek hi H1 (Heading 1). Primary keyword (ya uska natural form) isme hona chahiye. Ek page = ek H1.</t>
        </is>
      </c>
      <c r="F89" s="4" t="inlineStr">
        <is>
          <t>To do</t>
        </is>
      </c>
    </row>
    <row r="90">
      <c r="A90" s="4" t="inlineStr">
        <is>
          <t>Quality &amp; certifications</t>
        </is>
      </c>
      <c r="B90" s="4" t="inlineStr">
        <is>
          <t>5. Pehle 100 shabd (intro paragraph)</t>
        </is>
      </c>
      <c r="C90" s="4" t="inlineStr">
        <is>
          <t>halal certified rice supplier + haccp rice supplier</t>
        </is>
      </c>
      <c r="D90" s="4" t="inlineStr">
        <is>
          <t>[Pehli 1-2 line mein 'halal certified rice supplier' natural tareeke se likho.] Example: Cookychoice is a Dubai-based rice supplier for importers, exporters and bulk buyers. We supply [origins/grades] in [pack sizes] on [FOB/CIF] terms - request a quote today.</t>
        </is>
      </c>
      <c r="E90" s="4" t="inlineStr">
        <is>
          <t>H1 ke turant neeche paragraph mein primary keyword pehle 1-2 line mein aaye. Padhne mein natural lage, zabardasti nahi.</t>
        </is>
      </c>
      <c r="F90" s="4" t="inlineStr">
        <is>
          <t>To do</t>
        </is>
      </c>
    </row>
    <row r="91">
      <c r="A91" s="4" t="inlineStr">
        <is>
          <t>Quality &amp; certifications</t>
        </is>
      </c>
      <c r="B91" s="4" t="inlineStr">
        <is>
          <t>6. H2 headings (sections)</t>
        </is>
      </c>
      <c r="C91" s="4" t="inlineStr">
        <is>
          <t>haccp rice supplier | iso certified rice exporter | rice quality inspection | rice sgs inspection | rice sample request</t>
        </is>
      </c>
      <c r="D91" s="4" t="inlineStr">
        <is>
          <t>Haccp Rice Supplier | Iso Certified Rice Exporter | Rice Quality Inspection | Rice Sgs Inspection | Rice Sample Request</t>
        </is>
      </c>
      <c r="E91" s="4" t="inlineStr">
        <is>
          <t>Har secondary keyword ko ek H2 (Heading 2) bana do aur uske neeche 2-4 line likho. Volume aane ke baad Keyword Master mein Priority score ke hisaab se top 6 ko H2 banao.</t>
        </is>
      </c>
      <c r="F91" s="4" t="inlineStr">
        <is>
          <t>To do</t>
        </is>
      </c>
    </row>
    <row r="92">
      <c r="A92" s="4" t="inlineStr">
        <is>
          <t>Quality &amp; certifications</t>
        </is>
      </c>
      <c r="B92" s="4" t="inlineStr">
        <is>
          <t>7. H3 / body paragraphs / table rows</t>
        </is>
      </c>
      <c r="C92" s="4" t="inlineStr">
        <is>
          <t>-</t>
        </is>
      </c>
      <c r="D92" s="4" t="inlineStr">
        <is>
          <t>Body mein naturally 1-2 baar, ya table / list ke andar</t>
        </is>
      </c>
      <c r="E92" s="4" t="inlineStr">
        <is>
          <t>Baaki keywords ko H3, bullet, table ya paragraph mein naturally daalo. Ek keyword page pe zyada se zyada 2-3 baar. Same keyword baar-baar mat dohrao (stuffing).</t>
        </is>
      </c>
      <c r="F92" s="4" t="inlineStr">
        <is>
          <t>To do</t>
        </is>
      </c>
    </row>
    <row r="93">
      <c r="A93" s="4" t="inlineStr">
        <is>
          <t>Quality &amp; certifications</t>
        </is>
      </c>
      <c r="B93" s="4" t="inlineStr">
        <is>
          <t>8. FAQ section + FAQPage schema</t>
        </is>
      </c>
      <c r="C93" s="4" t="inlineStr">
        <is>
          <t>What is your minimum order quantity (MOQ)? | How do I get a price quote for halal certified rice supplier? | Which origins, grades and pack sizes do you supply?</t>
        </is>
      </c>
      <c r="D93" s="4" t="inlineStr">
        <is>
          <t>What is your minimum order quantity (MOQ)? | How do I get a price quote for halal certified rice supplier? | Which origins, grades and pack sizes do you supply? | Do you ship internationally? Which incoterms (FOB / CIF) do you offer? | Can I get a sample before placing a bulk order?</t>
        </is>
      </c>
      <c r="E93" s="4" t="inlineStr">
        <is>
          <t>Page ke neeche 5-8 FAQ. Yoast FAQ block ya RankMath FAQ block use karo - schema apne aap ban jaata hai. Jawab 40-60 shabd.</t>
        </is>
      </c>
      <c r="F93" s="4" t="inlineStr">
        <is>
          <t>To do</t>
        </is>
      </c>
    </row>
    <row r="94">
      <c r="A94" s="4" t="inlineStr">
        <is>
          <t>Quality &amp; certifications</t>
        </is>
      </c>
      <c r="B94" s="4" t="inlineStr">
        <is>
          <t>9. Image file name + alt text</t>
        </is>
      </c>
      <c r="C94" s="4" t="inlineStr">
        <is>
          <t>halal certified rice supplier</t>
        </is>
      </c>
      <c r="D94" s="4" t="inlineStr">
        <is>
          <t>File: halal-certified-rice-supplier-25kg-bag.webp | Alt: "Halal Certified Rice Supplier 25kg bag packing"</t>
        </is>
      </c>
      <c r="E94" s="4" t="inlineStr">
        <is>
          <t>Media Library mein image par click → 'Alt Text' bharo. Alt mein image jo dikha rahi hai wahi likho + keyword natural (har image mein nahi, sirf 1-2 mein). File name upload se pehle badlo.</t>
        </is>
      </c>
      <c r="F94" s="4" t="inlineStr">
        <is>
          <t>To do</t>
        </is>
      </c>
    </row>
    <row r="95">
      <c r="A95" s="4" t="inlineStr">
        <is>
          <t>Quality &amp; certifications</t>
        </is>
      </c>
      <c r="B95" s="4" t="inlineStr">
        <is>
          <t>10. Internal links - is page par aane wale links (anchor text)</t>
        </is>
      </c>
      <c r="C95" s="4" t="inlineStr">
        <is>
          <t>halal certified rice supplier | haccp rice supplier | Cookychoice | get a quote</t>
        </is>
      </c>
      <c r="D95" s="4" t="inlineStr">
        <is>
          <t>Home page aur related pages se is page par link, anchor = ye words</t>
        </is>
      </c>
      <c r="E95" s="4" t="inlineStr">
        <is>
          <t>Dusre page mein relevant sentence select karo → Link button → is page ka URL. Anchor text har baar thoda alag rakho (exact + partial). 'click here' mat likho.</t>
        </is>
      </c>
      <c r="F95" s="4" t="inlineStr">
        <is>
          <t>To do</t>
        </is>
      </c>
    </row>
    <row r="96">
      <c r="A96" s="4" t="inlineStr">
        <is>
          <t>Quality &amp; certifications</t>
        </is>
      </c>
      <c r="B96" s="4" t="inlineStr">
        <is>
          <t>11. CTA button / Get Quote</t>
        </is>
      </c>
      <c r="C96" s="4" t="inlineStr">
        <is>
          <t>get a quote | request sample</t>
        </is>
      </c>
      <c r="D96" s="4" t="inlineStr">
        <is>
          <t>Button text: 'Get a Quote' / 'Request Price per Ton' / 'WhatsApp Us'</t>
        </is>
      </c>
      <c r="E96" s="4" t="inlineStr">
        <is>
          <t>Page ke upar (fold ke andar), beech mein aur neeche - teen jagah button. Button /get-quote/ page ya form pe jaye.</t>
        </is>
      </c>
      <c r="F96" s="4" t="inlineStr">
        <is>
          <t>To do</t>
        </is>
      </c>
    </row>
    <row r="97">
      <c r="A97" s="4" t="inlineStr">
        <is>
          <t>Quality &amp; certifications</t>
        </is>
      </c>
      <c r="B97" s="4" t="inlineStr">
        <is>
          <t>12. Schema (structured data)</t>
        </is>
      </c>
      <c r="C97" s="4" t="inlineStr">
        <is>
          <t>-</t>
        </is>
      </c>
      <c r="D97" s="4" t="inlineStr">
        <is>
          <t>Organization + BreadcrumbList + FAQPage</t>
        </is>
      </c>
      <c r="E97" s="4" t="inlineStr">
        <is>
          <t>Yoast/RankMath → Schema tab. Publish ke baad Google Rich Results Test mein URL daalke check karo ki error nahi hai.</t>
        </is>
      </c>
      <c r="F97" s="4" t="inlineStr">
        <is>
          <t>To do</t>
        </is>
      </c>
    </row>
    <row r="98">
      <c r="A98" s="4" t="inlineStr">
        <is>
          <t>HORECA &amp; institutions</t>
        </is>
      </c>
      <c r="B98" s="4" t="inlineStr">
        <is>
          <t>1. URL slug</t>
        </is>
      </c>
      <c r="C98" s="4" t="inlineStr">
        <is>
          <t>rice supplier for hotels dubai</t>
        </is>
      </c>
      <c r="D98" s="4" t="inlineStr">
        <is>
          <t>cookychoice.com/rice-for-hotels-restaurants/</t>
        </is>
      </c>
      <c r="E98" s="4" t="inlineStr">
        <is>
          <t>Page edit karo → Yoast SEO / RankMath box → 'Slug' ya Permalink field mein sirf primary keyword (hyphen ke saath) likho. Chhota rakho, year ya number mat daalo. Slug badalne ke baad purana URL ho to 301 redirect lagao.</t>
        </is>
      </c>
      <c r="F98" s="4" t="inlineStr">
        <is>
          <t>To do</t>
        </is>
      </c>
    </row>
    <row r="99">
      <c r="A99" s="4" t="inlineStr">
        <is>
          <t>HORECA &amp; institutions</t>
        </is>
      </c>
      <c r="B99" s="4" t="inlineStr">
        <is>
          <t>2. SEO title (Google mein neela link)</t>
        </is>
      </c>
      <c r="C99" s="4" t="inlineStr">
        <is>
          <t>rice supplier for hotels dubai</t>
        </is>
      </c>
      <c r="D99" s="4" t="inlineStr">
        <is>
          <t>Rice Supplier for Hotels &amp; Restaurants Dubai</t>
        </is>
      </c>
      <c r="E99" s="4" t="inlineStr">
        <is>
          <t>Yoast SEO → 'SEO title' mein ye likho. Primary keyword sabse pehle, brand (Cookychoice) last. 60 characters se chhota (44 chars hai).</t>
        </is>
      </c>
      <c r="F99" s="4" t="inlineStr">
        <is>
          <t>To do</t>
        </is>
      </c>
    </row>
    <row r="100">
      <c r="A100" s="4" t="inlineStr">
        <is>
          <t>HORECA &amp; institutions</t>
        </is>
      </c>
      <c r="B100" s="4" t="inlineStr">
        <is>
          <t>3. Meta description</t>
        </is>
      </c>
      <c r="C100" s="4" t="inlineStr">
        <is>
          <t>rice supplier for hotels dubai + bulk rice for restaurants dubai</t>
        </is>
      </c>
      <c r="D100" s="4" t="inlineStr">
        <is>
          <t>Rice Supplier for Hotels Dubai - Dubai-based bulk supplier. [Pack sizes / origins / MOQ yahan apni sachchi details daalein]. Get a quote in 24 hrs.</t>
        </is>
      </c>
      <c r="E100" s="4" t="inlineStr">
        <is>
          <t>Yoast → 'Meta description'. 140-155 characters. Primary keyword + ek offer + 'Get a quote' jaisa CTA. Apni sachchi details daalo, jhoot nahi.</t>
        </is>
      </c>
      <c r="F100" s="4" t="inlineStr">
        <is>
          <t>To do</t>
        </is>
      </c>
    </row>
    <row r="101">
      <c r="A101" s="4" t="inlineStr">
        <is>
          <t>HORECA &amp; institutions</t>
        </is>
      </c>
      <c r="B101" s="4" t="inlineStr">
        <is>
          <t>4. H1 (page ka mukhya heading)</t>
        </is>
      </c>
      <c r="C101" s="4" t="inlineStr">
        <is>
          <t>rice supplier for hotels dubai</t>
        </is>
      </c>
      <c r="D101" s="4" t="inlineStr">
        <is>
          <t>Rice for Hotels, Restaurants &amp; Supermarkets</t>
        </is>
      </c>
      <c r="E101" s="4" t="inlineStr">
        <is>
          <t>Page editor mein sabse upar ek hi H1 (Heading 1). Primary keyword (ya uska natural form) isme hona chahiye. Ek page = ek H1.</t>
        </is>
      </c>
      <c r="F101" s="4" t="inlineStr">
        <is>
          <t>To do</t>
        </is>
      </c>
    </row>
    <row r="102">
      <c r="A102" s="4" t="inlineStr">
        <is>
          <t>HORECA &amp; institutions</t>
        </is>
      </c>
      <c r="B102" s="4" t="inlineStr">
        <is>
          <t>5. Pehle 100 shabd (intro paragraph)</t>
        </is>
      </c>
      <c r="C102" s="4" t="inlineStr">
        <is>
          <t>rice supplier for hotels dubai + bulk rice for restaurants dubai</t>
        </is>
      </c>
      <c r="D102" s="4" t="inlineStr">
        <is>
          <t>[Pehli 1-2 line mein 'rice supplier for hotels dubai' natural tareeke se likho.] Example: Cookychoice is a Dubai-based rice supplier for importers, exporters and bulk buyers. We supply [origins/grades] in [pack sizes] on [FOB/CIF] terms - request a quote today.</t>
        </is>
      </c>
      <c r="E102" s="4" t="inlineStr">
        <is>
          <t>H1 ke turant neeche paragraph mein primary keyword pehle 1-2 line mein aaye. Padhne mein natural lage, zabardasti nahi.</t>
        </is>
      </c>
      <c r="F102" s="4" t="inlineStr">
        <is>
          <t>To do</t>
        </is>
      </c>
    </row>
    <row r="103">
      <c r="A103" s="4" t="inlineStr">
        <is>
          <t>HORECA &amp; institutions</t>
        </is>
      </c>
      <c r="B103" s="4" t="inlineStr">
        <is>
          <t>6. H2 headings (sections)</t>
        </is>
      </c>
      <c r="C103" s="4" t="inlineStr">
        <is>
          <t>rice for catering dubai | rice for restaurants uae | rice for canteens dubai | rice for supermarkets uae | horeca rice supplier dubai</t>
        </is>
      </c>
      <c r="D103" s="4" t="inlineStr">
        <is>
          <t>Rice for Catering Dubai | Rice for Restaurants Uae | Rice for Canteens Dubai | Rice for Supermarkets Uae | Horeca Rice Supplier Dubai</t>
        </is>
      </c>
      <c r="E103" s="4" t="inlineStr">
        <is>
          <t>Har secondary keyword ko ek H2 (Heading 2) bana do aur uske neeche 2-4 line likho. Volume aane ke baad Keyword Master mein Priority score ke hisaab se top 6 ko H2 banao.</t>
        </is>
      </c>
      <c r="F103" s="4" t="inlineStr">
        <is>
          <t>To do</t>
        </is>
      </c>
    </row>
    <row r="104">
      <c r="A104" s="4" t="inlineStr">
        <is>
          <t>HORECA &amp; institutions</t>
        </is>
      </c>
      <c r="B104" s="4" t="inlineStr">
        <is>
          <t>7. H3 / body paragraphs / table rows</t>
        </is>
      </c>
      <c r="C104" s="4" t="inlineStr">
        <is>
          <t>bulk rice for restaurants dubai | rice supplier for hotels uae | rice supplier for hypermarkets uae | rice supplier for catering companies dubai | rice supplier for restaurants abu dhabi | rice supplier for labour camps uae | rice supplier for government tender uae | rice for ration supply uae | bulk rice supplier for ngos</t>
        </is>
      </c>
      <c r="D104" s="4" t="inlineStr">
        <is>
          <t>Body mein naturally 1-2 baar, ya table / list ke andar</t>
        </is>
      </c>
      <c r="E104" s="4" t="inlineStr">
        <is>
          <t>Baaki keywords ko H3, bullet, table ya paragraph mein naturally daalo. Ek keyword page pe zyada se zyada 2-3 baar. Same keyword baar-baar mat dohrao (stuffing).</t>
        </is>
      </c>
      <c r="F104" s="4" t="inlineStr">
        <is>
          <t>To do</t>
        </is>
      </c>
    </row>
    <row r="105">
      <c r="A105" s="4" t="inlineStr">
        <is>
          <t>HORECA &amp; institutions</t>
        </is>
      </c>
      <c r="B105" s="4" t="inlineStr">
        <is>
          <t>8. FAQ section + FAQPage schema</t>
        </is>
      </c>
      <c r="C105" s="4" t="inlineStr">
        <is>
          <t>What is your minimum order quantity (MOQ)? | How do I get a price quote for rice supplier for hotels dubai? | Which origins, grades and pack sizes do you supply?</t>
        </is>
      </c>
      <c r="D105" s="4" t="inlineStr">
        <is>
          <t>What is your minimum order quantity (MOQ)? | How do I get a price quote for rice supplier for hotels dubai? | Which origins, grades and pack sizes do you supply? | Do you ship internationally? Which incoterms (FOB / CIF) do you offer? | Can I get a sample before placing a bulk order?</t>
        </is>
      </c>
      <c r="E105" s="4" t="inlineStr">
        <is>
          <t>Page ke neeche 5-8 FAQ. Yoast FAQ block ya RankMath FAQ block use karo - schema apne aap ban jaata hai. Jawab 40-60 shabd.</t>
        </is>
      </c>
      <c r="F105" s="4" t="inlineStr">
        <is>
          <t>To do</t>
        </is>
      </c>
    </row>
    <row r="106">
      <c r="A106" s="4" t="inlineStr">
        <is>
          <t>HORECA &amp; institutions</t>
        </is>
      </c>
      <c r="B106" s="4" t="inlineStr">
        <is>
          <t>9. Image file name + alt text</t>
        </is>
      </c>
      <c r="C106" s="4" t="inlineStr">
        <is>
          <t>rice supplier for hotels dubai</t>
        </is>
      </c>
      <c r="D106" s="4" t="inlineStr">
        <is>
          <t>File: rice-supplier-for-hotels-dubai-25kg-bag.webp | Alt: "Rice Supplier for Hotels Dubai 25kg bag packing"</t>
        </is>
      </c>
      <c r="E106" s="4" t="inlineStr">
        <is>
          <t>Media Library mein image par click → 'Alt Text' bharo. Alt mein image jo dikha rahi hai wahi likho + keyword natural (har image mein nahi, sirf 1-2 mein). File name upload se pehle badlo.</t>
        </is>
      </c>
      <c r="F106" s="4" t="inlineStr">
        <is>
          <t>To do</t>
        </is>
      </c>
    </row>
    <row r="107">
      <c r="A107" s="4" t="inlineStr">
        <is>
          <t>HORECA &amp; institutions</t>
        </is>
      </c>
      <c r="B107" s="4" t="inlineStr">
        <is>
          <t>10. Internal links - is page par aane wale links (anchor text)</t>
        </is>
      </c>
      <c r="C107" s="4" t="inlineStr">
        <is>
          <t>rice supplier for hotels dubai | bulk rice for restaurants dubai | Cookychoice | get a quote</t>
        </is>
      </c>
      <c r="D107" s="4" t="inlineStr">
        <is>
          <t>Home page aur related pages se is page par link, anchor = ye words</t>
        </is>
      </c>
      <c r="E107" s="4" t="inlineStr">
        <is>
          <t>Dusre page mein relevant sentence select karo → Link button → is page ka URL. Anchor text har baar thoda alag rakho (exact + partial). 'click here' mat likho.</t>
        </is>
      </c>
      <c r="F107" s="4" t="inlineStr">
        <is>
          <t>To do</t>
        </is>
      </c>
    </row>
    <row r="108">
      <c r="A108" s="4" t="inlineStr">
        <is>
          <t>HORECA &amp; institutions</t>
        </is>
      </c>
      <c r="B108" s="4" t="inlineStr">
        <is>
          <t>11. CTA button / Get Quote</t>
        </is>
      </c>
      <c r="C108" s="4" t="inlineStr">
        <is>
          <t>get a quote | request sample</t>
        </is>
      </c>
      <c r="D108" s="4" t="inlineStr">
        <is>
          <t>Button text: 'Get a Quote' / 'Request Price per Ton' / 'WhatsApp Us'</t>
        </is>
      </c>
      <c r="E108" s="4" t="inlineStr">
        <is>
          <t>Page ke upar (fold ke andar), beech mein aur neeche - teen jagah button. Button /get-quote/ page ya form pe jaye.</t>
        </is>
      </c>
      <c r="F108" s="4" t="inlineStr">
        <is>
          <t>To do</t>
        </is>
      </c>
    </row>
    <row r="109">
      <c r="A109" s="4" t="inlineStr">
        <is>
          <t>HORECA &amp; institutions</t>
        </is>
      </c>
      <c r="B109" s="4" t="inlineStr">
        <is>
          <t>12. Schema (structured data)</t>
        </is>
      </c>
      <c r="C109" s="4" t="inlineStr">
        <is>
          <t>-</t>
        </is>
      </c>
      <c r="D109" s="4" t="inlineStr">
        <is>
          <t>Organization + BreadcrumbList + FAQPage</t>
        </is>
      </c>
      <c r="E109" s="4" t="inlineStr">
        <is>
          <t>Yoast/RankMath → Schema tab. Publish ke baad Google Rich Results Test mein URL daalke check karo ki error nahi hai.</t>
        </is>
      </c>
      <c r="F109" s="4" t="inlineStr">
        <is>
          <t>To do</t>
        </is>
      </c>
    </row>
    <row r="110">
      <c r="A110" s="4" t="inlineStr">
        <is>
          <t>Basmati Rice (category)</t>
        </is>
      </c>
      <c r="B110" s="4" t="inlineStr">
        <is>
          <t>1. URL slug</t>
        </is>
      </c>
      <c r="C110" s="4" t="inlineStr">
        <is>
          <t>basmati rice supplier uae</t>
        </is>
      </c>
      <c r="D110" s="4" t="inlineStr">
        <is>
          <t>cookychoice.com/basmati-rice/</t>
        </is>
      </c>
      <c r="E110" s="4" t="inlineStr">
        <is>
          <t>Page edit karo → Yoast SEO / RankMath box → 'Slug' ya Permalink field mein sirf primary keyword (hyphen ke saath) likho. Chhota rakho, year ya number mat daalo. Slug badalne ke baad purana URL ho to 301 redirect lagao.</t>
        </is>
      </c>
      <c r="F110" s="4" t="inlineStr">
        <is>
          <t>To do</t>
        </is>
      </c>
    </row>
    <row r="111">
      <c r="A111" s="4" t="inlineStr">
        <is>
          <t>Basmati Rice (category)</t>
        </is>
      </c>
      <c r="B111" s="4" t="inlineStr">
        <is>
          <t>2. SEO title (Google mein neela link)</t>
        </is>
      </c>
      <c r="C111" s="4" t="inlineStr">
        <is>
          <t>basmati rice supplier uae</t>
        </is>
      </c>
      <c r="D111" s="4" t="inlineStr">
        <is>
          <t>Basmati Rice Supplier UAE | Bulk 1121, Sella, Steam</t>
        </is>
      </c>
      <c r="E111" s="4" t="inlineStr">
        <is>
          <t>Yoast SEO → 'SEO title' mein ye likho. Primary keyword sabse pehle, brand (Cookychoice) last. 60 characters se chhota (51 chars hai).</t>
        </is>
      </c>
      <c r="F111" s="4" t="inlineStr">
        <is>
          <t>To do</t>
        </is>
      </c>
    </row>
    <row r="112">
      <c r="A112" s="4" t="inlineStr">
        <is>
          <t>Basmati Rice (category)</t>
        </is>
      </c>
      <c r="B112" s="4" t="inlineStr">
        <is>
          <t>3. Meta description</t>
        </is>
      </c>
      <c r="C112" s="4" t="inlineStr">
        <is>
          <t>basmati rice supplier uae + basmati rice</t>
        </is>
      </c>
      <c r="D112" s="4" t="inlineStr">
        <is>
          <t>Basmati Rice Supplier Uae - Dubai-based bulk supplier. [Pack sizes / origins / MOQ yahan apni sachchi details daalein]. Get a quote in 24 hrs.</t>
        </is>
      </c>
      <c r="E112" s="4" t="inlineStr">
        <is>
          <t>Yoast → 'Meta description'. 140-155 characters. Primary keyword + ek offer + 'Get a quote' jaisa CTA. Apni sachchi details daalo, jhoot nahi.</t>
        </is>
      </c>
      <c r="F112" s="4" t="inlineStr">
        <is>
          <t>To do</t>
        </is>
      </c>
    </row>
    <row r="113">
      <c r="A113" s="4" t="inlineStr">
        <is>
          <t>Basmati Rice (category)</t>
        </is>
      </c>
      <c r="B113" s="4" t="inlineStr">
        <is>
          <t>4. H1 (page ka mukhya heading)</t>
        </is>
      </c>
      <c r="C113" s="4" t="inlineStr">
        <is>
          <t>basmati rice supplier uae</t>
        </is>
      </c>
      <c r="D113" s="4" t="inlineStr">
        <is>
          <t>Basmati Rice - Bulk Supply from Dubai</t>
        </is>
      </c>
      <c r="E113" s="4" t="inlineStr">
        <is>
          <t>Page editor mein sabse upar ek hi H1 (Heading 1). Primary keyword (ya uska natural form) isme hona chahiye. Ek page = ek H1.</t>
        </is>
      </c>
      <c r="F113" s="4" t="inlineStr">
        <is>
          <t>To do</t>
        </is>
      </c>
    </row>
    <row r="114">
      <c r="A114" s="4" t="inlineStr">
        <is>
          <t>Basmati Rice (category)</t>
        </is>
      </c>
      <c r="B114" s="4" t="inlineStr">
        <is>
          <t>5. Pehle 100 shabd (intro paragraph)</t>
        </is>
      </c>
      <c r="C114" s="4" t="inlineStr">
        <is>
          <t>basmati rice supplier uae + basmati rice</t>
        </is>
      </c>
      <c r="D114" s="4" t="inlineStr">
        <is>
          <t>[Pehli 1-2 line mein 'basmati rice supplier uae' natural tareeke se likho.] Example: Cookychoice is a Dubai-based rice supplier for importers, exporters and bulk buyers. We supply [origins/grades] in [pack sizes] on [FOB/CIF] terms - request a quote today.</t>
        </is>
      </c>
      <c r="E114" s="4" t="inlineStr">
        <is>
          <t>H1 ke turant neeche paragraph mein primary keyword pehle 1-2 line mein aaye. Padhne mein natural lage, zabardasti nahi.</t>
        </is>
      </c>
      <c r="F114" s="4" t="inlineStr">
        <is>
          <t>To do</t>
        </is>
      </c>
    </row>
    <row r="115">
      <c r="A115" s="4" t="inlineStr">
        <is>
          <t>Basmati Rice (category)</t>
        </is>
      </c>
      <c r="B115" s="4" t="inlineStr">
        <is>
          <t>6. H2 headings (sections)</t>
        </is>
      </c>
      <c r="C115" s="4" t="inlineStr">
        <is>
          <t>basmati rice | basmati rice wholesale dubai | indian basmati rice | pakistani basmati rice | aged basmati rice | basmati rice 20kg</t>
        </is>
      </c>
      <c r="D115" s="4" t="inlineStr">
        <is>
          <t>Basmati Rice | Basmati Rice Wholesale Dubai | Indian Basmati Rice | Pakistani Basmati Rice | Aged Basmati Rice | Basmati Rice 20kg</t>
        </is>
      </c>
      <c r="E115" s="4" t="inlineStr">
        <is>
          <t>Har secondary keyword ko ek H2 (Heading 2) bana do aur uske neeche 2-4 line likho. Volume aane ke baad Keyword Master mein Priority score ke hisaab se top 6 ko H2 banao.</t>
        </is>
      </c>
      <c r="F115" s="4" t="inlineStr">
        <is>
          <t>To do</t>
        </is>
      </c>
    </row>
    <row r="116">
      <c r="A116" s="4" t="inlineStr">
        <is>
          <t>Basmati Rice (category)</t>
        </is>
      </c>
      <c r="B116" s="4" t="inlineStr">
        <is>
          <t>7. H3 / body paragraphs / table rows</t>
        </is>
      </c>
      <c r="C116" s="4" t="inlineStr">
        <is>
          <t>basmati rice price in uae | basmati rice price in dubai | indian basmati rice price in uae | indian basmati rice price in dubai | indian basmati rice wholesale dubai | indian basmati rice supplier uae | pakistani basmati rice price in uae | pakistani basmati rice price in dubai | pakistani basmati rice wholesale dubai | pakistani basmati rice supplier uae | aged basmati rice price in uae | aged basmati rice price in dubai</t>
        </is>
      </c>
      <c r="D116" s="4" t="inlineStr">
        <is>
          <t>Body mein naturally 1-2 baar, ya table / list ke andar</t>
        </is>
      </c>
      <c r="E116" s="4" t="inlineStr">
        <is>
          <t>Baaki keywords ko H3, bullet, table ya paragraph mein naturally daalo. Ek keyword page pe zyada se zyada 2-3 baar. Same keyword baar-baar mat dohrao (stuffing).</t>
        </is>
      </c>
      <c r="F116" s="4" t="inlineStr">
        <is>
          <t>To do</t>
        </is>
      </c>
    </row>
    <row r="117">
      <c r="A117" s="4" t="inlineStr">
        <is>
          <t>Basmati Rice (category)</t>
        </is>
      </c>
      <c r="B117" s="4" t="inlineStr">
        <is>
          <t>8. FAQ section + FAQPage schema</t>
        </is>
      </c>
      <c r="C117" s="4" t="inlineStr">
        <is>
          <t>What is your minimum order quantity (MOQ)? | How do I get a price quote for basmati rice supplier uae? | Which origins, grades and pack sizes do you supply?</t>
        </is>
      </c>
      <c r="D117" s="4" t="inlineStr">
        <is>
          <t>What is your minimum order quantity (MOQ)? | How do I get a price quote for basmati rice supplier uae? | Which origins, grades and pack sizes do you supply? | Do you ship internationally? Which incoterms (FOB / CIF) do you offer? | Can I get a sample before placing a bulk order?</t>
        </is>
      </c>
      <c r="E117" s="4" t="inlineStr">
        <is>
          <t>Page ke neeche 5-8 FAQ. Yoast FAQ block ya RankMath FAQ block use karo - schema apne aap ban jaata hai. Jawab 40-60 shabd.</t>
        </is>
      </c>
      <c r="F117" s="4" t="inlineStr">
        <is>
          <t>To do</t>
        </is>
      </c>
    </row>
    <row r="118">
      <c r="A118" s="4" t="inlineStr">
        <is>
          <t>Basmati Rice (category)</t>
        </is>
      </c>
      <c r="B118" s="4" t="inlineStr">
        <is>
          <t>9. Image file name + alt text</t>
        </is>
      </c>
      <c r="C118" s="4" t="inlineStr">
        <is>
          <t>basmati rice supplier uae</t>
        </is>
      </c>
      <c r="D118" s="4" t="inlineStr">
        <is>
          <t>File: basmati-rice-supplier-uae-25kg-bag.webp | Alt: "Basmati Rice Supplier Uae 25kg bag packing"</t>
        </is>
      </c>
      <c r="E118" s="4" t="inlineStr">
        <is>
          <t>Media Library mein image par click → 'Alt Text' bharo. Alt mein image jo dikha rahi hai wahi likho + keyword natural (har image mein nahi, sirf 1-2 mein). File name upload se pehle badlo.</t>
        </is>
      </c>
      <c r="F118" s="4" t="inlineStr">
        <is>
          <t>To do</t>
        </is>
      </c>
    </row>
    <row r="119">
      <c r="A119" s="4" t="inlineStr">
        <is>
          <t>Basmati Rice (category)</t>
        </is>
      </c>
      <c r="B119" s="4" t="inlineStr">
        <is>
          <t>10. Internal links - is page par aane wale links (anchor text)</t>
        </is>
      </c>
      <c r="C119" s="4" t="inlineStr">
        <is>
          <t>basmati rice supplier uae | basmati rice | Cookychoice | get a quote</t>
        </is>
      </c>
      <c r="D119" s="4" t="inlineStr">
        <is>
          <t>Home page aur related pages se is page par link, anchor = ye words</t>
        </is>
      </c>
      <c r="E119" s="4" t="inlineStr">
        <is>
          <t>Dusre page mein relevant sentence select karo → Link button → is page ka URL. Anchor text har baar thoda alag rakho (exact + partial). 'click here' mat likho.</t>
        </is>
      </c>
      <c r="F119" s="4" t="inlineStr">
        <is>
          <t>To do</t>
        </is>
      </c>
    </row>
    <row r="120">
      <c r="A120" s="4" t="inlineStr">
        <is>
          <t>Basmati Rice (category)</t>
        </is>
      </c>
      <c r="B120" s="4" t="inlineStr">
        <is>
          <t>11. CTA button / Get Quote</t>
        </is>
      </c>
      <c r="C120" s="4" t="inlineStr">
        <is>
          <t>get a quote | request sample</t>
        </is>
      </c>
      <c r="D120" s="4" t="inlineStr">
        <is>
          <t>Button text: 'Get a Quote' / 'Request Price per Ton' / 'WhatsApp Us'</t>
        </is>
      </c>
      <c r="E120" s="4" t="inlineStr">
        <is>
          <t>Page ke upar (fold ke andar), beech mein aur neeche - teen jagah button. Button /get-quote/ page ya form pe jaye.</t>
        </is>
      </c>
      <c r="F120" s="4" t="inlineStr">
        <is>
          <t>To do</t>
        </is>
      </c>
    </row>
    <row r="121">
      <c r="A121" s="4" t="inlineStr">
        <is>
          <t>Basmati Rice (category)</t>
        </is>
      </c>
      <c r="B121" s="4" t="inlineStr">
        <is>
          <t>12. Schema (structured data)</t>
        </is>
      </c>
      <c r="C121" s="4" t="inlineStr">
        <is>
          <t>-</t>
        </is>
      </c>
      <c r="D121" s="4" t="inlineStr">
        <is>
          <t>Organization + BreadcrumbList + FAQPage + Product/Offer</t>
        </is>
      </c>
      <c r="E121" s="4" t="inlineStr">
        <is>
          <t>Yoast/RankMath → Schema tab. Publish ke baad Google Rich Results Test mein URL daalke check karo ki error nahi hai.</t>
        </is>
      </c>
      <c r="F121" s="4" t="inlineStr">
        <is>
          <t>To do</t>
        </is>
      </c>
    </row>
    <row r="122">
      <c r="A122" s="4" t="inlineStr">
        <is>
          <t>1121 Basmati</t>
        </is>
      </c>
      <c r="B122" s="4" t="inlineStr">
        <is>
          <t>1. URL slug</t>
        </is>
      </c>
      <c r="C122" s="4" t="inlineStr">
        <is>
          <t>1121 basmati rice price per ton</t>
        </is>
      </c>
      <c r="D122" s="4" t="inlineStr">
        <is>
          <t>cookychoice.com/basmati-rice/1121/</t>
        </is>
      </c>
      <c r="E122" s="4" t="inlineStr">
        <is>
          <t>Page edit karo → Yoast SEO / RankMath box → 'Slug' ya Permalink field mein sirf primary keyword (hyphen ke saath) likho. Chhota rakho, year ya number mat daalo. Slug badalne ke baad purana URL ho to 301 redirect lagao.</t>
        </is>
      </c>
      <c r="F122" s="4" t="inlineStr">
        <is>
          <t>To do</t>
        </is>
      </c>
    </row>
    <row r="123">
      <c r="A123" s="4" t="inlineStr">
        <is>
          <t>1121 Basmati</t>
        </is>
      </c>
      <c r="B123" s="4" t="inlineStr">
        <is>
          <t>2. SEO title (Google mein neela link)</t>
        </is>
      </c>
      <c r="C123" s="4" t="inlineStr">
        <is>
          <t>1121 basmati rice price per ton</t>
        </is>
      </c>
      <c r="D123" s="4" t="inlineStr">
        <is>
          <t>1121 Basmati Rice Price per Ton | UAE Supplier</t>
        </is>
      </c>
      <c r="E123" s="4" t="inlineStr">
        <is>
          <t>Yoast SEO → 'SEO title' mein ye likho. Primary keyword sabse pehle, brand (Cookychoice) last. 60 characters se chhota (46 chars hai).</t>
        </is>
      </c>
      <c r="F123" s="4" t="inlineStr">
        <is>
          <t>To do</t>
        </is>
      </c>
    </row>
    <row r="124">
      <c r="A124" s="4" t="inlineStr">
        <is>
          <t>1121 Basmati</t>
        </is>
      </c>
      <c r="B124" s="4" t="inlineStr">
        <is>
          <t>3. Meta description</t>
        </is>
      </c>
      <c r="C124" s="4" t="inlineStr">
        <is>
          <t>1121 basmati rice price per ton + 1121 basmati rice</t>
        </is>
      </c>
      <c r="D124" s="4" t="inlineStr">
        <is>
          <t>1121 Basmati Rice Price Per Ton - Dubai-based bulk supplier. [Pack sizes / origins / MOQ yahan apni sachchi details daalein]. Get a quote in 24 hrs.</t>
        </is>
      </c>
      <c r="E124" s="4" t="inlineStr">
        <is>
          <t>Yoast → 'Meta description'. 140-155 characters. Primary keyword + ek offer + 'Get a quote' jaisa CTA. Apni sachchi details daalo, jhoot nahi.</t>
        </is>
      </c>
      <c r="F124" s="4" t="inlineStr">
        <is>
          <t>To do</t>
        </is>
      </c>
    </row>
    <row r="125">
      <c r="A125" s="4" t="inlineStr">
        <is>
          <t>1121 Basmati</t>
        </is>
      </c>
      <c r="B125" s="4" t="inlineStr">
        <is>
          <t>4. H1 (page ka mukhya heading)</t>
        </is>
      </c>
      <c r="C125" s="4" t="inlineStr">
        <is>
          <t>1121 basmati rice price per ton</t>
        </is>
      </c>
      <c r="D125" s="4" t="inlineStr">
        <is>
          <t>1121 Basmati Rice - Bulk Supply</t>
        </is>
      </c>
      <c r="E125" s="4" t="inlineStr">
        <is>
          <t>Page editor mein sabse upar ek hi H1 (Heading 1). Primary keyword (ya uska natural form) isme hona chahiye. Ek page = ek H1.</t>
        </is>
      </c>
      <c r="F125" s="4" t="inlineStr">
        <is>
          <t>To do</t>
        </is>
      </c>
    </row>
    <row r="126">
      <c r="A126" s="4" t="inlineStr">
        <is>
          <t>1121 Basmati</t>
        </is>
      </c>
      <c r="B126" s="4" t="inlineStr">
        <is>
          <t>5. Pehle 100 shabd (intro paragraph)</t>
        </is>
      </c>
      <c r="C126" s="4" t="inlineStr">
        <is>
          <t>1121 basmati rice price per ton + 1121 basmati rice</t>
        </is>
      </c>
      <c r="D126" s="4" t="inlineStr">
        <is>
          <t>[Pehli 1-2 line mein '1121 basmati rice price per ton' natural tareeke se likho.] Example: Cookychoice is a Dubai-based rice supplier for importers, exporters and bulk buyers. We supply [origins/grades] in [pack sizes] on [FOB/CIF] terms - request a quote today.</t>
        </is>
      </c>
      <c r="E126" s="4" t="inlineStr">
        <is>
          <t>H1 ke turant neeche paragraph mein primary keyword pehle 1-2 line mein aaye. Padhne mein natural lage, zabardasti nahi.</t>
        </is>
      </c>
      <c r="F126" s="4" t="inlineStr">
        <is>
          <t>To do</t>
        </is>
      </c>
    </row>
    <row r="127">
      <c r="A127" s="4" t="inlineStr">
        <is>
          <t>1121 Basmati</t>
        </is>
      </c>
      <c r="B127" s="4" t="inlineStr">
        <is>
          <t>6. H2 headings (sections)</t>
        </is>
      </c>
      <c r="C127" s="4" t="inlineStr">
        <is>
          <t>1121 basmati rice</t>
        </is>
      </c>
      <c r="D127" s="4" t="inlineStr">
        <is>
          <t>1121 Basmati Rice</t>
        </is>
      </c>
      <c r="E127" s="4" t="inlineStr">
        <is>
          <t>Har secondary keyword ko ek H2 (Heading 2) bana do aur uske neeche 2-4 line likho. Volume aane ke baad Keyword Master mein Priority score ke hisaab se top 6 ko H2 banao.</t>
        </is>
      </c>
      <c r="F127" s="4" t="inlineStr">
        <is>
          <t>To do</t>
        </is>
      </c>
    </row>
    <row r="128">
      <c r="A128" s="4" t="inlineStr">
        <is>
          <t>1121 Basmati</t>
        </is>
      </c>
      <c r="B128" s="4" t="inlineStr">
        <is>
          <t>7. H3 / body paragraphs / table rows</t>
        </is>
      </c>
      <c r="C128" s="4" t="inlineStr">
        <is>
          <t>1121 basmati rice price in uae | 1121 basmati rice price in dubai | 1121 basmati rice wholesale dubai | 1121 basmati rice supplier uae</t>
        </is>
      </c>
      <c r="D128" s="4" t="inlineStr">
        <is>
          <t>Body mein naturally 1-2 baar, ya table / list ke andar</t>
        </is>
      </c>
      <c r="E128" s="4" t="inlineStr">
        <is>
          <t>Baaki keywords ko H3, bullet, table ya paragraph mein naturally daalo. Ek keyword page pe zyada se zyada 2-3 baar. Same keyword baar-baar mat dohrao (stuffing).</t>
        </is>
      </c>
      <c r="F128" s="4" t="inlineStr">
        <is>
          <t>To do</t>
        </is>
      </c>
    </row>
    <row r="129">
      <c r="A129" s="4" t="inlineStr">
        <is>
          <t>1121 Basmati</t>
        </is>
      </c>
      <c r="B129" s="4" t="inlineStr">
        <is>
          <t>8. FAQ section + FAQPage schema</t>
        </is>
      </c>
      <c r="C129" s="4" t="inlineStr">
        <is>
          <t>What is your minimum order quantity (MOQ)? | How do I get a price quote for 1121 basmati rice price per ton? | Which origins, grades and pack sizes do you supply?</t>
        </is>
      </c>
      <c r="D129" s="4" t="inlineStr">
        <is>
          <t>What is your minimum order quantity (MOQ)? | How do I get a price quote for 1121 basmati rice price per ton? | Which origins, grades and pack sizes do you supply? | Do you ship internationally? Which incoterms (FOB / CIF) do you offer? | Can I get a sample before placing a bulk order?</t>
        </is>
      </c>
      <c r="E129" s="4" t="inlineStr">
        <is>
          <t>Page ke neeche 5-8 FAQ. Yoast FAQ block ya RankMath FAQ block use karo - schema apne aap ban jaata hai. Jawab 40-60 shabd.</t>
        </is>
      </c>
      <c r="F129" s="4" t="inlineStr">
        <is>
          <t>To do</t>
        </is>
      </c>
    </row>
    <row r="130">
      <c r="A130" s="4" t="inlineStr">
        <is>
          <t>1121 Basmati</t>
        </is>
      </c>
      <c r="B130" s="4" t="inlineStr">
        <is>
          <t>9. Image file name + alt text</t>
        </is>
      </c>
      <c r="C130" s="4" t="inlineStr">
        <is>
          <t>1121 basmati rice price per ton</t>
        </is>
      </c>
      <c r="D130" s="4" t="inlineStr">
        <is>
          <t>File: 1121-basmati-rice-price-per-ton-25kg-bag.webp | Alt: "1121 Basmati Rice Price Per Ton 25kg bag packing"</t>
        </is>
      </c>
      <c r="E130" s="4" t="inlineStr">
        <is>
          <t>Media Library mein image par click → 'Alt Text' bharo. Alt mein image jo dikha rahi hai wahi likho + keyword natural (har image mein nahi, sirf 1-2 mein). File name upload se pehle badlo.</t>
        </is>
      </c>
      <c r="F130" s="4" t="inlineStr">
        <is>
          <t>To do</t>
        </is>
      </c>
    </row>
    <row r="131">
      <c r="A131" s="4" t="inlineStr">
        <is>
          <t>1121 Basmati</t>
        </is>
      </c>
      <c r="B131" s="4" t="inlineStr">
        <is>
          <t>10. Internal links - is page par aane wale links (anchor text)</t>
        </is>
      </c>
      <c r="C131" s="4" t="inlineStr">
        <is>
          <t>1121 basmati rice price per ton | 1121 basmati rice | Cookychoice | get a quote</t>
        </is>
      </c>
      <c r="D131" s="4" t="inlineStr">
        <is>
          <t>Home page aur related pages se is page par link, anchor = ye words</t>
        </is>
      </c>
      <c r="E131" s="4" t="inlineStr">
        <is>
          <t>Dusre page mein relevant sentence select karo → Link button → is page ka URL. Anchor text har baar thoda alag rakho (exact + partial). 'click here' mat likho.</t>
        </is>
      </c>
      <c r="F131" s="4" t="inlineStr">
        <is>
          <t>To do</t>
        </is>
      </c>
    </row>
    <row r="132">
      <c r="A132" s="4" t="inlineStr">
        <is>
          <t>1121 Basmati</t>
        </is>
      </c>
      <c r="B132" s="4" t="inlineStr">
        <is>
          <t>11. CTA button / Get Quote</t>
        </is>
      </c>
      <c r="C132" s="4" t="inlineStr">
        <is>
          <t>get a quote | request sample</t>
        </is>
      </c>
      <c r="D132" s="4" t="inlineStr">
        <is>
          <t>Button text: 'Get a Quote' / 'Request Price per Ton' / 'WhatsApp Us'</t>
        </is>
      </c>
      <c r="E132" s="4" t="inlineStr">
        <is>
          <t>Page ke upar (fold ke andar), beech mein aur neeche - teen jagah button. Button /get-quote/ page ya form pe jaye.</t>
        </is>
      </c>
      <c r="F132" s="4" t="inlineStr">
        <is>
          <t>To do</t>
        </is>
      </c>
    </row>
    <row r="133">
      <c r="A133" s="4" t="inlineStr">
        <is>
          <t>1121 Basmati</t>
        </is>
      </c>
      <c r="B133" s="4" t="inlineStr">
        <is>
          <t>12. Schema (structured data)</t>
        </is>
      </c>
      <c r="C133" s="4" t="inlineStr">
        <is>
          <t>-</t>
        </is>
      </c>
      <c r="D133" s="4" t="inlineStr">
        <is>
          <t>Organization + BreadcrumbList + FAQPage + Product/Offer</t>
        </is>
      </c>
      <c r="E133" s="4" t="inlineStr">
        <is>
          <t>Yoast/RankMath → Schema tab. Publish ke baad Google Rich Results Test mein URL daalke check karo ki error nahi hai.</t>
        </is>
      </c>
      <c r="F133" s="4" t="inlineStr">
        <is>
          <t>To do</t>
        </is>
      </c>
    </row>
    <row r="134">
      <c r="A134" s="4" t="inlineStr">
        <is>
          <t>Sella Basmati</t>
        </is>
      </c>
      <c r="B134" s="4" t="inlineStr">
        <is>
          <t>1. URL slug</t>
        </is>
      </c>
      <c r="C134" s="4" t="inlineStr">
        <is>
          <t>sella basmati rice wholesale dubai</t>
        </is>
      </c>
      <c r="D134" s="4" t="inlineStr">
        <is>
          <t>cookychoice.com/basmati-rice/sella/</t>
        </is>
      </c>
      <c r="E134" s="4" t="inlineStr">
        <is>
          <t>Page edit karo → Yoast SEO / RankMath box → 'Slug' ya Permalink field mein sirf primary keyword (hyphen ke saath) likho. Chhota rakho, year ya number mat daalo. Slug badalne ke baad purana URL ho to 301 redirect lagao.</t>
        </is>
      </c>
      <c r="F134" s="4" t="inlineStr">
        <is>
          <t>To do</t>
        </is>
      </c>
    </row>
    <row r="135">
      <c r="A135" s="4" t="inlineStr">
        <is>
          <t>Sella Basmati</t>
        </is>
      </c>
      <c r="B135" s="4" t="inlineStr">
        <is>
          <t>2. SEO title (Google mein neela link)</t>
        </is>
      </c>
      <c r="C135" s="4" t="inlineStr">
        <is>
          <t>sella basmati rice wholesale dubai</t>
        </is>
      </c>
      <c r="D135" s="4" t="inlineStr">
        <is>
          <t>Sella Basmati Rice Wholesale Dubai | Golden Sella</t>
        </is>
      </c>
      <c r="E135" s="4" t="inlineStr">
        <is>
          <t>Yoast SEO → 'SEO title' mein ye likho. Primary keyword sabse pehle, brand (Cookychoice) last. 60 characters se chhota (49 chars hai).</t>
        </is>
      </c>
      <c r="F135" s="4" t="inlineStr">
        <is>
          <t>To do</t>
        </is>
      </c>
    </row>
    <row r="136">
      <c r="A136" s="4" t="inlineStr">
        <is>
          <t>Sella Basmati</t>
        </is>
      </c>
      <c r="B136" s="4" t="inlineStr">
        <is>
          <t>3. Meta description</t>
        </is>
      </c>
      <c r="C136" s="4" t="inlineStr">
        <is>
          <t>sella basmati rice wholesale dubai + sella basmati rice</t>
        </is>
      </c>
      <c r="D136" s="4" t="inlineStr">
        <is>
          <t>Sella Basmati Rice Wholesale Dubai - Dubai-based bulk supplier. [Pack sizes / origins / MOQ yahan apni sachchi details daalein]. Get a quote in 24 hrs.</t>
        </is>
      </c>
      <c r="E136" s="4" t="inlineStr">
        <is>
          <t>Yoast → 'Meta description'. 140-155 characters. Primary keyword + ek offer + 'Get a quote' jaisa CTA. Apni sachchi details daalo, jhoot nahi.</t>
        </is>
      </c>
      <c r="F136" s="4" t="inlineStr">
        <is>
          <t>To do</t>
        </is>
      </c>
    </row>
    <row r="137">
      <c r="A137" s="4" t="inlineStr">
        <is>
          <t>Sella Basmati</t>
        </is>
      </c>
      <c r="B137" s="4" t="inlineStr">
        <is>
          <t>4. H1 (page ka mukhya heading)</t>
        </is>
      </c>
      <c r="C137" s="4" t="inlineStr">
        <is>
          <t>sella basmati rice wholesale dubai</t>
        </is>
      </c>
      <c r="D137" s="4" t="inlineStr">
        <is>
          <t>Sella Basmati Rice - Wholesale</t>
        </is>
      </c>
      <c r="E137" s="4" t="inlineStr">
        <is>
          <t>Page editor mein sabse upar ek hi H1 (Heading 1). Primary keyword (ya uska natural form) isme hona chahiye. Ek page = ek H1.</t>
        </is>
      </c>
      <c r="F137" s="4" t="inlineStr">
        <is>
          <t>To do</t>
        </is>
      </c>
    </row>
    <row r="138">
      <c r="A138" s="4" t="inlineStr">
        <is>
          <t>Sella Basmati</t>
        </is>
      </c>
      <c r="B138" s="4" t="inlineStr">
        <is>
          <t>5. Pehle 100 shabd (intro paragraph)</t>
        </is>
      </c>
      <c r="C138" s="4" t="inlineStr">
        <is>
          <t>sella basmati rice wholesale dubai + sella basmati rice</t>
        </is>
      </c>
      <c r="D138" s="4" t="inlineStr">
        <is>
          <t>[Pehli 1-2 line mein 'sella basmati rice wholesale dubai' natural tareeke se likho.] Example: Cookychoice is a Dubai-based rice supplier for importers, exporters and bulk buyers. We supply [origins/grades] in [pack sizes] on [FOB/CIF] terms - request a quote today.</t>
        </is>
      </c>
      <c r="E138" s="4" t="inlineStr">
        <is>
          <t>H1 ke turant neeche paragraph mein primary keyword pehle 1-2 line mein aaye. Padhne mein natural lage, zabardasti nahi.</t>
        </is>
      </c>
      <c r="F138" s="4" t="inlineStr">
        <is>
          <t>To do</t>
        </is>
      </c>
    </row>
    <row r="139">
      <c r="A139" s="4" t="inlineStr">
        <is>
          <t>Sella Basmati</t>
        </is>
      </c>
      <c r="B139" s="4" t="inlineStr">
        <is>
          <t>6. H2 headings (sections)</t>
        </is>
      </c>
      <c r="C139" s="4" t="inlineStr">
        <is>
          <t>sella basmati rice | golden sella basmati rice | white sella basmati rice | sella basmati rice dubai</t>
        </is>
      </c>
      <c r="D139" s="4" t="inlineStr">
        <is>
          <t>Sella Basmati Rice | Golden Sella Basmati Rice | White Sella Basmati Rice | Sella Basmati Rice Dubai</t>
        </is>
      </c>
      <c r="E139" s="4" t="inlineStr">
        <is>
          <t>Har secondary keyword ko ek H2 (Heading 2) bana do aur uske neeche 2-4 line likho. Volume aane ke baad Keyword Master mein Priority score ke hisaab se top 6 ko H2 banao.</t>
        </is>
      </c>
      <c r="F139" s="4" t="inlineStr">
        <is>
          <t>To do</t>
        </is>
      </c>
    </row>
    <row r="140">
      <c r="A140" s="4" t="inlineStr">
        <is>
          <t>Sella Basmati</t>
        </is>
      </c>
      <c r="B140" s="4" t="inlineStr">
        <is>
          <t>7. H3 / body paragraphs / table rows</t>
        </is>
      </c>
      <c r="C140" s="4" t="inlineStr">
        <is>
          <t>sella basmati rice price in uae | sella basmati rice price in dubai | sella basmati rice supplier uae | golden sella basmati rice price in uae | golden sella basmati rice price in dubai | golden sella basmati rice wholesale dubai | golden sella basmati rice supplier uae | white sella basmati rice price in uae | white sella basmati rice price in dubai | white sella basmati rice wholesale dubai | white sella basmati rice supplier uae</t>
        </is>
      </c>
      <c r="D140" s="4" t="inlineStr">
        <is>
          <t>Body mein naturally 1-2 baar, ya table / list ke andar</t>
        </is>
      </c>
      <c r="E140" s="4" t="inlineStr">
        <is>
          <t>Baaki keywords ko H3, bullet, table ya paragraph mein naturally daalo. Ek keyword page pe zyada se zyada 2-3 baar. Same keyword baar-baar mat dohrao (stuffing).</t>
        </is>
      </c>
      <c r="F140" s="4" t="inlineStr">
        <is>
          <t>To do</t>
        </is>
      </c>
    </row>
    <row r="141">
      <c r="A141" s="4" t="inlineStr">
        <is>
          <t>Sella Basmati</t>
        </is>
      </c>
      <c r="B141" s="4" t="inlineStr">
        <is>
          <t>8. FAQ section + FAQPage schema</t>
        </is>
      </c>
      <c r="C141" s="4" t="inlineStr">
        <is>
          <t>What is your minimum order quantity (MOQ)? | How do I get a price quote for sella basmati rice wholesale dubai? | Which origins, grades and pack sizes do you supply?</t>
        </is>
      </c>
      <c r="D141" s="4" t="inlineStr">
        <is>
          <t>What is your minimum order quantity (MOQ)? | How do I get a price quote for sella basmati rice wholesale dubai? | Which origins, grades and pack sizes do you supply? | Do you ship internationally? Which incoterms (FOB / CIF) do you offer? | Can I get a sample before placing a bulk order?</t>
        </is>
      </c>
      <c r="E141" s="4" t="inlineStr">
        <is>
          <t>Page ke neeche 5-8 FAQ. Yoast FAQ block ya RankMath FAQ block use karo - schema apne aap ban jaata hai. Jawab 40-60 shabd.</t>
        </is>
      </c>
      <c r="F141" s="4" t="inlineStr">
        <is>
          <t>To do</t>
        </is>
      </c>
    </row>
    <row r="142">
      <c r="A142" s="4" t="inlineStr">
        <is>
          <t>Sella Basmati</t>
        </is>
      </c>
      <c r="B142" s="4" t="inlineStr">
        <is>
          <t>9. Image file name + alt text</t>
        </is>
      </c>
      <c r="C142" s="4" t="inlineStr">
        <is>
          <t>sella basmati rice wholesale dubai</t>
        </is>
      </c>
      <c r="D142" s="4" t="inlineStr">
        <is>
          <t>File: sella-basmati-rice-wholesale-dubai-25kg-bag.webp | Alt: "Sella Basmati Rice Wholesale Dubai 25kg bag packing"</t>
        </is>
      </c>
      <c r="E142" s="4" t="inlineStr">
        <is>
          <t>Media Library mein image par click → 'Alt Text' bharo. Alt mein image jo dikha rahi hai wahi likho + keyword natural (har image mein nahi, sirf 1-2 mein). File name upload se pehle badlo.</t>
        </is>
      </c>
      <c r="F142" s="4" t="inlineStr">
        <is>
          <t>To do</t>
        </is>
      </c>
    </row>
    <row r="143">
      <c r="A143" s="4" t="inlineStr">
        <is>
          <t>Sella Basmati</t>
        </is>
      </c>
      <c r="B143" s="4" t="inlineStr">
        <is>
          <t>10. Internal links - is page par aane wale links (anchor text)</t>
        </is>
      </c>
      <c r="C143" s="4" t="inlineStr">
        <is>
          <t>sella basmati rice wholesale dubai | sella basmati rice | Cookychoice | get a quote</t>
        </is>
      </c>
      <c r="D143" s="4" t="inlineStr">
        <is>
          <t>Home page aur related pages se is page par link, anchor = ye words</t>
        </is>
      </c>
      <c r="E143" s="4" t="inlineStr">
        <is>
          <t>Dusre page mein relevant sentence select karo → Link button → is page ka URL. Anchor text har baar thoda alag rakho (exact + partial). 'click here' mat likho.</t>
        </is>
      </c>
      <c r="F143" s="4" t="inlineStr">
        <is>
          <t>To do</t>
        </is>
      </c>
    </row>
    <row r="144">
      <c r="A144" s="4" t="inlineStr">
        <is>
          <t>Sella Basmati</t>
        </is>
      </c>
      <c r="B144" s="4" t="inlineStr">
        <is>
          <t>11. CTA button / Get Quote</t>
        </is>
      </c>
      <c r="C144" s="4" t="inlineStr">
        <is>
          <t>get a quote | request sample</t>
        </is>
      </c>
      <c r="D144" s="4" t="inlineStr">
        <is>
          <t>Button text: 'Get a Quote' / 'Request Price per Ton' / 'WhatsApp Us'</t>
        </is>
      </c>
      <c r="E144" s="4" t="inlineStr">
        <is>
          <t>Page ke upar (fold ke andar), beech mein aur neeche - teen jagah button. Button /get-quote/ page ya form pe jaye.</t>
        </is>
      </c>
      <c r="F144" s="4" t="inlineStr">
        <is>
          <t>To do</t>
        </is>
      </c>
    </row>
    <row r="145">
      <c r="A145" s="4" t="inlineStr">
        <is>
          <t>Sella Basmati</t>
        </is>
      </c>
      <c r="B145" s="4" t="inlineStr">
        <is>
          <t>12. Schema (structured data)</t>
        </is>
      </c>
      <c r="C145" s="4" t="inlineStr">
        <is>
          <t>-</t>
        </is>
      </c>
      <c r="D145" s="4" t="inlineStr">
        <is>
          <t>Organization + BreadcrumbList + FAQPage + Product/Offer</t>
        </is>
      </c>
      <c r="E145" s="4" t="inlineStr">
        <is>
          <t>Yoast/RankMath → Schema tab. Publish ke baad Google Rich Results Test mein URL daalke check karo ki error nahi hai.</t>
        </is>
      </c>
      <c r="F145" s="4" t="inlineStr">
        <is>
          <t>To do</t>
        </is>
      </c>
    </row>
    <row r="146">
      <c r="A146" s="4" t="inlineStr">
        <is>
          <t>Steam Basmati</t>
        </is>
      </c>
      <c r="B146" s="4" t="inlineStr">
        <is>
          <t>1. URL slug</t>
        </is>
      </c>
      <c r="C146" s="4" t="inlineStr">
        <is>
          <t>steam basmati rice wholesale dubai</t>
        </is>
      </c>
      <c r="D146" s="4" t="inlineStr">
        <is>
          <t>cookychoice.com/basmati-rice/steam/</t>
        </is>
      </c>
      <c r="E146" s="4" t="inlineStr">
        <is>
          <t>Page edit karo → Yoast SEO / RankMath box → 'Slug' ya Permalink field mein sirf primary keyword (hyphen ke saath) likho. Chhota rakho, year ya number mat daalo. Slug badalne ke baad purana URL ho to 301 redirect lagao.</t>
        </is>
      </c>
      <c r="F146" s="4" t="inlineStr">
        <is>
          <t>To do</t>
        </is>
      </c>
    </row>
    <row r="147">
      <c r="A147" s="4" t="inlineStr">
        <is>
          <t>Steam Basmati</t>
        </is>
      </c>
      <c r="B147" s="4" t="inlineStr">
        <is>
          <t>2. SEO title (Google mein neela link)</t>
        </is>
      </c>
      <c r="C147" s="4" t="inlineStr">
        <is>
          <t>steam basmati rice wholesale dubai</t>
        </is>
      </c>
      <c r="D147" s="4" t="inlineStr">
        <is>
          <t>Steam Basmati Rice Wholesale Dubai</t>
        </is>
      </c>
      <c r="E147" s="4" t="inlineStr">
        <is>
          <t>Yoast SEO → 'SEO title' mein ye likho. Primary keyword sabse pehle, brand (Cookychoice) last. 60 characters se chhota (34 chars hai).</t>
        </is>
      </c>
      <c r="F147" s="4" t="inlineStr">
        <is>
          <t>To do</t>
        </is>
      </c>
    </row>
    <row r="148">
      <c r="A148" s="4" t="inlineStr">
        <is>
          <t>Steam Basmati</t>
        </is>
      </c>
      <c r="B148" s="4" t="inlineStr">
        <is>
          <t>3. Meta description</t>
        </is>
      </c>
      <c r="C148" s="4" t="inlineStr">
        <is>
          <t>steam basmati rice wholesale dubai + steam basmati rice</t>
        </is>
      </c>
      <c r="D148" s="4" t="inlineStr">
        <is>
          <t>Steam Basmati Rice Wholesale Dubai - Dubai-based bulk supplier. [Pack sizes / origins / MOQ yahan apni sachchi details daalein]. Get a quote in 24 hrs.</t>
        </is>
      </c>
      <c r="E148" s="4" t="inlineStr">
        <is>
          <t>Yoast → 'Meta description'. 140-155 characters. Primary keyword + ek offer + 'Get a quote' jaisa CTA. Apni sachchi details daalo, jhoot nahi.</t>
        </is>
      </c>
      <c r="F148" s="4" t="inlineStr">
        <is>
          <t>To do</t>
        </is>
      </c>
    </row>
    <row r="149">
      <c r="A149" s="4" t="inlineStr">
        <is>
          <t>Steam Basmati</t>
        </is>
      </c>
      <c r="B149" s="4" t="inlineStr">
        <is>
          <t>4. H1 (page ka mukhya heading)</t>
        </is>
      </c>
      <c r="C149" s="4" t="inlineStr">
        <is>
          <t>steam basmati rice wholesale dubai</t>
        </is>
      </c>
      <c r="D149" s="4" t="inlineStr">
        <is>
          <t>Steam Basmati Rice - Wholesale</t>
        </is>
      </c>
      <c r="E149" s="4" t="inlineStr">
        <is>
          <t>Page editor mein sabse upar ek hi H1 (Heading 1). Primary keyword (ya uska natural form) isme hona chahiye. Ek page = ek H1.</t>
        </is>
      </c>
      <c r="F149" s="4" t="inlineStr">
        <is>
          <t>To do</t>
        </is>
      </c>
    </row>
    <row r="150">
      <c r="A150" s="4" t="inlineStr">
        <is>
          <t>Steam Basmati</t>
        </is>
      </c>
      <c r="B150" s="4" t="inlineStr">
        <is>
          <t>5. Pehle 100 shabd (intro paragraph)</t>
        </is>
      </c>
      <c r="C150" s="4" t="inlineStr">
        <is>
          <t>steam basmati rice wholesale dubai + steam basmati rice</t>
        </is>
      </c>
      <c r="D150" s="4" t="inlineStr">
        <is>
          <t>[Pehli 1-2 line mein 'steam basmati rice wholesale dubai' natural tareeke se likho.] Example: Cookychoice is a Dubai-based rice supplier for importers, exporters and bulk buyers. We supply [origins/grades] in [pack sizes] on [FOB/CIF] terms - request a quote today.</t>
        </is>
      </c>
      <c r="E150" s="4" t="inlineStr">
        <is>
          <t>H1 ke turant neeche paragraph mein primary keyword pehle 1-2 line mein aaye. Padhne mein natural lage, zabardasti nahi.</t>
        </is>
      </c>
      <c r="F150" s="4" t="inlineStr">
        <is>
          <t>To do</t>
        </is>
      </c>
    </row>
    <row r="151">
      <c r="A151" s="4" t="inlineStr">
        <is>
          <t>Steam Basmati</t>
        </is>
      </c>
      <c r="B151" s="4" t="inlineStr">
        <is>
          <t>6. H2 headings (sections)</t>
        </is>
      </c>
      <c r="C151" s="4" t="inlineStr">
        <is>
          <t>steam basmati rice</t>
        </is>
      </c>
      <c r="D151" s="4" t="inlineStr">
        <is>
          <t>Steam Basmati Rice</t>
        </is>
      </c>
      <c r="E151" s="4" t="inlineStr">
        <is>
          <t>Har secondary keyword ko ek H2 (Heading 2) bana do aur uske neeche 2-4 line likho. Volume aane ke baad Keyword Master mein Priority score ke hisaab se top 6 ko H2 banao.</t>
        </is>
      </c>
      <c r="F151" s="4" t="inlineStr">
        <is>
          <t>To do</t>
        </is>
      </c>
    </row>
    <row r="152">
      <c r="A152" s="4" t="inlineStr">
        <is>
          <t>Steam Basmati</t>
        </is>
      </c>
      <c r="B152" s="4" t="inlineStr">
        <is>
          <t>7. H3 / body paragraphs / table rows</t>
        </is>
      </c>
      <c r="C152" s="4" t="inlineStr">
        <is>
          <t>steam basmati rice price in uae | steam basmati rice price in dubai | steam basmati rice supplier uae</t>
        </is>
      </c>
      <c r="D152" s="4" t="inlineStr">
        <is>
          <t>Body mein naturally 1-2 baar, ya table / list ke andar</t>
        </is>
      </c>
      <c r="E152" s="4" t="inlineStr">
        <is>
          <t>Baaki keywords ko H3, bullet, table ya paragraph mein naturally daalo. Ek keyword page pe zyada se zyada 2-3 baar. Same keyword baar-baar mat dohrao (stuffing).</t>
        </is>
      </c>
      <c r="F152" s="4" t="inlineStr">
        <is>
          <t>To do</t>
        </is>
      </c>
    </row>
    <row r="153">
      <c r="A153" s="4" t="inlineStr">
        <is>
          <t>Steam Basmati</t>
        </is>
      </c>
      <c r="B153" s="4" t="inlineStr">
        <is>
          <t>8. FAQ section + FAQPage schema</t>
        </is>
      </c>
      <c r="C153" s="4" t="inlineStr">
        <is>
          <t>What is your minimum order quantity (MOQ)? | How do I get a price quote for steam basmati rice wholesale dubai? | Which origins, grades and pack sizes do you supply?</t>
        </is>
      </c>
      <c r="D153" s="4" t="inlineStr">
        <is>
          <t>What is your minimum order quantity (MOQ)? | How do I get a price quote for steam basmati rice wholesale dubai? | Which origins, grades and pack sizes do you supply? | Do you ship internationally? Which incoterms (FOB / CIF) do you offer? | Can I get a sample before placing a bulk order?</t>
        </is>
      </c>
      <c r="E153" s="4" t="inlineStr">
        <is>
          <t>Page ke neeche 5-8 FAQ. Yoast FAQ block ya RankMath FAQ block use karo - schema apne aap ban jaata hai. Jawab 40-60 shabd.</t>
        </is>
      </c>
      <c r="F153" s="4" t="inlineStr">
        <is>
          <t>To do</t>
        </is>
      </c>
    </row>
    <row r="154">
      <c r="A154" s="4" t="inlineStr">
        <is>
          <t>Steam Basmati</t>
        </is>
      </c>
      <c r="B154" s="4" t="inlineStr">
        <is>
          <t>9. Image file name + alt text</t>
        </is>
      </c>
      <c r="C154" s="4" t="inlineStr">
        <is>
          <t>steam basmati rice wholesale dubai</t>
        </is>
      </c>
      <c r="D154" s="4" t="inlineStr">
        <is>
          <t>File: steam-basmati-rice-wholesale-dubai-25kg-bag.webp | Alt: "Steam Basmati Rice Wholesale Dubai 25kg bag packing"</t>
        </is>
      </c>
      <c r="E154" s="4" t="inlineStr">
        <is>
          <t>Media Library mein image par click → 'Alt Text' bharo. Alt mein image jo dikha rahi hai wahi likho + keyword natural (har image mein nahi, sirf 1-2 mein). File name upload se pehle badlo.</t>
        </is>
      </c>
      <c r="F154" s="4" t="inlineStr">
        <is>
          <t>To do</t>
        </is>
      </c>
    </row>
    <row r="155">
      <c r="A155" s="4" t="inlineStr">
        <is>
          <t>Steam Basmati</t>
        </is>
      </c>
      <c r="B155" s="4" t="inlineStr">
        <is>
          <t>10. Internal links - is page par aane wale links (anchor text)</t>
        </is>
      </c>
      <c r="C155" s="4" t="inlineStr">
        <is>
          <t>steam basmati rice wholesale dubai | steam basmati rice | Cookychoice | get a quote</t>
        </is>
      </c>
      <c r="D155" s="4" t="inlineStr">
        <is>
          <t>Home page aur related pages se is page par link, anchor = ye words</t>
        </is>
      </c>
      <c r="E155" s="4" t="inlineStr">
        <is>
          <t>Dusre page mein relevant sentence select karo → Link button → is page ka URL. Anchor text har baar thoda alag rakho (exact + partial). 'click here' mat likho.</t>
        </is>
      </c>
      <c r="F155" s="4" t="inlineStr">
        <is>
          <t>To do</t>
        </is>
      </c>
    </row>
    <row r="156">
      <c r="A156" s="4" t="inlineStr">
        <is>
          <t>Steam Basmati</t>
        </is>
      </c>
      <c r="B156" s="4" t="inlineStr">
        <is>
          <t>11. CTA button / Get Quote</t>
        </is>
      </c>
      <c r="C156" s="4" t="inlineStr">
        <is>
          <t>get a quote | request sample</t>
        </is>
      </c>
      <c r="D156" s="4" t="inlineStr">
        <is>
          <t>Button text: 'Get a Quote' / 'Request Price per Ton' / 'WhatsApp Us'</t>
        </is>
      </c>
      <c r="E156" s="4" t="inlineStr">
        <is>
          <t>Page ke upar (fold ke andar), beech mein aur neeche - teen jagah button. Button /get-quote/ page ya form pe jaye.</t>
        </is>
      </c>
      <c r="F156" s="4" t="inlineStr">
        <is>
          <t>To do</t>
        </is>
      </c>
    </row>
    <row r="157">
      <c r="A157" s="4" t="inlineStr">
        <is>
          <t>Steam Basmati</t>
        </is>
      </c>
      <c r="B157" s="4" t="inlineStr">
        <is>
          <t>12. Schema (structured data)</t>
        </is>
      </c>
      <c r="C157" s="4" t="inlineStr">
        <is>
          <t>-</t>
        </is>
      </c>
      <c r="D157" s="4" t="inlineStr">
        <is>
          <t>Organization + BreadcrumbList + FAQPage + Product/Offer</t>
        </is>
      </c>
      <c r="E157" s="4" t="inlineStr">
        <is>
          <t>Yoast/RankMath → Schema tab. Publish ke baad Google Rich Results Test mein URL daalke check karo ki error nahi hai.</t>
        </is>
      </c>
      <c r="F157" s="4" t="inlineStr">
        <is>
          <t>To do</t>
        </is>
      </c>
    </row>
    <row r="158">
      <c r="A158" s="4" t="inlineStr">
        <is>
          <t>Non-Basmati Rice</t>
        </is>
      </c>
      <c r="B158" s="4" t="inlineStr">
        <is>
          <t>1. URL slug</t>
        </is>
      </c>
      <c r="C158" s="4" t="inlineStr">
        <is>
          <t>parboiled rice supplier uae</t>
        </is>
      </c>
      <c r="D158" s="4" t="inlineStr">
        <is>
          <t>cookychoice.com/non-basmati-rice/</t>
        </is>
      </c>
      <c r="E158" s="4" t="inlineStr">
        <is>
          <t>Page edit karo → Yoast SEO / RankMath box → 'Slug' ya Permalink field mein sirf primary keyword (hyphen ke saath) likho. Chhota rakho, year ya number mat daalo. Slug badalne ke baad purana URL ho to 301 redirect lagao.</t>
        </is>
      </c>
      <c r="F158" s="4" t="inlineStr">
        <is>
          <t>To do</t>
        </is>
      </c>
    </row>
    <row r="159">
      <c r="A159" s="4" t="inlineStr">
        <is>
          <t>Non-Basmati Rice</t>
        </is>
      </c>
      <c r="B159" s="4" t="inlineStr">
        <is>
          <t>2. SEO title (Google mein neela link)</t>
        </is>
      </c>
      <c r="C159" s="4" t="inlineStr">
        <is>
          <t>parboiled rice supplier uae</t>
        </is>
      </c>
      <c r="D159" s="4" t="inlineStr">
        <is>
          <t>Parboiled &amp; Non-Basmati Rice Supplier UAE</t>
        </is>
      </c>
      <c r="E159" s="4" t="inlineStr">
        <is>
          <t>Yoast SEO → 'SEO title' mein ye likho. Primary keyword sabse pehle, brand (Cookychoice) last. 60 characters se chhota (41 chars hai).</t>
        </is>
      </c>
      <c r="F159" s="4" t="inlineStr">
        <is>
          <t>To do</t>
        </is>
      </c>
    </row>
    <row r="160">
      <c r="A160" s="4" t="inlineStr">
        <is>
          <t>Non-Basmati Rice</t>
        </is>
      </c>
      <c r="B160" s="4" t="inlineStr">
        <is>
          <t>3. Meta description</t>
        </is>
      </c>
      <c r="C160" s="4" t="inlineStr">
        <is>
          <t>parboiled rice supplier uae + raw rice</t>
        </is>
      </c>
      <c r="D160" s="4" t="inlineStr">
        <is>
          <t>Parboiled Rice Supplier Uae - Dubai-based bulk supplier. [Pack sizes / origins / MOQ yahan apni sachchi details daalein]. Get a quote in 24 hrs.</t>
        </is>
      </c>
      <c r="E160" s="4" t="inlineStr">
        <is>
          <t>Yoast → 'Meta description'. 140-155 characters. Primary keyword + ek offer + 'Get a quote' jaisa CTA. Apni sachchi details daalo, jhoot nahi.</t>
        </is>
      </c>
      <c r="F160" s="4" t="inlineStr">
        <is>
          <t>To do</t>
        </is>
      </c>
    </row>
    <row r="161">
      <c r="A161" s="4" t="inlineStr">
        <is>
          <t>Non-Basmati Rice</t>
        </is>
      </c>
      <c r="B161" s="4" t="inlineStr">
        <is>
          <t>4. H1 (page ka mukhya heading)</t>
        </is>
      </c>
      <c r="C161" s="4" t="inlineStr">
        <is>
          <t>parboiled rice supplier uae</t>
        </is>
      </c>
      <c r="D161" s="4" t="inlineStr">
        <is>
          <t>Non-Basmati Rice - Bulk Supply</t>
        </is>
      </c>
      <c r="E161" s="4" t="inlineStr">
        <is>
          <t>Page editor mein sabse upar ek hi H1 (Heading 1). Primary keyword (ya uska natural form) isme hona chahiye. Ek page = ek H1.</t>
        </is>
      </c>
      <c r="F161" s="4" t="inlineStr">
        <is>
          <t>To do</t>
        </is>
      </c>
    </row>
    <row r="162">
      <c r="A162" s="4" t="inlineStr">
        <is>
          <t>Non-Basmati Rice</t>
        </is>
      </c>
      <c r="B162" s="4" t="inlineStr">
        <is>
          <t>5. Pehle 100 shabd (intro paragraph)</t>
        </is>
      </c>
      <c r="C162" s="4" t="inlineStr">
        <is>
          <t>parboiled rice supplier uae + raw rice</t>
        </is>
      </c>
      <c r="D162" s="4" t="inlineStr">
        <is>
          <t>[Pehli 1-2 line mein 'parboiled rice supplier uae' natural tareeke se likho.] Example: Cookychoice is a Dubai-based rice supplier for importers, exporters and bulk buyers. We supply [origins/grades] in [pack sizes] on [FOB/CIF] terms - request a quote today.</t>
        </is>
      </c>
      <c r="E162" s="4" t="inlineStr">
        <is>
          <t>H1 ke turant neeche paragraph mein primary keyword pehle 1-2 line mein aaye. Padhne mein natural lage, zabardasti nahi.</t>
        </is>
      </c>
      <c r="F162" s="4" t="inlineStr">
        <is>
          <t>To do</t>
        </is>
      </c>
    </row>
    <row r="163">
      <c r="A163" s="4" t="inlineStr">
        <is>
          <t>Non-Basmati Rice</t>
        </is>
      </c>
      <c r="B163" s="4" t="inlineStr">
        <is>
          <t>6. H2 headings (sections)</t>
        </is>
      </c>
      <c r="C163" s="4" t="inlineStr">
        <is>
          <t>raw rice | raw rice wholesale dubai | raw rice supplier uae | parboiled rice | parboiled rice wholesale dubai | long grain white rice</t>
        </is>
      </c>
      <c r="D163" s="4" t="inlineStr">
        <is>
          <t>Raw Rice | Raw Rice Wholesale Dubai | Raw Rice Supplier Uae | Parboiled Rice | Parboiled Rice Wholesale Dubai | Long Grain White Rice</t>
        </is>
      </c>
      <c r="E163" s="4" t="inlineStr">
        <is>
          <t>Har secondary keyword ko ek H2 (Heading 2) bana do aur uske neeche 2-4 line likho. Volume aane ke baad Keyword Master mein Priority score ke hisaab se top 6 ko H2 banao.</t>
        </is>
      </c>
      <c r="F163" s="4" t="inlineStr">
        <is>
          <t>To do</t>
        </is>
      </c>
    </row>
    <row r="164">
      <c r="A164" s="4" t="inlineStr">
        <is>
          <t>Non-Basmati Rice</t>
        </is>
      </c>
      <c r="B164" s="4" t="inlineStr">
        <is>
          <t>7. H3 / body paragraphs / table rows</t>
        </is>
      </c>
      <c r="C164" s="4" t="inlineStr">
        <is>
          <t>raw rice price in uae | raw rice price in dubai | parboiled rice price in uae | parboiled rice price in dubai | long grain white rice price in uae | long grain white rice price in dubai | long grain white rice wholesale dubai | long grain white rice supplier uae | medium grain rice | medium grain rice price in uae | medium grain rice price in dubai | medium grain rice wholesale dubai</t>
        </is>
      </c>
      <c r="D164" s="4" t="inlineStr">
        <is>
          <t>Body mein naturally 1-2 baar, ya table / list ke andar</t>
        </is>
      </c>
      <c r="E164" s="4" t="inlineStr">
        <is>
          <t>Baaki keywords ko H3, bullet, table ya paragraph mein naturally daalo. Ek keyword page pe zyada se zyada 2-3 baar. Same keyword baar-baar mat dohrao (stuffing).</t>
        </is>
      </c>
      <c r="F164" s="4" t="inlineStr">
        <is>
          <t>To do</t>
        </is>
      </c>
    </row>
    <row r="165">
      <c r="A165" s="4" t="inlineStr">
        <is>
          <t>Non-Basmati Rice</t>
        </is>
      </c>
      <c r="B165" s="4" t="inlineStr">
        <is>
          <t>8. FAQ section + FAQPage schema</t>
        </is>
      </c>
      <c r="C165" s="4" t="inlineStr">
        <is>
          <t>What is your minimum order quantity (MOQ)? | How do I get a price quote for parboiled rice supplier uae? | Which origins, grades and pack sizes do you supply?</t>
        </is>
      </c>
      <c r="D165" s="4" t="inlineStr">
        <is>
          <t>What is your minimum order quantity (MOQ)? | How do I get a price quote for parboiled rice supplier uae? | Which origins, grades and pack sizes do you supply? | Do you ship internationally? Which incoterms (FOB / CIF) do you offer? | Can I get a sample before placing a bulk order?</t>
        </is>
      </c>
      <c r="E165" s="4" t="inlineStr">
        <is>
          <t>Page ke neeche 5-8 FAQ. Yoast FAQ block ya RankMath FAQ block use karo - schema apne aap ban jaata hai. Jawab 40-60 shabd.</t>
        </is>
      </c>
      <c r="F165" s="4" t="inlineStr">
        <is>
          <t>To do</t>
        </is>
      </c>
    </row>
    <row r="166">
      <c r="A166" s="4" t="inlineStr">
        <is>
          <t>Non-Basmati Rice</t>
        </is>
      </c>
      <c r="B166" s="4" t="inlineStr">
        <is>
          <t>9. Image file name + alt text</t>
        </is>
      </c>
      <c r="C166" s="4" t="inlineStr">
        <is>
          <t>parboiled rice supplier uae</t>
        </is>
      </c>
      <c r="D166" s="4" t="inlineStr">
        <is>
          <t>File: parboiled-rice-supplier-uae-25kg-bag.webp | Alt: "Parboiled Rice Supplier Uae 25kg bag packing"</t>
        </is>
      </c>
      <c r="E166" s="4" t="inlineStr">
        <is>
          <t>Media Library mein image par click → 'Alt Text' bharo. Alt mein image jo dikha rahi hai wahi likho + keyword natural (har image mein nahi, sirf 1-2 mein). File name upload se pehle badlo.</t>
        </is>
      </c>
      <c r="F166" s="4" t="inlineStr">
        <is>
          <t>To do</t>
        </is>
      </c>
    </row>
    <row r="167">
      <c r="A167" s="4" t="inlineStr">
        <is>
          <t>Non-Basmati Rice</t>
        </is>
      </c>
      <c r="B167" s="4" t="inlineStr">
        <is>
          <t>10. Internal links - is page par aane wale links (anchor text)</t>
        </is>
      </c>
      <c r="C167" s="4" t="inlineStr">
        <is>
          <t>parboiled rice supplier uae | raw rice | Cookychoice | get a quote</t>
        </is>
      </c>
      <c r="D167" s="4" t="inlineStr">
        <is>
          <t>Home page aur related pages se is page par link, anchor = ye words</t>
        </is>
      </c>
      <c r="E167" s="4" t="inlineStr">
        <is>
          <t>Dusre page mein relevant sentence select karo → Link button → is page ka URL. Anchor text har baar thoda alag rakho (exact + partial). 'click here' mat likho.</t>
        </is>
      </c>
      <c r="F167" s="4" t="inlineStr">
        <is>
          <t>To do</t>
        </is>
      </c>
    </row>
    <row r="168">
      <c r="A168" s="4" t="inlineStr">
        <is>
          <t>Non-Basmati Rice</t>
        </is>
      </c>
      <c r="B168" s="4" t="inlineStr">
        <is>
          <t>11. CTA button / Get Quote</t>
        </is>
      </c>
      <c r="C168" s="4" t="inlineStr">
        <is>
          <t>get a quote | request sample</t>
        </is>
      </c>
      <c r="D168" s="4" t="inlineStr">
        <is>
          <t>Button text: 'Get a Quote' / 'Request Price per Ton' / 'WhatsApp Us'</t>
        </is>
      </c>
      <c r="E168" s="4" t="inlineStr">
        <is>
          <t>Page ke upar (fold ke andar), beech mein aur neeche - teen jagah button. Button /get-quote/ page ya form pe jaye.</t>
        </is>
      </c>
      <c r="F168" s="4" t="inlineStr">
        <is>
          <t>To do</t>
        </is>
      </c>
    </row>
    <row r="169">
      <c r="A169" s="4" t="inlineStr">
        <is>
          <t>Non-Basmati Rice</t>
        </is>
      </c>
      <c r="B169" s="4" t="inlineStr">
        <is>
          <t>12. Schema (structured data)</t>
        </is>
      </c>
      <c r="C169" s="4" t="inlineStr">
        <is>
          <t>-</t>
        </is>
      </c>
      <c r="D169" s="4" t="inlineStr">
        <is>
          <t>Organization + BreadcrumbList + FAQPage + Product/Offer</t>
        </is>
      </c>
      <c r="E169" s="4" t="inlineStr">
        <is>
          <t>Yoast/RankMath → Schema tab. Publish ke baad Google Rich Results Test mein URL daalke check karo ki error nahi hai.</t>
        </is>
      </c>
      <c r="F169" s="4" t="inlineStr">
        <is>
          <t>To do</t>
        </is>
      </c>
    </row>
    <row r="170">
      <c r="A170" s="4" t="inlineStr">
        <is>
          <t>Specialty &amp; South Indian Rice</t>
        </is>
      </c>
      <c r="B170" s="4" t="inlineStr">
        <is>
          <t>1. URL slug</t>
        </is>
      </c>
      <c r="C170" s="4" t="inlineStr">
        <is>
          <t>sona masoori rice supplier uae</t>
        </is>
      </c>
      <c r="D170" s="4" t="inlineStr">
        <is>
          <t>cookychoice.com/specialty-south-indian-rice/</t>
        </is>
      </c>
      <c r="E170" s="4" t="inlineStr">
        <is>
          <t>Page edit karo → Yoast SEO / RankMath box → 'Slug' ya Permalink field mein sirf primary keyword (hyphen ke saath) likho. Chhota rakho, year ya number mat daalo. Slug badalne ke baad purana URL ho to 301 redirect lagao.</t>
        </is>
      </c>
      <c r="F170" s="4" t="inlineStr">
        <is>
          <t>To do</t>
        </is>
      </c>
    </row>
    <row r="171">
      <c r="A171" s="4" t="inlineStr">
        <is>
          <t>Specialty &amp; South Indian Rice</t>
        </is>
      </c>
      <c r="B171" s="4" t="inlineStr">
        <is>
          <t>2. SEO title (Google mein neela link)</t>
        </is>
      </c>
      <c r="C171" s="4" t="inlineStr">
        <is>
          <t>sona masoori rice supplier uae</t>
        </is>
      </c>
      <c r="D171" s="4" t="inlineStr">
        <is>
          <t>Sona Masoori, Matta &amp; Jasmine Rice Supplier UAE</t>
        </is>
      </c>
      <c r="E171" s="4" t="inlineStr">
        <is>
          <t>Yoast SEO → 'SEO title' mein ye likho. Primary keyword sabse pehle, brand (Cookychoice) last. 60 characters se chhota (47 chars hai).</t>
        </is>
      </c>
      <c r="F171" s="4" t="inlineStr">
        <is>
          <t>To do</t>
        </is>
      </c>
    </row>
    <row r="172">
      <c r="A172" s="4" t="inlineStr">
        <is>
          <t>Specialty &amp; South Indian Rice</t>
        </is>
      </c>
      <c r="B172" s="4" t="inlineStr">
        <is>
          <t>3. Meta description</t>
        </is>
      </c>
      <c r="C172" s="4" t="inlineStr">
        <is>
          <t>sona masoori rice supplier uae + brown basmati rice</t>
        </is>
      </c>
      <c r="D172" s="4" t="inlineStr">
        <is>
          <t>Sona Masoori Rice Supplier Uae - Dubai-based bulk supplier. [Pack sizes / origins / MOQ yahan apni sachchi details daalein]. Get a quote in 24 hrs.</t>
        </is>
      </c>
      <c r="E172" s="4" t="inlineStr">
        <is>
          <t>Yoast → 'Meta description'. 140-155 characters. Primary keyword + ek offer + 'Get a quote' jaisa CTA. Apni sachchi details daalo, jhoot nahi.</t>
        </is>
      </c>
      <c r="F172" s="4" t="inlineStr">
        <is>
          <t>To do</t>
        </is>
      </c>
    </row>
    <row r="173">
      <c r="A173" s="4" t="inlineStr">
        <is>
          <t>Specialty &amp; South Indian Rice</t>
        </is>
      </c>
      <c r="B173" s="4" t="inlineStr">
        <is>
          <t>4. H1 (page ka mukhya heading)</t>
        </is>
      </c>
      <c r="C173" s="4" t="inlineStr">
        <is>
          <t>sona masoori rice supplier uae</t>
        </is>
      </c>
      <c r="D173" s="4" t="inlineStr">
        <is>
          <t>Specialty &amp; South Indian Rice</t>
        </is>
      </c>
      <c r="E173" s="4" t="inlineStr">
        <is>
          <t>Page editor mein sabse upar ek hi H1 (Heading 1). Primary keyword (ya uska natural form) isme hona chahiye. Ek page = ek H1.</t>
        </is>
      </c>
      <c r="F173" s="4" t="inlineStr">
        <is>
          <t>To do</t>
        </is>
      </c>
    </row>
    <row r="174">
      <c r="A174" s="4" t="inlineStr">
        <is>
          <t>Specialty &amp; South Indian Rice</t>
        </is>
      </c>
      <c r="B174" s="4" t="inlineStr">
        <is>
          <t>5. Pehle 100 shabd (intro paragraph)</t>
        </is>
      </c>
      <c r="C174" s="4" t="inlineStr">
        <is>
          <t>sona masoori rice supplier uae + brown basmati rice</t>
        </is>
      </c>
      <c r="D174" s="4" t="inlineStr">
        <is>
          <t>[Pehli 1-2 line mein 'sona masoori rice supplier uae' natural tareeke se likho.] Example: Cookychoice is a Dubai-based rice supplier for importers, exporters and bulk buyers. We supply [origins/grades] in [pack sizes] on [FOB/CIF] terms - request a quote today.</t>
        </is>
      </c>
      <c r="E174" s="4" t="inlineStr">
        <is>
          <t>H1 ke turant neeche paragraph mein primary keyword pehle 1-2 line mein aaye. Padhne mein natural lage, zabardasti nahi.</t>
        </is>
      </c>
      <c r="F174" s="4" t="inlineStr">
        <is>
          <t>To do</t>
        </is>
      </c>
    </row>
    <row r="175">
      <c r="A175" s="4" t="inlineStr">
        <is>
          <t>Specialty &amp; South Indian Rice</t>
        </is>
      </c>
      <c r="B175" s="4" t="inlineStr">
        <is>
          <t>6. H2 headings (sections)</t>
        </is>
      </c>
      <c r="C175" s="4" t="inlineStr">
        <is>
          <t>brown basmati rice | jasmine rice | jasmine rice wholesale dubai | jasmine rice supplier uae | thai jasmine rice | sona masoori rice</t>
        </is>
      </c>
      <c r="D175" s="4" t="inlineStr">
        <is>
          <t>Brown Basmati Rice | Jasmine Rice | Jasmine Rice Wholesale Dubai | Jasmine Rice Supplier Uae | Thai Jasmine Rice | Sona Masoori Rice</t>
        </is>
      </c>
      <c r="E175" s="4" t="inlineStr">
        <is>
          <t>Har secondary keyword ko ek H2 (Heading 2) bana do aur uske neeche 2-4 line likho. Volume aane ke baad Keyword Master mein Priority score ke hisaab se top 6 ko H2 banao.</t>
        </is>
      </c>
      <c r="F175" s="4" t="inlineStr">
        <is>
          <t>To do</t>
        </is>
      </c>
    </row>
    <row r="176">
      <c r="A176" s="4" t="inlineStr">
        <is>
          <t>Specialty &amp; South Indian Rice</t>
        </is>
      </c>
      <c r="B176" s="4" t="inlineStr">
        <is>
          <t>7. H3 / body paragraphs / table rows</t>
        </is>
      </c>
      <c r="C176" s="4" t="inlineStr">
        <is>
          <t>brown basmati rice price in uae | brown basmati rice price in dubai | brown basmati rice wholesale dubai | brown basmati rice supplier uae | jasmine rice price in uae | jasmine rice price in dubai | thai jasmine rice price in uae | thai jasmine rice price in dubai | thai jasmine rice wholesale dubai | thai jasmine rice supplier uae | sona masoori rice price in uae | sona masoori rice price in dubai</t>
        </is>
      </c>
      <c r="D176" s="4" t="inlineStr">
        <is>
          <t>Body mein naturally 1-2 baar, ya table / list ke andar</t>
        </is>
      </c>
      <c r="E176" s="4" t="inlineStr">
        <is>
          <t>Baaki keywords ko H3, bullet, table ya paragraph mein naturally daalo. Ek keyword page pe zyada se zyada 2-3 baar. Same keyword baar-baar mat dohrao (stuffing).</t>
        </is>
      </c>
      <c r="F176" s="4" t="inlineStr">
        <is>
          <t>To do</t>
        </is>
      </c>
    </row>
    <row r="177">
      <c r="A177" s="4" t="inlineStr">
        <is>
          <t>Specialty &amp; South Indian Rice</t>
        </is>
      </c>
      <c r="B177" s="4" t="inlineStr">
        <is>
          <t>8. FAQ section + FAQPage schema</t>
        </is>
      </c>
      <c r="C177" s="4" t="inlineStr">
        <is>
          <t>What is your minimum order quantity (MOQ)? | How do I get a price quote for sona masoori rice supplier uae? | Which origins, grades and pack sizes do you supply?</t>
        </is>
      </c>
      <c r="D177" s="4" t="inlineStr">
        <is>
          <t>What is your minimum order quantity (MOQ)? | How do I get a price quote for sona masoori rice supplier uae? | Which origins, grades and pack sizes do you supply? | Do you ship internationally? Which incoterms (FOB / CIF) do you offer? | Can I get a sample before placing a bulk order?</t>
        </is>
      </c>
      <c r="E177" s="4" t="inlineStr">
        <is>
          <t>Page ke neeche 5-8 FAQ. Yoast FAQ block ya RankMath FAQ block use karo - schema apne aap ban jaata hai. Jawab 40-60 shabd.</t>
        </is>
      </c>
      <c r="F177" s="4" t="inlineStr">
        <is>
          <t>To do</t>
        </is>
      </c>
    </row>
    <row r="178">
      <c r="A178" s="4" t="inlineStr">
        <is>
          <t>Specialty &amp; South Indian Rice</t>
        </is>
      </c>
      <c r="B178" s="4" t="inlineStr">
        <is>
          <t>9. Image file name + alt text</t>
        </is>
      </c>
      <c r="C178" s="4" t="inlineStr">
        <is>
          <t>sona masoori rice supplier uae</t>
        </is>
      </c>
      <c r="D178" s="4" t="inlineStr">
        <is>
          <t>File: sona-masoori-rice-supplier-uae-25kg-bag.webp | Alt: "Sona Masoori Rice Supplier Uae 25kg bag packing"</t>
        </is>
      </c>
      <c r="E178" s="4" t="inlineStr">
        <is>
          <t>Media Library mein image par click → 'Alt Text' bharo. Alt mein image jo dikha rahi hai wahi likho + keyword natural (har image mein nahi, sirf 1-2 mein). File name upload se pehle badlo.</t>
        </is>
      </c>
      <c r="F178" s="4" t="inlineStr">
        <is>
          <t>To do</t>
        </is>
      </c>
    </row>
    <row r="179">
      <c r="A179" s="4" t="inlineStr">
        <is>
          <t>Specialty &amp; South Indian Rice</t>
        </is>
      </c>
      <c r="B179" s="4" t="inlineStr">
        <is>
          <t>10. Internal links - is page par aane wale links (anchor text)</t>
        </is>
      </c>
      <c r="C179" s="4" t="inlineStr">
        <is>
          <t>sona masoori rice supplier uae | brown basmati rice | Cookychoice | get a quote</t>
        </is>
      </c>
      <c r="D179" s="4" t="inlineStr">
        <is>
          <t>Home page aur related pages se is page par link, anchor = ye words</t>
        </is>
      </c>
      <c r="E179" s="4" t="inlineStr">
        <is>
          <t>Dusre page mein relevant sentence select karo → Link button → is page ka URL. Anchor text har baar thoda alag rakho (exact + partial). 'click here' mat likho.</t>
        </is>
      </c>
      <c r="F179" s="4" t="inlineStr">
        <is>
          <t>To do</t>
        </is>
      </c>
    </row>
    <row r="180">
      <c r="A180" s="4" t="inlineStr">
        <is>
          <t>Specialty &amp; South Indian Rice</t>
        </is>
      </c>
      <c r="B180" s="4" t="inlineStr">
        <is>
          <t>11. CTA button / Get Quote</t>
        </is>
      </c>
      <c r="C180" s="4" t="inlineStr">
        <is>
          <t>get a quote | request sample</t>
        </is>
      </c>
      <c r="D180" s="4" t="inlineStr">
        <is>
          <t>Button text: 'Get a Quote' / 'Request Price per Ton' / 'WhatsApp Us'</t>
        </is>
      </c>
      <c r="E180" s="4" t="inlineStr">
        <is>
          <t>Page ke upar (fold ke andar), beech mein aur neeche - teen jagah button. Button /get-quote/ page ya form pe jaye.</t>
        </is>
      </c>
      <c r="F180" s="4" t="inlineStr">
        <is>
          <t>To do</t>
        </is>
      </c>
    </row>
    <row r="181">
      <c r="A181" s="4" t="inlineStr">
        <is>
          <t>Specialty &amp; South Indian Rice</t>
        </is>
      </c>
      <c r="B181" s="4" t="inlineStr">
        <is>
          <t>12. Schema (structured data)</t>
        </is>
      </c>
      <c r="C181" s="4" t="inlineStr">
        <is>
          <t>-</t>
        </is>
      </c>
      <c r="D181" s="4" t="inlineStr">
        <is>
          <t>Organization + BreadcrumbList + FAQPage + Product/Offer</t>
        </is>
      </c>
      <c r="E181" s="4" t="inlineStr">
        <is>
          <t>Yoast/RankMath → Schema tab. Publish ke baad Google Rich Results Test mein URL daalke check karo ki error nahi hai.</t>
        </is>
      </c>
      <c r="F181" s="4" t="inlineStr">
        <is>
          <t>To do</t>
        </is>
      </c>
    </row>
    <row r="182">
      <c r="A182" s="4" t="inlineStr">
        <is>
          <t>Warehouse &amp; free zone</t>
        </is>
      </c>
      <c r="B182" s="4" t="inlineStr">
        <is>
          <t>1. URL slug</t>
        </is>
      </c>
      <c r="C182" s="4" t="inlineStr">
        <is>
          <t>rice warehouse jebel ali</t>
        </is>
      </c>
      <c r="D182" s="4" t="inlineStr">
        <is>
          <t>cookychoice.com/rice-warehouse-jebel-ali/</t>
        </is>
      </c>
      <c r="E182" s="4" t="inlineStr">
        <is>
          <t>Page edit karo → Yoast SEO / RankMath box → 'Slug' ya Permalink field mein sirf primary keyword (hyphen ke saath) likho. Chhota rakho, year ya number mat daalo. Slug badalne ke baad purana URL ho to 301 redirect lagao.</t>
        </is>
      </c>
      <c r="F182" s="4" t="inlineStr">
        <is>
          <t>To do</t>
        </is>
      </c>
    </row>
    <row r="183">
      <c r="A183" s="4" t="inlineStr">
        <is>
          <t>Warehouse &amp; free zone</t>
        </is>
      </c>
      <c r="B183" s="4" t="inlineStr">
        <is>
          <t>2. SEO title (Google mein neela link)</t>
        </is>
      </c>
      <c r="C183" s="4" t="inlineStr">
        <is>
          <t>rice warehouse jebel ali</t>
        </is>
      </c>
      <c r="D183" s="4" t="inlineStr">
        <is>
          <t>Rice Warehouse Jebel Ali | Storage &amp; Trading JAFZA</t>
        </is>
      </c>
      <c r="E183" s="4" t="inlineStr">
        <is>
          <t>Yoast SEO → 'SEO title' mein ye likho. Primary keyword sabse pehle, brand (Cookychoice) last. 60 characters se chhota (50 chars hai).</t>
        </is>
      </c>
      <c r="F183" s="4" t="inlineStr">
        <is>
          <t>To do</t>
        </is>
      </c>
    </row>
    <row r="184">
      <c r="A184" s="4" t="inlineStr">
        <is>
          <t>Warehouse &amp; free zone</t>
        </is>
      </c>
      <c r="B184" s="4" t="inlineStr">
        <is>
          <t>3. Meta description</t>
        </is>
      </c>
      <c r="C184" s="4" t="inlineStr">
        <is>
          <t>rice warehouse jebel ali + rice trading jafza</t>
        </is>
      </c>
      <c r="D184" s="4" t="inlineStr">
        <is>
          <t>Rice Warehouse Jebel Ali - Dubai-based bulk supplier. [Pack sizes / origins / MOQ yahan apni sachchi details daalein]. Get a quote in 24 hrs.</t>
        </is>
      </c>
      <c r="E184" s="4" t="inlineStr">
        <is>
          <t>Yoast → 'Meta description'. 140-155 characters. Primary keyword + ek offer + 'Get a quote' jaisa CTA. Apni sachchi details daalo, jhoot nahi.</t>
        </is>
      </c>
      <c r="F184" s="4" t="inlineStr">
        <is>
          <t>To do</t>
        </is>
      </c>
    </row>
    <row r="185">
      <c r="A185" s="4" t="inlineStr">
        <is>
          <t>Warehouse &amp; free zone</t>
        </is>
      </c>
      <c r="B185" s="4" t="inlineStr">
        <is>
          <t>4. H1 (page ka mukhya heading)</t>
        </is>
      </c>
      <c r="C185" s="4" t="inlineStr">
        <is>
          <t>rice warehouse jebel ali</t>
        </is>
      </c>
      <c r="D185" s="4" t="inlineStr">
        <is>
          <t>Rice Warehouse &amp; Logistics in Jebel Ali</t>
        </is>
      </c>
      <c r="E185" s="4" t="inlineStr">
        <is>
          <t>Page editor mein sabse upar ek hi H1 (Heading 1). Primary keyword (ya uska natural form) isme hona chahiye. Ek page = ek H1.</t>
        </is>
      </c>
      <c r="F185" s="4" t="inlineStr">
        <is>
          <t>To do</t>
        </is>
      </c>
    </row>
    <row r="186">
      <c r="A186" s="4" t="inlineStr">
        <is>
          <t>Warehouse &amp; free zone</t>
        </is>
      </c>
      <c r="B186" s="4" t="inlineStr">
        <is>
          <t>5. Pehle 100 shabd (intro paragraph)</t>
        </is>
      </c>
      <c r="C186" s="4" t="inlineStr">
        <is>
          <t>rice warehouse jebel ali + rice trading jafza</t>
        </is>
      </c>
      <c r="D186" s="4" t="inlineStr">
        <is>
          <t>[Pehli 1-2 line mein 'rice warehouse jebel ali' natural tareeke se likho.] Example: Cookychoice is a Dubai-based rice supplier for importers, exporters and bulk buyers. We supply [origins/grades] in [pack sizes] on [FOB/CIF] terms - request a quote today.</t>
        </is>
      </c>
      <c r="E186" s="4" t="inlineStr">
        <is>
          <t>H1 ke turant neeche paragraph mein primary keyword pehle 1-2 line mein aaye. Padhne mein natural lage, zabardasti nahi.</t>
        </is>
      </c>
      <c r="F186" s="4" t="inlineStr">
        <is>
          <t>To do</t>
        </is>
      </c>
    </row>
    <row r="187">
      <c r="A187" s="4" t="inlineStr">
        <is>
          <t>Warehouse &amp; free zone</t>
        </is>
      </c>
      <c r="B187" s="4" t="inlineStr">
        <is>
          <t>6. H2 headings (sections)</t>
        </is>
      </c>
      <c r="C187" s="4" t="inlineStr">
        <is>
          <t>rice trading jafza | food trading company jafza | rice warehouse dubai | rice storage dubai</t>
        </is>
      </c>
      <c r="D187" s="4" t="inlineStr">
        <is>
          <t>Rice Trading Jafza | Food Trading Company Jafza | Rice Warehouse Dubai | Rice Storage Dubai</t>
        </is>
      </c>
      <c r="E187" s="4" t="inlineStr">
        <is>
          <t>Har secondary keyword ko ek H2 (Heading 2) bana do aur uske neeche 2-4 line likho. Volume aane ke baad Keyword Master mein Priority score ke hisaab se top 6 ko H2 banao.</t>
        </is>
      </c>
      <c r="F187" s="4" t="inlineStr">
        <is>
          <t>To do</t>
        </is>
      </c>
    </row>
    <row r="188">
      <c r="A188" s="4" t="inlineStr">
        <is>
          <t>Warehouse &amp; free zone</t>
        </is>
      </c>
      <c r="B188" s="4" t="inlineStr">
        <is>
          <t>7. H3 / body paragraphs / table rows</t>
        </is>
      </c>
      <c r="C188" s="4" t="inlineStr">
        <is>
          <t>-</t>
        </is>
      </c>
      <c r="D188" s="4" t="inlineStr">
        <is>
          <t>Body mein naturally 1-2 baar, ya table / list ke andar</t>
        </is>
      </c>
      <c r="E188" s="4" t="inlineStr">
        <is>
          <t>Baaki keywords ko H3, bullet, table ya paragraph mein naturally daalo. Ek keyword page pe zyada se zyada 2-3 baar. Same keyword baar-baar mat dohrao (stuffing).</t>
        </is>
      </c>
      <c r="F188" s="4" t="inlineStr">
        <is>
          <t>To do</t>
        </is>
      </c>
    </row>
    <row r="189">
      <c r="A189" s="4" t="inlineStr">
        <is>
          <t>Warehouse &amp; free zone</t>
        </is>
      </c>
      <c r="B189" s="4" t="inlineStr">
        <is>
          <t>8. FAQ section + FAQPage schema</t>
        </is>
      </c>
      <c r="C189" s="4" t="inlineStr">
        <is>
          <t>What is your minimum order quantity (MOQ)? | How do I get a price quote for rice warehouse jebel ali? | Which origins, grades and pack sizes do you supply?</t>
        </is>
      </c>
      <c r="D189" s="4" t="inlineStr">
        <is>
          <t>What is your minimum order quantity (MOQ)? | How do I get a price quote for rice warehouse jebel ali? | Which origins, grades and pack sizes do you supply? | Do you ship internationally? Which incoterms (FOB / CIF) do you offer? | Can I get a sample before placing a bulk order?</t>
        </is>
      </c>
      <c r="E189" s="4" t="inlineStr">
        <is>
          <t>Page ke neeche 5-8 FAQ. Yoast FAQ block ya RankMath FAQ block use karo - schema apne aap ban jaata hai. Jawab 40-60 shabd.</t>
        </is>
      </c>
      <c r="F189" s="4" t="inlineStr">
        <is>
          <t>To do</t>
        </is>
      </c>
    </row>
    <row r="190">
      <c r="A190" s="4" t="inlineStr">
        <is>
          <t>Warehouse &amp; free zone</t>
        </is>
      </c>
      <c r="B190" s="4" t="inlineStr">
        <is>
          <t>9. Image file name + alt text</t>
        </is>
      </c>
      <c r="C190" s="4" t="inlineStr">
        <is>
          <t>rice warehouse jebel ali</t>
        </is>
      </c>
      <c r="D190" s="4" t="inlineStr">
        <is>
          <t>File: rice-warehouse-jebel-ali-25kg-bag.webp | Alt: "Rice Warehouse Jebel Ali 25kg bag packing"</t>
        </is>
      </c>
      <c r="E190" s="4" t="inlineStr">
        <is>
          <t>Media Library mein image par click → 'Alt Text' bharo. Alt mein image jo dikha rahi hai wahi likho + keyword natural (har image mein nahi, sirf 1-2 mein). File name upload se pehle badlo.</t>
        </is>
      </c>
      <c r="F190" s="4" t="inlineStr">
        <is>
          <t>To do</t>
        </is>
      </c>
    </row>
    <row r="191">
      <c r="A191" s="4" t="inlineStr">
        <is>
          <t>Warehouse &amp; free zone</t>
        </is>
      </c>
      <c r="B191" s="4" t="inlineStr">
        <is>
          <t>10. Internal links - is page par aane wale links (anchor text)</t>
        </is>
      </c>
      <c r="C191" s="4" t="inlineStr">
        <is>
          <t>rice warehouse jebel ali | rice trading jafza | Cookychoice | get a quote</t>
        </is>
      </c>
      <c r="D191" s="4" t="inlineStr">
        <is>
          <t>Home page aur related pages se is page par link, anchor = ye words</t>
        </is>
      </c>
      <c r="E191" s="4" t="inlineStr">
        <is>
          <t>Dusre page mein relevant sentence select karo → Link button → is page ka URL. Anchor text har baar thoda alag rakho (exact + partial). 'click here' mat likho.</t>
        </is>
      </c>
      <c r="F191" s="4" t="inlineStr">
        <is>
          <t>To do</t>
        </is>
      </c>
    </row>
    <row r="192">
      <c r="A192" s="4" t="inlineStr">
        <is>
          <t>Warehouse &amp; free zone</t>
        </is>
      </c>
      <c r="B192" s="4" t="inlineStr">
        <is>
          <t>11. CTA button / Get Quote</t>
        </is>
      </c>
      <c r="C192" s="4" t="inlineStr">
        <is>
          <t>get a quote | request sample</t>
        </is>
      </c>
      <c r="D192" s="4" t="inlineStr">
        <is>
          <t>Button text: 'Get a Quote' / 'Request Price per Ton' / 'WhatsApp Us'</t>
        </is>
      </c>
      <c r="E192" s="4" t="inlineStr">
        <is>
          <t>Page ke upar (fold ke andar), beech mein aur neeche - teen jagah button. Button /get-quote/ page ya form pe jaye.</t>
        </is>
      </c>
      <c r="F192" s="4" t="inlineStr">
        <is>
          <t>To do</t>
        </is>
      </c>
    </row>
    <row r="193">
      <c r="A193" s="4" t="inlineStr">
        <is>
          <t>Warehouse &amp; free zone</t>
        </is>
      </c>
      <c r="B193" s="4" t="inlineStr">
        <is>
          <t>12. Schema (structured data)</t>
        </is>
      </c>
      <c r="C193" s="4" t="inlineStr">
        <is>
          <t>-</t>
        </is>
      </c>
      <c r="D193" s="4" t="inlineStr">
        <is>
          <t>Organization + BreadcrumbList + FAQPage + LocalBusiness</t>
        </is>
      </c>
      <c r="E193" s="4" t="inlineStr">
        <is>
          <t>Yoast/RankMath → Schema tab. Publish ke baad Google Rich Results Test mein URL daalke check karo ki error nahi hai.</t>
        </is>
      </c>
      <c r="F193" s="4" t="inlineStr">
        <is>
          <t>To do</t>
        </is>
      </c>
    </row>
    <row r="194">
      <c r="A194" s="4" t="inlineStr">
        <is>
          <t>Emirate page: Abu Dhabi</t>
        </is>
      </c>
      <c r="B194" s="4" t="inlineStr">
        <is>
          <t>1. URL slug</t>
        </is>
      </c>
      <c r="C194" s="4" t="inlineStr">
        <is>
          <t>rice supplier abu dhabi</t>
        </is>
      </c>
      <c r="D194" s="4" t="inlineStr">
        <is>
          <t>cookychoice.com/rice-supplier-abu-dhabi/</t>
        </is>
      </c>
      <c r="E194" s="4" t="inlineStr">
        <is>
          <t>Page edit karo → Yoast SEO / RankMath box → 'Slug' ya Permalink field mein sirf primary keyword (hyphen ke saath) likho. Chhota rakho, year ya number mat daalo. Slug badalne ke baad purana URL ho to 301 redirect lagao.</t>
        </is>
      </c>
      <c r="F194" s="4" t="inlineStr">
        <is>
          <t>To do</t>
        </is>
      </c>
    </row>
    <row r="195">
      <c r="A195" s="4" t="inlineStr">
        <is>
          <t>Emirate page: Abu Dhabi</t>
        </is>
      </c>
      <c r="B195" s="4" t="inlineStr">
        <is>
          <t>2. SEO title (Google mein neela link)</t>
        </is>
      </c>
      <c r="C195" s="4" t="inlineStr">
        <is>
          <t>rice supplier abu dhabi</t>
        </is>
      </c>
      <c r="D195" s="4" t="inlineStr">
        <is>
          <t>Rice Supplier Abu Dhabi | Bulk &amp; Wholesale</t>
        </is>
      </c>
      <c r="E195" s="4" t="inlineStr">
        <is>
          <t>Yoast SEO → 'SEO title' mein ye likho. Primary keyword sabse pehle, brand (Cookychoice) last. 60 characters se chhota (42 chars hai).</t>
        </is>
      </c>
      <c r="F195" s="4" t="inlineStr">
        <is>
          <t>To do</t>
        </is>
      </c>
    </row>
    <row r="196">
      <c r="A196" s="4" t="inlineStr">
        <is>
          <t>Emirate page: Abu Dhabi</t>
        </is>
      </c>
      <c r="B196" s="4" t="inlineStr">
        <is>
          <t>3. Meta description</t>
        </is>
      </c>
      <c r="C196" s="4" t="inlineStr">
        <is>
          <t>rice supplier abu dhabi + basmati rice abu dhabi</t>
        </is>
      </c>
      <c r="D196" s="4" t="inlineStr">
        <is>
          <t>Rice Supplier Abu Dhabi - Dubai-based bulk supplier. [Pack sizes / origins / MOQ yahan apni sachchi details daalein]. Get a quote in 24 hrs.</t>
        </is>
      </c>
      <c r="E196" s="4" t="inlineStr">
        <is>
          <t>Yoast → 'Meta description'. 140-155 characters. Primary keyword + ek offer + 'Get a quote' jaisa CTA. Apni sachchi details daalo, jhoot nahi.</t>
        </is>
      </c>
      <c r="F196" s="4" t="inlineStr">
        <is>
          <t>To do</t>
        </is>
      </c>
    </row>
    <row r="197">
      <c r="A197" s="4" t="inlineStr">
        <is>
          <t>Emirate page: Abu Dhabi</t>
        </is>
      </c>
      <c r="B197" s="4" t="inlineStr">
        <is>
          <t>4. H1 (page ka mukhya heading)</t>
        </is>
      </c>
      <c r="C197" s="4" t="inlineStr">
        <is>
          <t>rice supplier abu dhabi</t>
        </is>
      </c>
      <c r="D197" s="4" t="inlineStr">
        <is>
          <t>Rice Supplier in Abu Dhabi</t>
        </is>
      </c>
      <c r="E197" s="4" t="inlineStr">
        <is>
          <t>Page editor mein sabse upar ek hi H1 (Heading 1). Primary keyword (ya uska natural form) isme hona chahiye. Ek page = ek H1.</t>
        </is>
      </c>
      <c r="F197" s="4" t="inlineStr">
        <is>
          <t>To do</t>
        </is>
      </c>
    </row>
    <row r="198">
      <c r="A198" s="4" t="inlineStr">
        <is>
          <t>Emirate page: Abu Dhabi</t>
        </is>
      </c>
      <c r="B198" s="4" t="inlineStr">
        <is>
          <t>5. Pehle 100 shabd (intro paragraph)</t>
        </is>
      </c>
      <c r="C198" s="4" t="inlineStr">
        <is>
          <t>rice supplier abu dhabi + basmati rice abu dhabi</t>
        </is>
      </c>
      <c r="D198" s="4" t="inlineStr">
        <is>
          <t>[Pehli 1-2 line mein 'rice supplier abu dhabi' natural tareeke se likho.] Example: Cookychoice is a Dubai-based rice supplier for importers, exporters and bulk buyers. We supply [origins/grades] in [pack sizes] on [FOB/CIF] terms - request a quote today.</t>
        </is>
      </c>
      <c r="E198" s="4" t="inlineStr">
        <is>
          <t>H1 ke turant neeche paragraph mein primary keyword pehle 1-2 line mein aaye. Padhne mein natural lage, zabardasti nahi.</t>
        </is>
      </c>
      <c r="F198" s="4" t="inlineStr">
        <is>
          <t>To do</t>
        </is>
      </c>
    </row>
    <row r="199">
      <c r="A199" s="4" t="inlineStr">
        <is>
          <t>Emirate page: Abu Dhabi</t>
        </is>
      </c>
      <c r="B199" s="4" t="inlineStr">
        <is>
          <t>6. H2 headings (sections)</t>
        </is>
      </c>
      <c r="C199" s="4" t="inlineStr">
        <is>
          <t>basmati rice abu dhabi | rice wholesale abu dhabi | rice delivery abu dhabi</t>
        </is>
      </c>
      <c r="D199" s="4" t="inlineStr">
        <is>
          <t>Basmati Rice Abu Dhabi | Rice Wholesale Abu Dhabi | Rice Delivery Abu Dhabi</t>
        </is>
      </c>
      <c r="E199" s="4" t="inlineStr">
        <is>
          <t>Har secondary keyword ko ek H2 (Heading 2) bana do aur uske neeche 2-4 line likho. Volume aane ke baad Keyword Master mein Priority score ke hisaab se top 6 ko H2 banao.</t>
        </is>
      </c>
      <c r="F199" s="4" t="inlineStr">
        <is>
          <t>To do</t>
        </is>
      </c>
    </row>
    <row r="200">
      <c r="A200" s="4" t="inlineStr">
        <is>
          <t>Emirate page: Abu Dhabi</t>
        </is>
      </c>
      <c r="B200" s="4" t="inlineStr">
        <is>
          <t>7. H3 / body paragraphs / table rows</t>
        </is>
      </c>
      <c r="C200" s="4" t="inlineStr">
        <is>
          <t>buy rice online abu dhabi | sella basmati rice abu dhabi</t>
        </is>
      </c>
      <c r="D200" s="4" t="inlineStr">
        <is>
          <t>Body mein naturally 1-2 baar, ya table / list ke andar</t>
        </is>
      </c>
      <c r="E200" s="4" t="inlineStr">
        <is>
          <t>Baaki keywords ko H3, bullet, table ya paragraph mein naturally daalo. Ek keyword page pe zyada se zyada 2-3 baar. Same keyword baar-baar mat dohrao (stuffing).</t>
        </is>
      </c>
      <c r="F200" s="4" t="inlineStr">
        <is>
          <t>To do</t>
        </is>
      </c>
    </row>
    <row r="201">
      <c r="A201" s="4" t="inlineStr">
        <is>
          <t>Emirate page: Abu Dhabi</t>
        </is>
      </c>
      <c r="B201" s="4" t="inlineStr">
        <is>
          <t>8. FAQ section + FAQPage schema</t>
        </is>
      </c>
      <c r="C201" s="4" t="inlineStr">
        <is>
          <t>What is your minimum order quantity (MOQ)? | How do I get a price quote for rice supplier abu dhabi? | Which origins, grades and pack sizes do you supply?</t>
        </is>
      </c>
      <c r="D201" s="4" t="inlineStr">
        <is>
          <t>What is your minimum order quantity (MOQ)? | How do I get a price quote for rice supplier abu dhabi? | Which origins, grades and pack sizes do you supply? | Do you ship internationally? Which incoterms (FOB / CIF) do you offer? | Can I get a sample before placing a bulk order?</t>
        </is>
      </c>
      <c r="E201" s="4" t="inlineStr">
        <is>
          <t>Page ke neeche 5-8 FAQ. Yoast FAQ block ya RankMath FAQ block use karo - schema apne aap ban jaata hai. Jawab 40-60 shabd.</t>
        </is>
      </c>
      <c r="F201" s="4" t="inlineStr">
        <is>
          <t>To do</t>
        </is>
      </c>
    </row>
    <row r="202">
      <c r="A202" s="4" t="inlineStr">
        <is>
          <t>Emirate page: Abu Dhabi</t>
        </is>
      </c>
      <c r="B202" s="4" t="inlineStr">
        <is>
          <t>9. Image file name + alt text</t>
        </is>
      </c>
      <c r="C202" s="4" t="inlineStr">
        <is>
          <t>rice supplier abu dhabi</t>
        </is>
      </c>
      <c r="D202" s="4" t="inlineStr">
        <is>
          <t>File: rice-supplier-abu-dhabi-25kg-bag.webp | Alt: "Rice Supplier Abu Dhabi 25kg bag packing"</t>
        </is>
      </c>
      <c r="E202" s="4" t="inlineStr">
        <is>
          <t>Media Library mein image par click → 'Alt Text' bharo. Alt mein image jo dikha rahi hai wahi likho + keyword natural (har image mein nahi, sirf 1-2 mein). File name upload se pehle badlo.</t>
        </is>
      </c>
      <c r="F202" s="4" t="inlineStr">
        <is>
          <t>To do</t>
        </is>
      </c>
    </row>
    <row r="203">
      <c r="A203" s="4" t="inlineStr">
        <is>
          <t>Emirate page: Abu Dhabi</t>
        </is>
      </c>
      <c r="B203" s="4" t="inlineStr">
        <is>
          <t>10. Internal links - is page par aane wale links (anchor text)</t>
        </is>
      </c>
      <c r="C203" s="4" t="inlineStr">
        <is>
          <t>rice supplier abu dhabi | basmati rice abu dhabi | Cookychoice | get a quote</t>
        </is>
      </c>
      <c r="D203" s="4" t="inlineStr">
        <is>
          <t>Home page aur related pages se is page par link, anchor = ye words</t>
        </is>
      </c>
      <c r="E203" s="4" t="inlineStr">
        <is>
          <t>Dusre page mein relevant sentence select karo → Link button → is page ka URL. Anchor text har baar thoda alag rakho (exact + partial). 'click here' mat likho.</t>
        </is>
      </c>
      <c r="F203" s="4" t="inlineStr">
        <is>
          <t>To do</t>
        </is>
      </c>
    </row>
    <row r="204">
      <c r="A204" s="4" t="inlineStr">
        <is>
          <t>Emirate page: Abu Dhabi</t>
        </is>
      </c>
      <c r="B204" s="4" t="inlineStr">
        <is>
          <t>11. CTA button / Get Quote</t>
        </is>
      </c>
      <c r="C204" s="4" t="inlineStr">
        <is>
          <t>get a quote | request sample</t>
        </is>
      </c>
      <c r="D204" s="4" t="inlineStr">
        <is>
          <t>Button text: 'Get a Quote' / 'Request Price per Ton' / 'WhatsApp Us'</t>
        </is>
      </c>
      <c r="E204" s="4" t="inlineStr">
        <is>
          <t>Page ke upar (fold ke andar), beech mein aur neeche - teen jagah button. Button /get-quote/ page ya form pe jaye.</t>
        </is>
      </c>
      <c r="F204" s="4" t="inlineStr">
        <is>
          <t>To do</t>
        </is>
      </c>
    </row>
    <row r="205">
      <c r="A205" s="4" t="inlineStr">
        <is>
          <t>Emirate page: Abu Dhabi</t>
        </is>
      </c>
      <c r="B205" s="4" t="inlineStr">
        <is>
          <t>12. Schema (structured data)</t>
        </is>
      </c>
      <c r="C205" s="4" t="inlineStr">
        <is>
          <t>-</t>
        </is>
      </c>
      <c r="D205" s="4" t="inlineStr">
        <is>
          <t>Organization + BreadcrumbList + FAQPage + LocalBusiness</t>
        </is>
      </c>
      <c r="E205" s="4" t="inlineStr">
        <is>
          <t>Yoast/RankMath → Schema tab. Publish ke baad Google Rich Results Test mein URL daalke check karo ki error nahi hai.</t>
        </is>
      </c>
      <c r="F205" s="4" t="inlineStr">
        <is>
          <t>To do</t>
        </is>
      </c>
    </row>
    <row r="206">
      <c r="A206" s="4" t="inlineStr">
        <is>
          <t>Emirate page: Sharjah</t>
        </is>
      </c>
      <c r="B206" s="4" t="inlineStr">
        <is>
          <t>1. URL slug</t>
        </is>
      </c>
      <c r="C206" s="4" t="inlineStr">
        <is>
          <t>rice supplier sharjah</t>
        </is>
      </c>
      <c r="D206" s="4" t="inlineStr">
        <is>
          <t>cookychoice.com/rice-supplier-sharjah/</t>
        </is>
      </c>
      <c r="E206" s="4" t="inlineStr">
        <is>
          <t>Page edit karo → Yoast SEO / RankMath box → 'Slug' ya Permalink field mein sirf primary keyword (hyphen ke saath) likho. Chhota rakho, year ya number mat daalo. Slug badalne ke baad purana URL ho to 301 redirect lagao.</t>
        </is>
      </c>
      <c r="F206" s="4" t="inlineStr">
        <is>
          <t>To do</t>
        </is>
      </c>
    </row>
    <row r="207">
      <c r="A207" s="4" t="inlineStr">
        <is>
          <t>Emirate page: Sharjah</t>
        </is>
      </c>
      <c r="B207" s="4" t="inlineStr">
        <is>
          <t>2. SEO title (Google mein neela link)</t>
        </is>
      </c>
      <c r="C207" s="4" t="inlineStr">
        <is>
          <t>rice supplier sharjah</t>
        </is>
      </c>
      <c r="D207" s="4" t="inlineStr">
        <is>
          <t>Rice Supplier Sharjah | Bulk &amp; Wholesale</t>
        </is>
      </c>
      <c r="E207" s="4" t="inlineStr">
        <is>
          <t>Yoast SEO → 'SEO title' mein ye likho. Primary keyword sabse pehle, brand (Cookychoice) last. 60 characters se chhota (40 chars hai).</t>
        </is>
      </c>
      <c r="F207" s="4" t="inlineStr">
        <is>
          <t>To do</t>
        </is>
      </c>
    </row>
    <row r="208">
      <c r="A208" s="4" t="inlineStr">
        <is>
          <t>Emirate page: Sharjah</t>
        </is>
      </c>
      <c r="B208" s="4" t="inlineStr">
        <is>
          <t>3. Meta description</t>
        </is>
      </c>
      <c r="C208" s="4" t="inlineStr">
        <is>
          <t>rice supplier sharjah + sharjah rice wholesale dubai</t>
        </is>
      </c>
      <c r="D208" s="4" t="inlineStr">
        <is>
          <t>Rice Supplier Sharjah - Dubai-based bulk supplier. [Pack sizes / origins / MOQ yahan apni sachchi details daalein]. Get a quote in 24 hrs.</t>
        </is>
      </c>
      <c r="E208" s="4" t="inlineStr">
        <is>
          <t>Yoast → 'Meta description'. 140-155 characters. Primary keyword + ek offer + 'Get a quote' jaisa CTA. Apni sachchi details daalo, jhoot nahi.</t>
        </is>
      </c>
      <c r="F208" s="4" t="inlineStr">
        <is>
          <t>To do</t>
        </is>
      </c>
    </row>
    <row r="209">
      <c r="A209" s="4" t="inlineStr">
        <is>
          <t>Emirate page: Sharjah</t>
        </is>
      </c>
      <c r="B209" s="4" t="inlineStr">
        <is>
          <t>4. H1 (page ka mukhya heading)</t>
        </is>
      </c>
      <c r="C209" s="4" t="inlineStr">
        <is>
          <t>rice supplier sharjah</t>
        </is>
      </c>
      <c r="D209" s="4" t="inlineStr">
        <is>
          <t>Rice Supplier in Sharjah</t>
        </is>
      </c>
      <c r="E209" s="4" t="inlineStr">
        <is>
          <t>Page editor mein sabse upar ek hi H1 (Heading 1). Primary keyword (ya uska natural form) isme hona chahiye. Ek page = ek H1.</t>
        </is>
      </c>
      <c r="F209" s="4" t="inlineStr">
        <is>
          <t>To do</t>
        </is>
      </c>
    </row>
    <row r="210">
      <c r="A210" s="4" t="inlineStr">
        <is>
          <t>Emirate page: Sharjah</t>
        </is>
      </c>
      <c r="B210" s="4" t="inlineStr">
        <is>
          <t>5. Pehle 100 shabd (intro paragraph)</t>
        </is>
      </c>
      <c r="C210" s="4" t="inlineStr">
        <is>
          <t>rice supplier sharjah + sharjah rice wholesale dubai</t>
        </is>
      </c>
      <c r="D210" s="4" t="inlineStr">
        <is>
          <t>[Pehli 1-2 line mein 'rice supplier sharjah' natural tareeke se likho.] Example: Cookychoice is a Dubai-based rice supplier for importers, exporters and bulk buyers. We supply [origins/grades] in [pack sizes] on [FOB/CIF] terms - request a quote today.</t>
        </is>
      </c>
      <c r="E210" s="4" t="inlineStr">
        <is>
          <t>H1 ke turant neeche paragraph mein primary keyword pehle 1-2 line mein aaye. Padhne mein natural lage, zabardasti nahi.</t>
        </is>
      </c>
      <c r="F210" s="4" t="inlineStr">
        <is>
          <t>To do</t>
        </is>
      </c>
    </row>
    <row r="211">
      <c r="A211" s="4" t="inlineStr">
        <is>
          <t>Emirate page: Sharjah</t>
        </is>
      </c>
      <c r="B211" s="4" t="inlineStr">
        <is>
          <t>6. H2 headings (sections)</t>
        </is>
      </c>
      <c r="C211" s="4" t="inlineStr">
        <is>
          <t>sharjah rice wholesale dubai | sharjah rice supplier uae | rice wholesale sharjah | basmati rice sharjah | buy rice online sharjah | rice delivery sharjah</t>
        </is>
      </c>
      <c r="D211" s="4" t="inlineStr">
        <is>
          <t>Sharjah Rice Wholesale Dubai | Sharjah Rice Supplier Uae | Rice Wholesale Sharjah | Basmati Rice Sharjah | Buy Rice Online Sharjah | Rice Delivery Sharjah</t>
        </is>
      </c>
      <c r="E211" s="4" t="inlineStr">
        <is>
          <t>Har secondary keyword ko ek H2 (Heading 2) bana do aur uske neeche 2-4 line likho. Volume aane ke baad Keyword Master mein Priority score ke hisaab se top 6 ko H2 banao.</t>
        </is>
      </c>
      <c r="F211" s="4" t="inlineStr">
        <is>
          <t>To do</t>
        </is>
      </c>
    </row>
    <row r="212">
      <c r="A212" s="4" t="inlineStr">
        <is>
          <t>Emirate page: Sharjah</t>
        </is>
      </c>
      <c r="B212" s="4" t="inlineStr">
        <is>
          <t>7. H3 / body paragraphs / table rows</t>
        </is>
      </c>
      <c r="C212" s="4" t="inlineStr">
        <is>
          <t>sella basmati rice sharjah | rice wholesale al nahda sharjah | rice wholesale industrial area sharjah | rice wholesale al majaz sharjah | rice wholesale muwaileh sharjah</t>
        </is>
      </c>
      <c r="D212" s="4" t="inlineStr">
        <is>
          <t>Body mein naturally 1-2 baar, ya table / list ke andar</t>
        </is>
      </c>
      <c r="E212" s="4" t="inlineStr">
        <is>
          <t>Baaki keywords ko H3, bullet, table ya paragraph mein naturally daalo. Ek keyword page pe zyada se zyada 2-3 baar. Same keyword baar-baar mat dohrao (stuffing).</t>
        </is>
      </c>
      <c r="F212" s="4" t="inlineStr">
        <is>
          <t>To do</t>
        </is>
      </c>
    </row>
    <row r="213">
      <c r="A213" s="4" t="inlineStr">
        <is>
          <t>Emirate page: Sharjah</t>
        </is>
      </c>
      <c r="B213" s="4" t="inlineStr">
        <is>
          <t>8. FAQ section + FAQPage schema</t>
        </is>
      </c>
      <c r="C213" s="4" t="inlineStr">
        <is>
          <t>What is your minimum order quantity (MOQ)? | How do I get a price quote for rice supplier sharjah? | Which origins, grades and pack sizes do you supply?</t>
        </is>
      </c>
      <c r="D213" s="4" t="inlineStr">
        <is>
          <t>What is your minimum order quantity (MOQ)? | How do I get a price quote for rice supplier sharjah? | Which origins, grades and pack sizes do you supply? | Do you ship internationally? Which incoterms (FOB / CIF) do you offer? | Can I get a sample before placing a bulk order?</t>
        </is>
      </c>
      <c r="E213" s="4" t="inlineStr">
        <is>
          <t>Page ke neeche 5-8 FAQ. Yoast FAQ block ya RankMath FAQ block use karo - schema apne aap ban jaata hai. Jawab 40-60 shabd.</t>
        </is>
      </c>
      <c r="F213" s="4" t="inlineStr">
        <is>
          <t>To do</t>
        </is>
      </c>
    </row>
    <row r="214">
      <c r="A214" s="4" t="inlineStr">
        <is>
          <t>Emirate page: Sharjah</t>
        </is>
      </c>
      <c r="B214" s="4" t="inlineStr">
        <is>
          <t>9. Image file name + alt text</t>
        </is>
      </c>
      <c r="C214" s="4" t="inlineStr">
        <is>
          <t>rice supplier sharjah</t>
        </is>
      </c>
      <c r="D214" s="4" t="inlineStr">
        <is>
          <t>File: rice-supplier-sharjah-25kg-bag.webp | Alt: "Rice Supplier Sharjah 25kg bag packing"</t>
        </is>
      </c>
      <c r="E214" s="4" t="inlineStr">
        <is>
          <t>Media Library mein image par click → 'Alt Text' bharo. Alt mein image jo dikha rahi hai wahi likho + keyword natural (har image mein nahi, sirf 1-2 mein). File name upload se pehle badlo.</t>
        </is>
      </c>
      <c r="F214" s="4" t="inlineStr">
        <is>
          <t>To do</t>
        </is>
      </c>
    </row>
    <row r="215">
      <c r="A215" s="4" t="inlineStr">
        <is>
          <t>Emirate page: Sharjah</t>
        </is>
      </c>
      <c r="B215" s="4" t="inlineStr">
        <is>
          <t>10. Internal links - is page par aane wale links (anchor text)</t>
        </is>
      </c>
      <c r="C215" s="4" t="inlineStr">
        <is>
          <t>rice supplier sharjah | sharjah rice wholesale dubai | Cookychoice | get a quote</t>
        </is>
      </c>
      <c r="D215" s="4" t="inlineStr">
        <is>
          <t>Home page aur related pages se is page par link, anchor = ye words</t>
        </is>
      </c>
      <c r="E215" s="4" t="inlineStr">
        <is>
          <t>Dusre page mein relevant sentence select karo → Link button → is page ka URL. Anchor text har baar thoda alag rakho (exact + partial). 'click here' mat likho.</t>
        </is>
      </c>
      <c r="F215" s="4" t="inlineStr">
        <is>
          <t>To do</t>
        </is>
      </c>
    </row>
    <row r="216">
      <c r="A216" s="4" t="inlineStr">
        <is>
          <t>Emirate page: Sharjah</t>
        </is>
      </c>
      <c r="B216" s="4" t="inlineStr">
        <is>
          <t>11. CTA button / Get Quote</t>
        </is>
      </c>
      <c r="C216" s="4" t="inlineStr">
        <is>
          <t>get a quote | request sample</t>
        </is>
      </c>
      <c r="D216" s="4" t="inlineStr">
        <is>
          <t>Button text: 'Get a Quote' / 'Request Price per Ton' / 'WhatsApp Us'</t>
        </is>
      </c>
      <c r="E216" s="4" t="inlineStr">
        <is>
          <t>Page ke upar (fold ke andar), beech mein aur neeche - teen jagah button. Button /get-quote/ page ya form pe jaye.</t>
        </is>
      </c>
      <c r="F216" s="4" t="inlineStr">
        <is>
          <t>To do</t>
        </is>
      </c>
    </row>
    <row r="217">
      <c r="A217" s="4" t="inlineStr">
        <is>
          <t>Emirate page: Sharjah</t>
        </is>
      </c>
      <c r="B217" s="4" t="inlineStr">
        <is>
          <t>12. Schema (structured data)</t>
        </is>
      </c>
      <c r="C217" s="4" t="inlineStr">
        <is>
          <t>-</t>
        </is>
      </c>
      <c r="D217" s="4" t="inlineStr">
        <is>
          <t>Organization + BreadcrumbList + FAQPage + LocalBusiness</t>
        </is>
      </c>
      <c r="E217" s="4" t="inlineStr">
        <is>
          <t>Yoast/RankMath → Schema tab. Publish ke baad Google Rich Results Test mein URL daalke check karo ki error nahi hai.</t>
        </is>
      </c>
      <c r="F217" s="4" t="inlineStr">
        <is>
          <t>To do</t>
        </is>
      </c>
    </row>
    <row r="218">
      <c r="A218" s="4" t="inlineStr">
        <is>
          <t>Emirate page: Ajman</t>
        </is>
      </c>
      <c r="B218" s="4" t="inlineStr">
        <is>
          <t>1. URL slug</t>
        </is>
      </c>
      <c r="C218" s="4" t="inlineStr">
        <is>
          <t>rice supplier ajman</t>
        </is>
      </c>
      <c r="D218" s="4" t="inlineStr">
        <is>
          <t>cookychoice.com/rice-supplier-ajman/</t>
        </is>
      </c>
      <c r="E218" s="4" t="inlineStr">
        <is>
          <t>Page edit karo → Yoast SEO / RankMath box → 'Slug' ya Permalink field mein sirf primary keyword (hyphen ke saath) likho. Chhota rakho, year ya number mat daalo. Slug badalne ke baad purana URL ho to 301 redirect lagao.</t>
        </is>
      </c>
      <c r="F218" s="4" t="inlineStr">
        <is>
          <t>To do</t>
        </is>
      </c>
    </row>
    <row r="219">
      <c r="A219" s="4" t="inlineStr">
        <is>
          <t>Emirate page: Ajman</t>
        </is>
      </c>
      <c r="B219" s="4" t="inlineStr">
        <is>
          <t>2. SEO title (Google mein neela link)</t>
        </is>
      </c>
      <c r="C219" s="4" t="inlineStr">
        <is>
          <t>rice supplier ajman</t>
        </is>
      </c>
      <c r="D219" s="4" t="inlineStr">
        <is>
          <t>Rice Supplier Ajman | Bulk &amp; Wholesale</t>
        </is>
      </c>
      <c r="E219" s="4" t="inlineStr">
        <is>
          <t>Yoast SEO → 'SEO title' mein ye likho. Primary keyword sabse pehle, brand (Cookychoice) last. 60 characters se chhota (38 chars hai).</t>
        </is>
      </c>
      <c r="F219" s="4" t="inlineStr">
        <is>
          <t>To do</t>
        </is>
      </c>
    </row>
    <row r="220">
      <c r="A220" s="4" t="inlineStr">
        <is>
          <t>Emirate page: Ajman</t>
        </is>
      </c>
      <c r="B220" s="4" t="inlineStr">
        <is>
          <t>3. Meta description</t>
        </is>
      </c>
      <c r="C220" s="4" t="inlineStr">
        <is>
          <t>rice supplier ajman + rice suppliers in ajman</t>
        </is>
      </c>
      <c r="D220" s="4" t="inlineStr">
        <is>
          <t>Rice Supplier Ajman - Dubai-based bulk supplier. [Pack sizes / origins / MOQ yahan apni sachchi details daalein]. Get a quote in 24 hrs.</t>
        </is>
      </c>
      <c r="E220" s="4" t="inlineStr">
        <is>
          <t>Yoast → 'Meta description'. 140-155 characters. Primary keyword + ek offer + 'Get a quote' jaisa CTA. Apni sachchi details daalo, jhoot nahi.</t>
        </is>
      </c>
      <c r="F220" s="4" t="inlineStr">
        <is>
          <t>To do</t>
        </is>
      </c>
    </row>
    <row r="221">
      <c r="A221" s="4" t="inlineStr">
        <is>
          <t>Emirate page: Ajman</t>
        </is>
      </c>
      <c r="B221" s="4" t="inlineStr">
        <is>
          <t>4. H1 (page ka mukhya heading)</t>
        </is>
      </c>
      <c r="C221" s="4" t="inlineStr">
        <is>
          <t>rice supplier ajman</t>
        </is>
      </c>
      <c r="D221" s="4" t="inlineStr">
        <is>
          <t>Rice Supplier in Ajman</t>
        </is>
      </c>
      <c r="E221" s="4" t="inlineStr">
        <is>
          <t>Page editor mein sabse upar ek hi H1 (Heading 1). Primary keyword (ya uska natural form) isme hona chahiye. Ek page = ek H1.</t>
        </is>
      </c>
      <c r="F221" s="4" t="inlineStr">
        <is>
          <t>To do</t>
        </is>
      </c>
    </row>
    <row r="222">
      <c r="A222" s="4" t="inlineStr">
        <is>
          <t>Emirate page: Ajman</t>
        </is>
      </c>
      <c r="B222" s="4" t="inlineStr">
        <is>
          <t>5. Pehle 100 shabd (intro paragraph)</t>
        </is>
      </c>
      <c r="C222" s="4" t="inlineStr">
        <is>
          <t>rice supplier ajman + rice suppliers in ajman</t>
        </is>
      </c>
      <c r="D222" s="4" t="inlineStr">
        <is>
          <t>[Pehli 1-2 line mein 'rice supplier ajman' natural tareeke se likho.] Example: Cookychoice is a Dubai-based rice supplier for importers, exporters and bulk buyers. We supply [origins/grades] in [pack sizes] on [FOB/CIF] terms - request a quote today.</t>
        </is>
      </c>
      <c r="E222" s="4" t="inlineStr">
        <is>
          <t>H1 ke turant neeche paragraph mein primary keyword pehle 1-2 line mein aaye. Padhne mein natural lage, zabardasti nahi.</t>
        </is>
      </c>
      <c r="F222" s="4" t="inlineStr">
        <is>
          <t>To do</t>
        </is>
      </c>
    </row>
    <row r="223">
      <c r="A223" s="4" t="inlineStr">
        <is>
          <t>Emirate page: Ajman</t>
        </is>
      </c>
      <c r="B223" s="4" t="inlineStr">
        <is>
          <t>6. H2 headings (sections)</t>
        </is>
      </c>
      <c r="C223" s="4" t="inlineStr">
        <is>
          <t>rice suppliers in ajman | basmati rice ajman | rice wholesale ajman | buy rice online ajman | rice delivery ajman | sella basmati rice ajman</t>
        </is>
      </c>
      <c r="D223" s="4" t="inlineStr">
        <is>
          <t>Rice Suppliers in Ajman | Basmati Rice Ajman | Rice Wholesale Ajman | Buy Rice Online Ajman | Rice Delivery Ajman | Sella Basmati Rice Ajman</t>
        </is>
      </c>
      <c r="E223" s="4" t="inlineStr">
        <is>
          <t>Har secondary keyword ko ek H2 (Heading 2) bana do aur uske neeche 2-4 line likho. Volume aane ke baad Keyword Master mein Priority score ke hisaab se top 6 ko H2 banao.</t>
        </is>
      </c>
      <c r="F223" s="4" t="inlineStr">
        <is>
          <t>To do</t>
        </is>
      </c>
    </row>
    <row r="224">
      <c r="A224" s="4" t="inlineStr">
        <is>
          <t>Emirate page: Ajman</t>
        </is>
      </c>
      <c r="B224" s="4" t="inlineStr">
        <is>
          <t>7. H3 / body paragraphs / table rows</t>
        </is>
      </c>
      <c r="C224" s="4" t="inlineStr">
        <is>
          <t>-</t>
        </is>
      </c>
      <c r="D224" s="4" t="inlineStr">
        <is>
          <t>Body mein naturally 1-2 baar, ya table / list ke andar</t>
        </is>
      </c>
      <c r="E224" s="4" t="inlineStr">
        <is>
          <t>Baaki keywords ko H3, bullet, table ya paragraph mein naturally daalo. Ek keyword page pe zyada se zyada 2-3 baar. Same keyword baar-baar mat dohrao (stuffing).</t>
        </is>
      </c>
      <c r="F224" s="4" t="inlineStr">
        <is>
          <t>To do</t>
        </is>
      </c>
    </row>
    <row r="225">
      <c r="A225" s="4" t="inlineStr">
        <is>
          <t>Emirate page: Ajman</t>
        </is>
      </c>
      <c r="B225" s="4" t="inlineStr">
        <is>
          <t>8. FAQ section + FAQPage schema</t>
        </is>
      </c>
      <c r="C225" s="4" t="inlineStr">
        <is>
          <t>What is your minimum order quantity (MOQ)? | How do I get a price quote for rice supplier ajman? | Which origins, grades and pack sizes do you supply?</t>
        </is>
      </c>
      <c r="D225" s="4" t="inlineStr">
        <is>
          <t>What is your minimum order quantity (MOQ)? | How do I get a price quote for rice supplier ajman? | Which origins, grades and pack sizes do you supply? | Do you ship internationally? Which incoterms (FOB / CIF) do you offer? | Can I get a sample before placing a bulk order?</t>
        </is>
      </c>
      <c r="E225" s="4" t="inlineStr">
        <is>
          <t>Page ke neeche 5-8 FAQ. Yoast FAQ block ya RankMath FAQ block use karo - schema apne aap ban jaata hai. Jawab 40-60 shabd.</t>
        </is>
      </c>
      <c r="F225" s="4" t="inlineStr">
        <is>
          <t>To do</t>
        </is>
      </c>
    </row>
    <row r="226">
      <c r="A226" s="4" t="inlineStr">
        <is>
          <t>Emirate page: Ajman</t>
        </is>
      </c>
      <c r="B226" s="4" t="inlineStr">
        <is>
          <t>9. Image file name + alt text</t>
        </is>
      </c>
      <c r="C226" s="4" t="inlineStr">
        <is>
          <t>rice supplier ajman</t>
        </is>
      </c>
      <c r="D226" s="4" t="inlineStr">
        <is>
          <t>File: rice-supplier-ajman-25kg-bag.webp | Alt: "Rice Supplier Ajman 25kg bag packing"</t>
        </is>
      </c>
      <c r="E226" s="4" t="inlineStr">
        <is>
          <t>Media Library mein image par click → 'Alt Text' bharo. Alt mein image jo dikha rahi hai wahi likho + keyword natural (har image mein nahi, sirf 1-2 mein). File name upload se pehle badlo.</t>
        </is>
      </c>
      <c r="F226" s="4" t="inlineStr">
        <is>
          <t>To do</t>
        </is>
      </c>
    </row>
    <row r="227">
      <c r="A227" s="4" t="inlineStr">
        <is>
          <t>Emirate page: Ajman</t>
        </is>
      </c>
      <c r="B227" s="4" t="inlineStr">
        <is>
          <t>10. Internal links - is page par aane wale links (anchor text)</t>
        </is>
      </c>
      <c r="C227" s="4" t="inlineStr">
        <is>
          <t>rice supplier ajman | rice suppliers in ajman | Cookychoice | get a quote</t>
        </is>
      </c>
      <c r="D227" s="4" t="inlineStr">
        <is>
          <t>Home page aur related pages se is page par link, anchor = ye words</t>
        </is>
      </c>
      <c r="E227" s="4" t="inlineStr">
        <is>
          <t>Dusre page mein relevant sentence select karo → Link button → is page ka URL. Anchor text har baar thoda alag rakho (exact + partial). 'click here' mat likho.</t>
        </is>
      </c>
      <c r="F227" s="4" t="inlineStr">
        <is>
          <t>To do</t>
        </is>
      </c>
    </row>
    <row r="228">
      <c r="A228" s="4" t="inlineStr">
        <is>
          <t>Emirate page: Ajman</t>
        </is>
      </c>
      <c r="B228" s="4" t="inlineStr">
        <is>
          <t>11. CTA button / Get Quote</t>
        </is>
      </c>
      <c r="C228" s="4" t="inlineStr">
        <is>
          <t>get a quote | request sample</t>
        </is>
      </c>
      <c r="D228" s="4" t="inlineStr">
        <is>
          <t>Button text: 'Get a Quote' / 'Request Price per Ton' / 'WhatsApp Us'</t>
        </is>
      </c>
      <c r="E228" s="4" t="inlineStr">
        <is>
          <t>Page ke upar (fold ke andar), beech mein aur neeche - teen jagah button. Button /get-quote/ page ya form pe jaye.</t>
        </is>
      </c>
      <c r="F228" s="4" t="inlineStr">
        <is>
          <t>To do</t>
        </is>
      </c>
    </row>
    <row r="229">
      <c r="A229" s="4" t="inlineStr">
        <is>
          <t>Emirate page: Ajman</t>
        </is>
      </c>
      <c r="B229" s="4" t="inlineStr">
        <is>
          <t>12. Schema (structured data)</t>
        </is>
      </c>
      <c r="C229" s="4" t="inlineStr">
        <is>
          <t>-</t>
        </is>
      </c>
      <c r="D229" s="4" t="inlineStr">
        <is>
          <t>Organization + BreadcrumbList + FAQPage + LocalBusiness</t>
        </is>
      </c>
      <c r="E229" s="4" t="inlineStr">
        <is>
          <t>Yoast/RankMath → Schema tab. Publish ke baad Google Rich Results Test mein URL daalke check karo ki error nahi hai.</t>
        </is>
      </c>
      <c r="F229" s="4" t="inlineStr">
        <is>
          <t>To do</t>
        </is>
      </c>
    </row>
    <row r="230">
      <c r="A230" s="4" t="inlineStr">
        <is>
          <t>Emirate page: Ras Al Khaimah</t>
        </is>
      </c>
      <c r="B230" s="4" t="inlineStr">
        <is>
          <t>1. URL slug</t>
        </is>
      </c>
      <c r="C230" s="4" t="inlineStr">
        <is>
          <t>rice supplier ras al khaimah</t>
        </is>
      </c>
      <c r="D230" s="4" t="inlineStr">
        <is>
          <t>cookychoice.com/rice-supplier-ras-al-khaimah/</t>
        </is>
      </c>
      <c r="E230" s="4" t="inlineStr">
        <is>
          <t>Page edit karo → Yoast SEO / RankMath box → 'Slug' ya Permalink field mein sirf primary keyword (hyphen ke saath) likho. Chhota rakho, year ya number mat daalo. Slug badalne ke baad purana URL ho to 301 redirect lagao.</t>
        </is>
      </c>
      <c r="F230" s="4" t="inlineStr">
        <is>
          <t>To do</t>
        </is>
      </c>
    </row>
    <row r="231">
      <c r="A231" s="4" t="inlineStr">
        <is>
          <t>Emirate page: Ras Al Khaimah</t>
        </is>
      </c>
      <c r="B231" s="4" t="inlineStr">
        <is>
          <t>2. SEO title (Google mein neela link)</t>
        </is>
      </c>
      <c r="C231" s="4" t="inlineStr">
        <is>
          <t>rice supplier ras al khaimah</t>
        </is>
      </c>
      <c r="D231" s="4" t="inlineStr">
        <is>
          <t>Rice Supplier Ras Al Khaimah | Bulk</t>
        </is>
      </c>
      <c r="E231" s="4" t="inlineStr">
        <is>
          <t>Yoast SEO → 'SEO title' mein ye likho. Primary keyword sabse pehle, brand (Cookychoice) last. 60 characters se chhota (35 chars hai).</t>
        </is>
      </c>
      <c r="F231" s="4" t="inlineStr">
        <is>
          <t>To do</t>
        </is>
      </c>
    </row>
    <row r="232">
      <c r="A232" s="4" t="inlineStr">
        <is>
          <t>Emirate page: Ras Al Khaimah</t>
        </is>
      </c>
      <c r="B232" s="4" t="inlineStr">
        <is>
          <t>3. Meta description</t>
        </is>
      </c>
      <c r="C232" s="4" t="inlineStr">
        <is>
          <t>rice supplier ras al khaimah + basmati rice ras al khaimah</t>
        </is>
      </c>
      <c r="D232" s="4" t="inlineStr">
        <is>
          <t>Rice Supplier Ras Al Khaimah - Dubai-based bulk supplier. [Pack sizes / origins / MOQ yahan apni sachchi details daalein]. Get a quote in 24 hrs.</t>
        </is>
      </c>
      <c r="E232" s="4" t="inlineStr">
        <is>
          <t>Yoast → 'Meta description'. 140-155 characters. Primary keyword + ek offer + 'Get a quote' jaisa CTA. Apni sachchi details daalo, jhoot nahi.</t>
        </is>
      </c>
      <c r="F232" s="4" t="inlineStr">
        <is>
          <t>To do</t>
        </is>
      </c>
    </row>
    <row r="233">
      <c r="A233" s="4" t="inlineStr">
        <is>
          <t>Emirate page: Ras Al Khaimah</t>
        </is>
      </c>
      <c r="B233" s="4" t="inlineStr">
        <is>
          <t>4. H1 (page ka mukhya heading)</t>
        </is>
      </c>
      <c r="C233" s="4" t="inlineStr">
        <is>
          <t>rice supplier ras al khaimah</t>
        </is>
      </c>
      <c r="D233" s="4" t="inlineStr">
        <is>
          <t>Rice Supplier in Ras Al Khaimah</t>
        </is>
      </c>
      <c r="E233" s="4" t="inlineStr">
        <is>
          <t>Page editor mein sabse upar ek hi H1 (Heading 1). Primary keyword (ya uska natural form) isme hona chahiye. Ek page = ek H1.</t>
        </is>
      </c>
      <c r="F233" s="4" t="inlineStr">
        <is>
          <t>To do</t>
        </is>
      </c>
    </row>
    <row r="234">
      <c r="A234" s="4" t="inlineStr">
        <is>
          <t>Emirate page: Ras Al Khaimah</t>
        </is>
      </c>
      <c r="B234" s="4" t="inlineStr">
        <is>
          <t>5. Pehle 100 shabd (intro paragraph)</t>
        </is>
      </c>
      <c r="C234" s="4" t="inlineStr">
        <is>
          <t>rice supplier ras al khaimah + basmati rice ras al khaimah</t>
        </is>
      </c>
      <c r="D234" s="4" t="inlineStr">
        <is>
          <t>[Pehli 1-2 line mein 'rice supplier ras al khaimah' natural tareeke se likho.] Example: Cookychoice is a Dubai-based rice supplier for importers, exporters and bulk buyers. We supply [origins/grades] in [pack sizes] on [FOB/CIF] terms - request a quote today.</t>
        </is>
      </c>
      <c r="E234" s="4" t="inlineStr">
        <is>
          <t>H1 ke turant neeche paragraph mein primary keyword pehle 1-2 line mein aaye. Padhne mein natural lage, zabardasti nahi.</t>
        </is>
      </c>
      <c r="F234" s="4" t="inlineStr">
        <is>
          <t>To do</t>
        </is>
      </c>
    </row>
    <row r="235">
      <c r="A235" s="4" t="inlineStr">
        <is>
          <t>Emirate page: Ras Al Khaimah</t>
        </is>
      </c>
      <c r="B235" s="4" t="inlineStr">
        <is>
          <t>6. H2 headings (sections)</t>
        </is>
      </c>
      <c r="C235" s="4" t="inlineStr">
        <is>
          <t>(is page pe koi secondary nahi - primary ka variation use karo)</t>
        </is>
      </c>
      <c r="D235" s="4" t="inlineStr">
        <is>
          <t>-</t>
        </is>
      </c>
      <c r="E235" s="4" t="inlineStr">
        <is>
          <t>Har secondary keyword ko ek H2 (Heading 2) bana do aur uske neeche 2-4 line likho. Volume aane ke baad Keyword Master mein Priority score ke hisaab se top 6 ko H2 banao.</t>
        </is>
      </c>
      <c r="F235" s="4" t="inlineStr">
        <is>
          <t>To do</t>
        </is>
      </c>
    </row>
    <row r="236">
      <c r="A236" s="4" t="inlineStr">
        <is>
          <t>Emirate page: Ras Al Khaimah</t>
        </is>
      </c>
      <c r="B236" s="4" t="inlineStr">
        <is>
          <t>7. H3 / body paragraphs / table rows</t>
        </is>
      </c>
      <c r="C236" s="4" t="inlineStr">
        <is>
          <t>basmati rice ras al khaimah | rice wholesale ras al khaimah | buy rice online ras al khaimah | rice delivery ras al khaimah | sella basmati rice ras al khaimah</t>
        </is>
      </c>
      <c r="D236" s="4" t="inlineStr">
        <is>
          <t>Body mein naturally 1-2 baar, ya table / list ke andar</t>
        </is>
      </c>
      <c r="E236" s="4" t="inlineStr">
        <is>
          <t>Baaki keywords ko H3, bullet, table ya paragraph mein naturally daalo. Ek keyword page pe zyada se zyada 2-3 baar. Same keyword baar-baar mat dohrao (stuffing).</t>
        </is>
      </c>
      <c r="F236" s="4" t="inlineStr">
        <is>
          <t>To do</t>
        </is>
      </c>
    </row>
    <row r="237">
      <c r="A237" s="4" t="inlineStr">
        <is>
          <t>Emirate page: Ras Al Khaimah</t>
        </is>
      </c>
      <c r="B237" s="4" t="inlineStr">
        <is>
          <t>8. FAQ section + FAQPage schema</t>
        </is>
      </c>
      <c r="C237" s="4" t="inlineStr">
        <is>
          <t>What is your minimum order quantity (MOQ)? | How do I get a price quote for rice supplier ras al khaimah? | Which origins, grades and pack sizes do you supply?</t>
        </is>
      </c>
      <c r="D237" s="4" t="inlineStr">
        <is>
          <t>What is your minimum order quantity (MOQ)? | How do I get a price quote for rice supplier ras al khaimah? | Which origins, grades and pack sizes do you supply? | Do you ship internationally? Which incoterms (FOB / CIF) do you offer? | Can I get a sample before placing a bulk order?</t>
        </is>
      </c>
      <c r="E237" s="4" t="inlineStr">
        <is>
          <t>Page ke neeche 5-8 FAQ. Yoast FAQ block ya RankMath FAQ block use karo - schema apne aap ban jaata hai. Jawab 40-60 shabd.</t>
        </is>
      </c>
      <c r="F237" s="4" t="inlineStr">
        <is>
          <t>To do</t>
        </is>
      </c>
    </row>
    <row r="238">
      <c r="A238" s="4" t="inlineStr">
        <is>
          <t>Emirate page: Ras Al Khaimah</t>
        </is>
      </c>
      <c r="B238" s="4" t="inlineStr">
        <is>
          <t>9. Image file name + alt text</t>
        </is>
      </c>
      <c r="C238" s="4" t="inlineStr">
        <is>
          <t>rice supplier ras al khaimah</t>
        </is>
      </c>
      <c r="D238" s="4" t="inlineStr">
        <is>
          <t>File: rice-supplier-ras-al-khaimah-25kg-bag.webp | Alt: "Rice Supplier Ras Al Khaimah 25kg bag packing"</t>
        </is>
      </c>
      <c r="E238" s="4" t="inlineStr">
        <is>
          <t>Media Library mein image par click → 'Alt Text' bharo. Alt mein image jo dikha rahi hai wahi likho + keyword natural (har image mein nahi, sirf 1-2 mein). File name upload se pehle badlo.</t>
        </is>
      </c>
      <c r="F238" s="4" t="inlineStr">
        <is>
          <t>To do</t>
        </is>
      </c>
    </row>
    <row r="239">
      <c r="A239" s="4" t="inlineStr">
        <is>
          <t>Emirate page: Ras Al Khaimah</t>
        </is>
      </c>
      <c r="B239" s="4" t="inlineStr">
        <is>
          <t>10. Internal links - is page par aane wale links (anchor text)</t>
        </is>
      </c>
      <c r="C239" s="4" t="inlineStr">
        <is>
          <t>rice supplier ras al khaimah | basmati rice ras al khaimah | Cookychoice | get a quote</t>
        </is>
      </c>
      <c r="D239" s="4" t="inlineStr">
        <is>
          <t>Home page aur related pages se is page par link, anchor = ye words</t>
        </is>
      </c>
      <c r="E239" s="4" t="inlineStr">
        <is>
          <t>Dusre page mein relevant sentence select karo → Link button → is page ka URL. Anchor text har baar thoda alag rakho (exact + partial). 'click here' mat likho.</t>
        </is>
      </c>
      <c r="F239" s="4" t="inlineStr">
        <is>
          <t>To do</t>
        </is>
      </c>
    </row>
    <row r="240">
      <c r="A240" s="4" t="inlineStr">
        <is>
          <t>Emirate page: Ras Al Khaimah</t>
        </is>
      </c>
      <c r="B240" s="4" t="inlineStr">
        <is>
          <t>11. CTA button / Get Quote</t>
        </is>
      </c>
      <c r="C240" s="4" t="inlineStr">
        <is>
          <t>get a quote | request sample</t>
        </is>
      </c>
      <c r="D240" s="4" t="inlineStr">
        <is>
          <t>Button text: 'Get a Quote' / 'Request Price per Ton' / 'WhatsApp Us'</t>
        </is>
      </c>
      <c r="E240" s="4" t="inlineStr">
        <is>
          <t>Page ke upar (fold ke andar), beech mein aur neeche - teen jagah button. Button /get-quote/ page ya form pe jaye.</t>
        </is>
      </c>
      <c r="F240" s="4" t="inlineStr">
        <is>
          <t>To do</t>
        </is>
      </c>
    </row>
    <row r="241">
      <c r="A241" s="4" t="inlineStr">
        <is>
          <t>Emirate page: Ras Al Khaimah</t>
        </is>
      </c>
      <c r="B241" s="4" t="inlineStr">
        <is>
          <t>12. Schema (structured data)</t>
        </is>
      </c>
      <c r="C241" s="4" t="inlineStr">
        <is>
          <t>-</t>
        </is>
      </c>
      <c r="D241" s="4" t="inlineStr">
        <is>
          <t>Organization + BreadcrumbList + FAQPage + LocalBusiness</t>
        </is>
      </c>
      <c r="E241" s="4" t="inlineStr">
        <is>
          <t>Yoast/RankMath → Schema tab. Publish ke baad Google Rich Results Test mein URL daalke check karo ki error nahi hai.</t>
        </is>
      </c>
      <c r="F241" s="4" t="inlineStr">
        <is>
          <t>To do</t>
        </is>
      </c>
    </row>
    <row r="242">
      <c r="A242" s="4" t="inlineStr">
        <is>
          <t>Emirate page: Fujairah</t>
        </is>
      </c>
      <c r="B242" s="4" t="inlineStr">
        <is>
          <t>1. URL slug</t>
        </is>
      </c>
      <c r="C242" s="4" t="inlineStr">
        <is>
          <t>rice supplier fujairah</t>
        </is>
      </c>
      <c r="D242" s="4" t="inlineStr">
        <is>
          <t>cookychoice.com/rice-supplier-fujairah/</t>
        </is>
      </c>
      <c r="E242" s="4" t="inlineStr">
        <is>
          <t>Page edit karo → Yoast SEO / RankMath box → 'Slug' ya Permalink field mein sirf primary keyword (hyphen ke saath) likho. Chhota rakho, year ya number mat daalo. Slug badalne ke baad purana URL ho to 301 redirect lagao.</t>
        </is>
      </c>
      <c r="F242" s="4" t="inlineStr">
        <is>
          <t>To do</t>
        </is>
      </c>
    </row>
    <row r="243">
      <c r="A243" s="4" t="inlineStr">
        <is>
          <t>Emirate page: Fujairah</t>
        </is>
      </c>
      <c r="B243" s="4" t="inlineStr">
        <is>
          <t>2. SEO title (Google mein neela link)</t>
        </is>
      </c>
      <c r="C243" s="4" t="inlineStr">
        <is>
          <t>rice supplier fujairah</t>
        </is>
      </c>
      <c r="D243" s="4" t="inlineStr">
        <is>
          <t>Rice Supplier Fujairah | Bulk &amp; Wholesale</t>
        </is>
      </c>
      <c r="E243" s="4" t="inlineStr">
        <is>
          <t>Yoast SEO → 'SEO title' mein ye likho. Primary keyword sabse pehle, brand (Cookychoice) last. 60 characters se chhota (41 chars hai).</t>
        </is>
      </c>
      <c r="F243" s="4" t="inlineStr">
        <is>
          <t>To do</t>
        </is>
      </c>
    </row>
    <row r="244">
      <c r="A244" s="4" t="inlineStr">
        <is>
          <t>Emirate page: Fujairah</t>
        </is>
      </c>
      <c r="B244" s="4" t="inlineStr">
        <is>
          <t>3. Meta description</t>
        </is>
      </c>
      <c r="C244" s="4" t="inlineStr">
        <is>
          <t>rice supplier fujairah + basmati rice fujairah</t>
        </is>
      </c>
      <c r="D244" s="4" t="inlineStr">
        <is>
          <t>Rice Supplier Fujairah - Dubai-based bulk supplier. [Pack sizes / origins / MOQ yahan apni sachchi details daalein]. Get a quote in 24 hrs.</t>
        </is>
      </c>
      <c r="E244" s="4" t="inlineStr">
        <is>
          <t>Yoast → 'Meta description'. 140-155 characters. Primary keyword + ek offer + 'Get a quote' jaisa CTA. Apni sachchi details daalo, jhoot nahi.</t>
        </is>
      </c>
      <c r="F244" s="4" t="inlineStr">
        <is>
          <t>To do</t>
        </is>
      </c>
    </row>
    <row r="245">
      <c r="A245" s="4" t="inlineStr">
        <is>
          <t>Emirate page: Fujairah</t>
        </is>
      </c>
      <c r="B245" s="4" t="inlineStr">
        <is>
          <t>4. H1 (page ka mukhya heading)</t>
        </is>
      </c>
      <c r="C245" s="4" t="inlineStr">
        <is>
          <t>rice supplier fujairah</t>
        </is>
      </c>
      <c r="D245" s="4" t="inlineStr">
        <is>
          <t>Rice Supplier in Fujairah</t>
        </is>
      </c>
      <c r="E245" s="4" t="inlineStr">
        <is>
          <t>Page editor mein sabse upar ek hi H1 (Heading 1). Primary keyword (ya uska natural form) isme hona chahiye. Ek page = ek H1.</t>
        </is>
      </c>
      <c r="F245" s="4" t="inlineStr">
        <is>
          <t>To do</t>
        </is>
      </c>
    </row>
    <row r="246">
      <c r="A246" s="4" t="inlineStr">
        <is>
          <t>Emirate page: Fujairah</t>
        </is>
      </c>
      <c r="B246" s="4" t="inlineStr">
        <is>
          <t>5. Pehle 100 shabd (intro paragraph)</t>
        </is>
      </c>
      <c r="C246" s="4" t="inlineStr">
        <is>
          <t>rice supplier fujairah + basmati rice fujairah</t>
        </is>
      </c>
      <c r="D246" s="4" t="inlineStr">
        <is>
          <t>[Pehli 1-2 line mein 'rice supplier fujairah' natural tareeke se likho.] Example: Cookychoice is a Dubai-based rice supplier for importers, exporters and bulk buyers. We supply [origins/grades] in [pack sizes] on [FOB/CIF] terms - request a quote today.</t>
        </is>
      </c>
      <c r="E246" s="4" t="inlineStr">
        <is>
          <t>H1 ke turant neeche paragraph mein primary keyword pehle 1-2 line mein aaye. Padhne mein natural lage, zabardasti nahi.</t>
        </is>
      </c>
      <c r="F246" s="4" t="inlineStr">
        <is>
          <t>To do</t>
        </is>
      </c>
    </row>
    <row r="247">
      <c r="A247" s="4" t="inlineStr">
        <is>
          <t>Emirate page: Fujairah</t>
        </is>
      </c>
      <c r="B247" s="4" t="inlineStr">
        <is>
          <t>6. H2 headings (sections)</t>
        </is>
      </c>
      <c r="C247" s="4" t="inlineStr">
        <is>
          <t>basmati rice fujairah | rice wholesale fujairah | buy rice online fujairah | rice delivery fujairah | sella basmati rice fujairah</t>
        </is>
      </c>
      <c r="D247" s="4" t="inlineStr">
        <is>
          <t>Basmati Rice Fujairah | Rice Wholesale Fujairah | Buy Rice Online Fujairah | Rice Delivery Fujairah | Sella Basmati Rice Fujairah</t>
        </is>
      </c>
      <c r="E247" s="4" t="inlineStr">
        <is>
          <t>Har secondary keyword ko ek H2 (Heading 2) bana do aur uske neeche 2-4 line likho. Volume aane ke baad Keyword Master mein Priority score ke hisaab se top 6 ko H2 banao.</t>
        </is>
      </c>
      <c r="F247" s="4" t="inlineStr">
        <is>
          <t>To do</t>
        </is>
      </c>
    </row>
    <row r="248">
      <c r="A248" s="4" t="inlineStr">
        <is>
          <t>Emirate page: Fujairah</t>
        </is>
      </c>
      <c r="B248" s="4" t="inlineStr">
        <is>
          <t>7. H3 / body paragraphs / table rows</t>
        </is>
      </c>
      <c r="C248" s="4" t="inlineStr">
        <is>
          <t>-</t>
        </is>
      </c>
      <c r="D248" s="4" t="inlineStr">
        <is>
          <t>Body mein naturally 1-2 baar, ya table / list ke andar</t>
        </is>
      </c>
      <c r="E248" s="4" t="inlineStr">
        <is>
          <t>Baaki keywords ko H3, bullet, table ya paragraph mein naturally daalo. Ek keyword page pe zyada se zyada 2-3 baar. Same keyword baar-baar mat dohrao (stuffing).</t>
        </is>
      </c>
      <c r="F248" s="4" t="inlineStr">
        <is>
          <t>To do</t>
        </is>
      </c>
    </row>
    <row r="249">
      <c r="A249" s="4" t="inlineStr">
        <is>
          <t>Emirate page: Fujairah</t>
        </is>
      </c>
      <c r="B249" s="4" t="inlineStr">
        <is>
          <t>8. FAQ section + FAQPage schema</t>
        </is>
      </c>
      <c r="C249" s="4" t="inlineStr">
        <is>
          <t>What is your minimum order quantity (MOQ)? | How do I get a price quote for rice supplier fujairah? | Which origins, grades and pack sizes do you supply?</t>
        </is>
      </c>
      <c r="D249" s="4" t="inlineStr">
        <is>
          <t>What is your minimum order quantity (MOQ)? | How do I get a price quote for rice supplier fujairah? | Which origins, grades and pack sizes do you supply? | Do you ship internationally? Which incoterms (FOB / CIF) do you offer? | Can I get a sample before placing a bulk order?</t>
        </is>
      </c>
      <c r="E249" s="4" t="inlineStr">
        <is>
          <t>Page ke neeche 5-8 FAQ. Yoast FAQ block ya RankMath FAQ block use karo - schema apne aap ban jaata hai. Jawab 40-60 shabd.</t>
        </is>
      </c>
      <c r="F249" s="4" t="inlineStr">
        <is>
          <t>To do</t>
        </is>
      </c>
    </row>
    <row r="250">
      <c r="A250" s="4" t="inlineStr">
        <is>
          <t>Emirate page: Fujairah</t>
        </is>
      </c>
      <c r="B250" s="4" t="inlineStr">
        <is>
          <t>9. Image file name + alt text</t>
        </is>
      </c>
      <c r="C250" s="4" t="inlineStr">
        <is>
          <t>rice supplier fujairah</t>
        </is>
      </c>
      <c r="D250" s="4" t="inlineStr">
        <is>
          <t>File: rice-supplier-fujairah-25kg-bag.webp | Alt: "Rice Supplier Fujairah 25kg bag packing"</t>
        </is>
      </c>
      <c r="E250" s="4" t="inlineStr">
        <is>
          <t>Media Library mein image par click → 'Alt Text' bharo. Alt mein image jo dikha rahi hai wahi likho + keyword natural (har image mein nahi, sirf 1-2 mein). File name upload se pehle badlo.</t>
        </is>
      </c>
      <c r="F250" s="4" t="inlineStr">
        <is>
          <t>To do</t>
        </is>
      </c>
    </row>
    <row r="251">
      <c r="A251" s="4" t="inlineStr">
        <is>
          <t>Emirate page: Fujairah</t>
        </is>
      </c>
      <c r="B251" s="4" t="inlineStr">
        <is>
          <t>10. Internal links - is page par aane wale links (anchor text)</t>
        </is>
      </c>
      <c r="C251" s="4" t="inlineStr">
        <is>
          <t>rice supplier fujairah | basmati rice fujairah | Cookychoice | get a quote</t>
        </is>
      </c>
      <c r="D251" s="4" t="inlineStr">
        <is>
          <t>Home page aur related pages se is page par link, anchor = ye words</t>
        </is>
      </c>
      <c r="E251" s="4" t="inlineStr">
        <is>
          <t>Dusre page mein relevant sentence select karo → Link button → is page ka URL. Anchor text har baar thoda alag rakho (exact + partial). 'click here' mat likho.</t>
        </is>
      </c>
      <c r="F251" s="4" t="inlineStr">
        <is>
          <t>To do</t>
        </is>
      </c>
    </row>
    <row r="252">
      <c r="A252" s="4" t="inlineStr">
        <is>
          <t>Emirate page: Fujairah</t>
        </is>
      </c>
      <c r="B252" s="4" t="inlineStr">
        <is>
          <t>11. CTA button / Get Quote</t>
        </is>
      </c>
      <c r="C252" s="4" t="inlineStr">
        <is>
          <t>get a quote | request sample</t>
        </is>
      </c>
      <c r="D252" s="4" t="inlineStr">
        <is>
          <t>Button text: 'Get a Quote' / 'Request Price per Ton' / 'WhatsApp Us'</t>
        </is>
      </c>
      <c r="E252" s="4" t="inlineStr">
        <is>
          <t>Page ke upar (fold ke andar), beech mein aur neeche - teen jagah button. Button /get-quote/ page ya form pe jaye.</t>
        </is>
      </c>
      <c r="F252" s="4" t="inlineStr">
        <is>
          <t>To do</t>
        </is>
      </c>
    </row>
    <row r="253">
      <c r="A253" s="4" t="inlineStr">
        <is>
          <t>Emirate page: Fujairah</t>
        </is>
      </c>
      <c r="B253" s="4" t="inlineStr">
        <is>
          <t>12. Schema (structured data)</t>
        </is>
      </c>
      <c r="C253" s="4" t="inlineStr">
        <is>
          <t>-</t>
        </is>
      </c>
      <c r="D253" s="4" t="inlineStr">
        <is>
          <t>Organization + BreadcrumbList + FAQPage + LocalBusiness</t>
        </is>
      </c>
      <c r="E253" s="4" t="inlineStr">
        <is>
          <t>Yoast/RankMath → Schema tab. Publish ke baad Google Rich Results Test mein URL daalke check karo ki error nahi hai.</t>
        </is>
      </c>
      <c r="F253" s="4" t="inlineStr">
        <is>
          <t>To do</t>
        </is>
      </c>
    </row>
    <row r="254">
      <c r="A254" s="4" t="inlineStr">
        <is>
          <t>Emirate page: Umm Al Quwain</t>
        </is>
      </c>
      <c r="B254" s="4" t="inlineStr">
        <is>
          <t>1. URL slug</t>
        </is>
      </c>
      <c r="C254" s="4" t="inlineStr">
        <is>
          <t>rice supplier umm al quwain</t>
        </is>
      </c>
      <c r="D254" s="4" t="inlineStr">
        <is>
          <t>cookychoice.com/rice-supplier-umm-al-quwain/</t>
        </is>
      </c>
      <c r="E254" s="4" t="inlineStr">
        <is>
          <t>Page edit karo → Yoast SEO / RankMath box → 'Slug' ya Permalink field mein sirf primary keyword (hyphen ke saath) likho. Chhota rakho, year ya number mat daalo. Slug badalne ke baad purana URL ho to 301 redirect lagao.</t>
        </is>
      </c>
      <c r="F254" s="4" t="inlineStr">
        <is>
          <t>To do</t>
        </is>
      </c>
    </row>
    <row r="255">
      <c r="A255" s="4" t="inlineStr">
        <is>
          <t>Emirate page: Umm Al Quwain</t>
        </is>
      </c>
      <c r="B255" s="4" t="inlineStr">
        <is>
          <t>2. SEO title (Google mein neela link)</t>
        </is>
      </c>
      <c r="C255" s="4" t="inlineStr">
        <is>
          <t>rice supplier umm al quwain</t>
        </is>
      </c>
      <c r="D255" s="4" t="inlineStr">
        <is>
          <t>Rice Supplier Umm Al Quwain | Bulk</t>
        </is>
      </c>
      <c r="E255" s="4" t="inlineStr">
        <is>
          <t>Yoast SEO → 'SEO title' mein ye likho. Primary keyword sabse pehle, brand (Cookychoice) last. 60 characters se chhota (34 chars hai).</t>
        </is>
      </c>
      <c r="F255" s="4" t="inlineStr">
        <is>
          <t>To do</t>
        </is>
      </c>
    </row>
    <row r="256">
      <c r="A256" s="4" t="inlineStr">
        <is>
          <t>Emirate page: Umm Al Quwain</t>
        </is>
      </c>
      <c r="B256" s="4" t="inlineStr">
        <is>
          <t>3. Meta description</t>
        </is>
      </c>
      <c r="C256" s="4" t="inlineStr">
        <is>
          <t>rice supplier umm al quwain + basmati rice umm al quwain</t>
        </is>
      </c>
      <c r="D256" s="4" t="inlineStr">
        <is>
          <t>Rice Supplier Umm Al Quwain - Dubai-based bulk supplier. [Pack sizes / origins / MOQ yahan apni sachchi details daalein]. Get a quote in 24 hrs.</t>
        </is>
      </c>
      <c r="E256" s="4" t="inlineStr">
        <is>
          <t>Yoast → 'Meta description'. 140-155 characters. Primary keyword + ek offer + 'Get a quote' jaisa CTA. Apni sachchi details daalo, jhoot nahi.</t>
        </is>
      </c>
      <c r="F256" s="4" t="inlineStr">
        <is>
          <t>To do</t>
        </is>
      </c>
    </row>
    <row r="257">
      <c r="A257" s="4" t="inlineStr">
        <is>
          <t>Emirate page: Umm Al Quwain</t>
        </is>
      </c>
      <c r="B257" s="4" t="inlineStr">
        <is>
          <t>4. H1 (page ka mukhya heading)</t>
        </is>
      </c>
      <c r="C257" s="4" t="inlineStr">
        <is>
          <t>rice supplier umm al quwain</t>
        </is>
      </c>
      <c r="D257" s="4" t="inlineStr">
        <is>
          <t>Rice Supplier in Umm Al Quwain</t>
        </is>
      </c>
      <c r="E257" s="4" t="inlineStr">
        <is>
          <t>Page editor mein sabse upar ek hi H1 (Heading 1). Primary keyword (ya uska natural form) isme hona chahiye. Ek page = ek H1.</t>
        </is>
      </c>
      <c r="F257" s="4" t="inlineStr">
        <is>
          <t>To do</t>
        </is>
      </c>
    </row>
    <row r="258">
      <c r="A258" s="4" t="inlineStr">
        <is>
          <t>Emirate page: Umm Al Quwain</t>
        </is>
      </c>
      <c r="B258" s="4" t="inlineStr">
        <is>
          <t>5. Pehle 100 shabd (intro paragraph)</t>
        </is>
      </c>
      <c r="C258" s="4" t="inlineStr">
        <is>
          <t>rice supplier umm al quwain + basmati rice umm al quwain</t>
        </is>
      </c>
      <c r="D258" s="4" t="inlineStr">
        <is>
          <t>[Pehli 1-2 line mein 'rice supplier umm al quwain' natural tareeke se likho.] Example: Cookychoice is a Dubai-based rice supplier for importers, exporters and bulk buyers. We supply [origins/grades] in [pack sizes] on [FOB/CIF] terms - request a quote today.</t>
        </is>
      </c>
      <c r="E258" s="4" t="inlineStr">
        <is>
          <t>H1 ke turant neeche paragraph mein primary keyword pehle 1-2 line mein aaye. Padhne mein natural lage, zabardasti nahi.</t>
        </is>
      </c>
      <c r="F258" s="4" t="inlineStr">
        <is>
          <t>To do</t>
        </is>
      </c>
    </row>
    <row r="259">
      <c r="A259" s="4" t="inlineStr">
        <is>
          <t>Emirate page: Umm Al Quwain</t>
        </is>
      </c>
      <c r="B259" s="4" t="inlineStr">
        <is>
          <t>6. H2 headings (sections)</t>
        </is>
      </c>
      <c r="C259" s="4" t="inlineStr">
        <is>
          <t>(is page pe koi secondary nahi - primary ka variation use karo)</t>
        </is>
      </c>
      <c r="D259" s="4" t="inlineStr">
        <is>
          <t>-</t>
        </is>
      </c>
      <c r="E259" s="4" t="inlineStr">
        <is>
          <t>Har secondary keyword ko ek H2 (Heading 2) bana do aur uske neeche 2-4 line likho. Volume aane ke baad Keyword Master mein Priority score ke hisaab se top 6 ko H2 banao.</t>
        </is>
      </c>
      <c r="F259" s="4" t="inlineStr">
        <is>
          <t>To do</t>
        </is>
      </c>
    </row>
    <row r="260">
      <c r="A260" s="4" t="inlineStr">
        <is>
          <t>Emirate page: Umm Al Quwain</t>
        </is>
      </c>
      <c r="B260" s="4" t="inlineStr">
        <is>
          <t>7. H3 / body paragraphs / table rows</t>
        </is>
      </c>
      <c r="C260" s="4" t="inlineStr">
        <is>
          <t>basmati rice umm al quwain | rice wholesale umm al quwain | buy rice online umm al quwain | rice delivery umm al quwain | sella basmati rice umm al quwain</t>
        </is>
      </c>
      <c r="D260" s="4" t="inlineStr">
        <is>
          <t>Body mein naturally 1-2 baar, ya table / list ke andar</t>
        </is>
      </c>
      <c r="E260" s="4" t="inlineStr">
        <is>
          <t>Baaki keywords ko H3, bullet, table ya paragraph mein naturally daalo. Ek keyword page pe zyada se zyada 2-3 baar. Same keyword baar-baar mat dohrao (stuffing).</t>
        </is>
      </c>
      <c r="F260" s="4" t="inlineStr">
        <is>
          <t>To do</t>
        </is>
      </c>
    </row>
    <row r="261">
      <c r="A261" s="4" t="inlineStr">
        <is>
          <t>Emirate page: Umm Al Quwain</t>
        </is>
      </c>
      <c r="B261" s="4" t="inlineStr">
        <is>
          <t>8. FAQ section + FAQPage schema</t>
        </is>
      </c>
      <c r="C261" s="4" t="inlineStr">
        <is>
          <t>What is your minimum order quantity (MOQ)? | How do I get a price quote for rice supplier umm al quwain? | Which origins, grades and pack sizes do you supply?</t>
        </is>
      </c>
      <c r="D261" s="4" t="inlineStr">
        <is>
          <t>What is your minimum order quantity (MOQ)? | How do I get a price quote for rice supplier umm al quwain? | Which origins, grades and pack sizes do you supply? | Do you ship internationally? Which incoterms (FOB / CIF) do you offer? | Can I get a sample before placing a bulk order?</t>
        </is>
      </c>
      <c r="E261" s="4" t="inlineStr">
        <is>
          <t>Page ke neeche 5-8 FAQ. Yoast FAQ block ya RankMath FAQ block use karo - schema apne aap ban jaata hai. Jawab 40-60 shabd.</t>
        </is>
      </c>
      <c r="F261" s="4" t="inlineStr">
        <is>
          <t>To do</t>
        </is>
      </c>
    </row>
    <row r="262">
      <c r="A262" s="4" t="inlineStr">
        <is>
          <t>Emirate page: Umm Al Quwain</t>
        </is>
      </c>
      <c r="B262" s="4" t="inlineStr">
        <is>
          <t>9. Image file name + alt text</t>
        </is>
      </c>
      <c r="C262" s="4" t="inlineStr">
        <is>
          <t>rice supplier umm al quwain</t>
        </is>
      </c>
      <c r="D262" s="4" t="inlineStr">
        <is>
          <t>File: rice-supplier-umm-al-quwain-25kg-bag.webp | Alt: "Rice Supplier Umm Al Quwain 25kg bag packing"</t>
        </is>
      </c>
      <c r="E262" s="4" t="inlineStr">
        <is>
          <t>Media Library mein image par click → 'Alt Text' bharo. Alt mein image jo dikha rahi hai wahi likho + keyword natural (har image mein nahi, sirf 1-2 mein). File name upload se pehle badlo.</t>
        </is>
      </c>
      <c r="F262" s="4" t="inlineStr">
        <is>
          <t>To do</t>
        </is>
      </c>
    </row>
    <row r="263">
      <c r="A263" s="4" t="inlineStr">
        <is>
          <t>Emirate page: Umm Al Quwain</t>
        </is>
      </c>
      <c r="B263" s="4" t="inlineStr">
        <is>
          <t>10. Internal links - is page par aane wale links (anchor text)</t>
        </is>
      </c>
      <c r="C263" s="4" t="inlineStr">
        <is>
          <t>rice supplier umm al quwain | basmati rice umm al quwain | Cookychoice | get a quote</t>
        </is>
      </c>
      <c r="D263" s="4" t="inlineStr">
        <is>
          <t>Home page aur related pages se is page par link, anchor = ye words</t>
        </is>
      </c>
      <c r="E263" s="4" t="inlineStr">
        <is>
          <t>Dusre page mein relevant sentence select karo → Link button → is page ka URL. Anchor text har baar thoda alag rakho (exact + partial). 'click here' mat likho.</t>
        </is>
      </c>
      <c r="F263" s="4" t="inlineStr">
        <is>
          <t>To do</t>
        </is>
      </c>
    </row>
    <row r="264">
      <c r="A264" s="4" t="inlineStr">
        <is>
          <t>Emirate page: Umm Al Quwain</t>
        </is>
      </c>
      <c r="B264" s="4" t="inlineStr">
        <is>
          <t>11. CTA button / Get Quote</t>
        </is>
      </c>
      <c r="C264" s="4" t="inlineStr">
        <is>
          <t>get a quote | request sample</t>
        </is>
      </c>
      <c r="D264" s="4" t="inlineStr">
        <is>
          <t>Button text: 'Get a Quote' / 'Request Price per Ton' / 'WhatsApp Us'</t>
        </is>
      </c>
      <c r="E264" s="4" t="inlineStr">
        <is>
          <t>Page ke upar (fold ke andar), beech mein aur neeche - teen jagah button. Button /get-quote/ page ya form pe jaye.</t>
        </is>
      </c>
      <c r="F264" s="4" t="inlineStr">
        <is>
          <t>To do</t>
        </is>
      </c>
    </row>
    <row r="265">
      <c r="A265" s="4" t="inlineStr">
        <is>
          <t>Emirate page: Umm Al Quwain</t>
        </is>
      </c>
      <c r="B265" s="4" t="inlineStr">
        <is>
          <t>12. Schema (structured data)</t>
        </is>
      </c>
      <c r="C265" s="4" t="inlineStr">
        <is>
          <t>-</t>
        </is>
      </c>
      <c r="D265" s="4" t="inlineStr">
        <is>
          <t>Organization + BreadcrumbList + FAQPage + LocalBusiness</t>
        </is>
      </c>
      <c r="E265" s="4" t="inlineStr">
        <is>
          <t>Yoast/RankMath → Schema tab. Publish ke baad Google Rich Results Test mein URL daalke check karo ki error nahi hai.</t>
        </is>
      </c>
      <c r="F265" s="4" t="inlineStr">
        <is>
          <t>To do</t>
        </is>
      </c>
    </row>
    <row r="266">
      <c r="A266" s="4" t="inlineStr">
        <is>
          <t>Emirate page: Al Ain</t>
        </is>
      </c>
      <c r="B266" s="4" t="inlineStr">
        <is>
          <t>1. URL slug</t>
        </is>
      </c>
      <c r="C266" s="4" t="inlineStr">
        <is>
          <t>rice supplier al ain</t>
        </is>
      </c>
      <c r="D266" s="4" t="inlineStr">
        <is>
          <t>cookychoice.com/rice-supplier-al-ain/</t>
        </is>
      </c>
      <c r="E266" s="4" t="inlineStr">
        <is>
          <t>Page edit karo → Yoast SEO / RankMath box → 'Slug' ya Permalink field mein sirf primary keyword (hyphen ke saath) likho. Chhota rakho, year ya number mat daalo. Slug badalne ke baad purana URL ho to 301 redirect lagao.</t>
        </is>
      </c>
      <c r="F266" s="4" t="inlineStr">
        <is>
          <t>To do</t>
        </is>
      </c>
    </row>
    <row r="267">
      <c r="A267" s="4" t="inlineStr">
        <is>
          <t>Emirate page: Al Ain</t>
        </is>
      </c>
      <c r="B267" s="4" t="inlineStr">
        <is>
          <t>2. SEO title (Google mein neela link)</t>
        </is>
      </c>
      <c r="C267" s="4" t="inlineStr">
        <is>
          <t>rice supplier al ain</t>
        </is>
      </c>
      <c r="D267" s="4" t="inlineStr">
        <is>
          <t>Rice Supplier Al Ain | Bulk &amp; Wholesale</t>
        </is>
      </c>
      <c r="E267" s="4" t="inlineStr">
        <is>
          <t>Yoast SEO → 'SEO title' mein ye likho. Primary keyword sabse pehle, brand (Cookychoice) last. 60 characters se chhota (39 chars hai).</t>
        </is>
      </c>
      <c r="F267" s="4" t="inlineStr">
        <is>
          <t>To do</t>
        </is>
      </c>
    </row>
    <row r="268">
      <c r="A268" s="4" t="inlineStr">
        <is>
          <t>Emirate page: Al Ain</t>
        </is>
      </c>
      <c r="B268" s="4" t="inlineStr">
        <is>
          <t>3. Meta description</t>
        </is>
      </c>
      <c r="C268" s="4" t="inlineStr">
        <is>
          <t>rice supplier al ain + basmati rice al ain</t>
        </is>
      </c>
      <c r="D268" s="4" t="inlineStr">
        <is>
          <t>Rice Supplier Al Ain - Dubai-based bulk supplier. [Pack sizes / origins / MOQ yahan apni sachchi details daalein]. Get a quote in 24 hrs.</t>
        </is>
      </c>
      <c r="E268" s="4" t="inlineStr">
        <is>
          <t>Yoast → 'Meta description'. 140-155 characters. Primary keyword + ek offer + 'Get a quote' jaisa CTA. Apni sachchi details daalo, jhoot nahi.</t>
        </is>
      </c>
      <c r="F268" s="4" t="inlineStr">
        <is>
          <t>To do</t>
        </is>
      </c>
    </row>
    <row r="269">
      <c r="A269" s="4" t="inlineStr">
        <is>
          <t>Emirate page: Al Ain</t>
        </is>
      </c>
      <c r="B269" s="4" t="inlineStr">
        <is>
          <t>4. H1 (page ka mukhya heading)</t>
        </is>
      </c>
      <c r="C269" s="4" t="inlineStr">
        <is>
          <t>rice supplier al ain</t>
        </is>
      </c>
      <c r="D269" s="4" t="inlineStr">
        <is>
          <t>Rice Supplier in Al Ain</t>
        </is>
      </c>
      <c r="E269" s="4" t="inlineStr">
        <is>
          <t>Page editor mein sabse upar ek hi H1 (Heading 1). Primary keyword (ya uska natural form) isme hona chahiye. Ek page = ek H1.</t>
        </is>
      </c>
      <c r="F269" s="4" t="inlineStr">
        <is>
          <t>To do</t>
        </is>
      </c>
    </row>
    <row r="270">
      <c r="A270" s="4" t="inlineStr">
        <is>
          <t>Emirate page: Al Ain</t>
        </is>
      </c>
      <c r="B270" s="4" t="inlineStr">
        <is>
          <t>5. Pehle 100 shabd (intro paragraph)</t>
        </is>
      </c>
      <c r="C270" s="4" t="inlineStr">
        <is>
          <t>rice supplier al ain + basmati rice al ain</t>
        </is>
      </c>
      <c r="D270" s="4" t="inlineStr">
        <is>
          <t>[Pehli 1-2 line mein 'rice supplier al ain' natural tareeke se likho.] Example: Cookychoice is a Dubai-based rice supplier for importers, exporters and bulk buyers. We supply [origins/grades] in [pack sizes] on [FOB/CIF] terms - request a quote today.</t>
        </is>
      </c>
      <c r="E270" s="4" t="inlineStr">
        <is>
          <t>H1 ke turant neeche paragraph mein primary keyword pehle 1-2 line mein aaye. Padhne mein natural lage, zabardasti nahi.</t>
        </is>
      </c>
      <c r="F270" s="4" t="inlineStr">
        <is>
          <t>To do</t>
        </is>
      </c>
    </row>
    <row r="271">
      <c r="A271" s="4" t="inlineStr">
        <is>
          <t>Emirate page: Al Ain</t>
        </is>
      </c>
      <c r="B271" s="4" t="inlineStr">
        <is>
          <t>6. H2 headings (sections)</t>
        </is>
      </c>
      <c r="C271" s="4" t="inlineStr">
        <is>
          <t>basmati rice al ain | rice wholesale al ain | rice delivery al ain</t>
        </is>
      </c>
      <c r="D271" s="4" t="inlineStr">
        <is>
          <t>Basmati Rice Al Ain | Rice Wholesale Al Ain | Rice Delivery Al Ain</t>
        </is>
      </c>
      <c r="E271" s="4" t="inlineStr">
        <is>
          <t>Har secondary keyword ko ek H2 (Heading 2) bana do aur uske neeche 2-4 line likho. Volume aane ke baad Keyword Master mein Priority score ke hisaab se top 6 ko H2 banao.</t>
        </is>
      </c>
      <c r="F271" s="4" t="inlineStr">
        <is>
          <t>To do</t>
        </is>
      </c>
    </row>
    <row r="272">
      <c r="A272" s="4" t="inlineStr">
        <is>
          <t>Emirate page: Al Ain</t>
        </is>
      </c>
      <c r="B272" s="4" t="inlineStr">
        <is>
          <t>7. H3 / body paragraphs / table rows</t>
        </is>
      </c>
      <c r="C272" s="4" t="inlineStr">
        <is>
          <t>buy rice online al ain | sella basmati rice al ain</t>
        </is>
      </c>
      <c r="D272" s="4" t="inlineStr">
        <is>
          <t>Body mein naturally 1-2 baar, ya table / list ke andar</t>
        </is>
      </c>
      <c r="E272" s="4" t="inlineStr">
        <is>
          <t>Baaki keywords ko H3, bullet, table ya paragraph mein naturally daalo. Ek keyword page pe zyada se zyada 2-3 baar. Same keyword baar-baar mat dohrao (stuffing).</t>
        </is>
      </c>
      <c r="F272" s="4" t="inlineStr">
        <is>
          <t>To do</t>
        </is>
      </c>
    </row>
    <row r="273">
      <c r="A273" s="4" t="inlineStr">
        <is>
          <t>Emirate page: Al Ain</t>
        </is>
      </c>
      <c r="B273" s="4" t="inlineStr">
        <is>
          <t>8. FAQ section + FAQPage schema</t>
        </is>
      </c>
      <c r="C273" s="4" t="inlineStr">
        <is>
          <t>What is your minimum order quantity (MOQ)? | How do I get a price quote for rice supplier al ain? | Which origins, grades and pack sizes do you supply?</t>
        </is>
      </c>
      <c r="D273" s="4" t="inlineStr">
        <is>
          <t>What is your minimum order quantity (MOQ)? | How do I get a price quote for rice supplier al ain? | Which origins, grades and pack sizes do you supply? | Do you ship internationally? Which incoterms (FOB / CIF) do you offer? | Can I get a sample before placing a bulk order?</t>
        </is>
      </c>
      <c r="E273" s="4" t="inlineStr">
        <is>
          <t>Page ke neeche 5-8 FAQ. Yoast FAQ block ya RankMath FAQ block use karo - schema apne aap ban jaata hai. Jawab 40-60 shabd.</t>
        </is>
      </c>
      <c r="F273" s="4" t="inlineStr">
        <is>
          <t>To do</t>
        </is>
      </c>
    </row>
    <row r="274">
      <c r="A274" s="4" t="inlineStr">
        <is>
          <t>Emirate page: Al Ain</t>
        </is>
      </c>
      <c r="B274" s="4" t="inlineStr">
        <is>
          <t>9. Image file name + alt text</t>
        </is>
      </c>
      <c r="C274" s="4" t="inlineStr">
        <is>
          <t>rice supplier al ain</t>
        </is>
      </c>
      <c r="D274" s="4" t="inlineStr">
        <is>
          <t>File: rice-supplier-al-ain-25kg-bag.webp | Alt: "Rice Supplier Al Ain 25kg bag packing"</t>
        </is>
      </c>
      <c r="E274" s="4" t="inlineStr">
        <is>
          <t>Media Library mein image par click → 'Alt Text' bharo. Alt mein image jo dikha rahi hai wahi likho + keyword natural (har image mein nahi, sirf 1-2 mein). File name upload se pehle badlo.</t>
        </is>
      </c>
      <c r="F274" s="4" t="inlineStr">
        <is>
          <t>To do</t>
        </is>
      </c>
    </row>
    <row r="275">
      <c r="A275" s="4" t="inlineStr">
        <is>
          <t>Emirate page: Al Ain</t>
        </is>
      </c>
      <c r="B275" s="4" t="inlineStr">
        <is>
          <t>10. Internal links - is page par aane wale links (anchor text)</t>
        </is>
      </c>
      <c r="C275" s="4" t="inlineStr">
        <is>
          <t>rice supplier al ain | basmati rice al ain | Cookychoice | get a quote</t>
        </is>
      </c>
      <c r="D275" s="4" t="inlineStr">
        <is>
          <t>Home page aur related pages se is page par link, anchor = ye words</t>
        </is>
      </c>
      <c r="E275" s="4" t="inlineStr">
        <is>
          <t>Dusre page mein relevant sentence select karo → Link button → is page ka URL. Anchor text har baar thoda alag rakho (exact + partial). 'click here' mat likho.</t>
        </is>
      </c>
      <c r="F275" s="4" t="inlineStr">
        <is>
          <t>To do</t>
        </is>
      </c>
    </row>
    <row r="276">
      <c r="A276" s="4" t="inlineStr">
        <is>
          <t>Emirate page: Al Ain</t>
        </is>
      </c>
      <c r="B276" s="4" t="inlineStr">
        <is>
          <t>11. CTA button / Get Quote</t>
        </is>
      </c>
      <c r="C276" s="4" t="inlineStr">
        <is>
          <t>get a quote | request sample</t>
        </is>
      </c>
      <c r="D276" s="4" t="inlineStr">
        <is>
          <t>Button text: 'Get a Quote' / 'Request Price per Ton' / 'WhatsApp Us'</t>
        </is>
      </c>
      <c r="E276" s="4" t="inlineStr">
        <is>
          <t>Page ke upar (fold ke andar), beech mein aur neeche - teen jagah button. Button /get-quote/ page ya form pe jaye.</t>
        </is>
      </c>
      <c r="F276" s="4" t="inlineStr">
        <is>
          <t>To do</t>
        </is>
      </c>
    </row>
    <row r="277">
      <c r="A277" s="4" t="inlineStr">
        <is>
          <t>Emirate page: Al Ain</t>
        </is>
      </c>
      <c r="B277" s="4" t="inlineStr">
        <is>
          <t>12. Schema (structured data)</t>
        </is>
      </c>
      <c r="C277" s="4" t="inlineStr">
        <is>
          <t>-</t>
        </is>
      </c>
      <c r="D277" s="4" t="inlineStr">
        <is>
          <t>Organization + BreadcrumbList + FAQPage + LocalBusiness</t>
        </is>
      </c>
      <c r="E277" s="4" t="inlineStr">
        <is>
          <t>Yoast/RankMath → Schema tab. Publish ke baad Google Rich Results Test mein URL daalke check karo ki error nahi hai.</t>
        </is>
      </c>
      <c r="F277" s="4" t="inlineStr">
        <is>
          <t>To do</t>
        </is>
      </c>
    </row>
    <row r="278">
      <c r="A278" s="4" t="inlineStr">
        <is>
          <t>Arabic site (/ar/)</t>
        </is>
      </c>
      <c r="B278" s="4" t="inlineStr">
        <is>
          <t>1. URL slug</t>
        </is>
      </c>
      <c r="C278" s="4" t="inlineStr">
        <is>
          <t>ارز بسمتي بالجملة</t>
        </is>
      </c>
      <c r="D278" s="4" t="inlineStr">
        <is>
          <t>cookychoice.com/ar/</t>
        </is>
      </c>
      <c r="E278" s="4" t="inlineStr">
        <is>
          <t>Page edit karo → Yoast SEO / RankMath box → 'Slug' ya Permalink field mein sirf primary keyword (hyphen ke saath) likho. Chhota rakho, year ya number mat daalo. Slug badalne ke baad purana URL ho to 301 redirect lagao.</t>
        </is>
      </c>
      <c r="F278" s="4" t="inlineStr">
        <is>
          <t>To do</t>
        </is>
      </c>
    </row>
    <row r="279">
      <c r="A279" s="4" t="inlineStr">
        <is>
          <t>Arabic site (/ar/)</t>
        </is>
      </c>
      <c r="B279" s="4" t="inlineStr">
        <is>
          <t>2. SEO title (Google mein neela link)</t>
        </is>
      </c>
      <c r="C279" s="4" t="inlineStr">
        <is>
          <t>ارز بسمتي بالجملة</t>
        </is>
      </c>
      <c r="D279" s="4" t="inlineStr">
        <is>
          <t>موردين ارز بالجملة في الامارات | دبي</t>
        </is>
      </c>
      <c r="E279" s="4" t="inlineStr">
        <is>
          <t>Yoast SEO → 'SEO title' mein ye likho. Primary keyword sabse pehle, brand (Cookychoice) last. 60 characters se chhota (36 chars hai).</t>
        </is>
      </c>
      <c r="F279" s="4" t="inlineStr">
        <is>
          <t>To do</t>
        </is>
      </c>
    </row>
    <row r="280">
      <c r="A280" s="4" t="inlineStr">
        <is>
          <t>Arabic site (/ar/)</t>
        </is>
      </c>
      <c r="B280" s="4" t="inlineStr">
        <is>
          <t>3. Meta description</t>
        </is>
      </c>
      <c r="C280" s="4" t="inlineStr">
        <is>
          <t>ارز بسمتي بالجملة + ارز بسمتي</t>
        </is>
      </c>
      <c r="D280" s="4" t="inlineStr">
        <is>
          <t>ارز بسمتي بالجملة - Dubai-based bulk supplier. [Pack sizes / origins / MOQ yahan apni sachchi details daalein]. Get a quote in 24 hrs.</t>
        </is>
      </c>
      <c r="E280" s="4" t="inlineStr">
        <is>
          <t>Yoast → 'Meta description'. 140-155 characters. Primary keyword + ek offer + 'Get a quote' jaisa CTA. Apni sachchi details daalo, jhoot nahi.</t>
        </is>
      </c>
      <c r="F280" s="4" t="inlineStr">
        <is>
          <t>To do</t>
        </is>
      </c>
    </row>
    <row r="281">
      <c r="A281" s="4" t="inlineStr">
        <is>
          <t>Arabic site (/ar/)</t>
        </is>
      </c>
      <c r="B281" s="4" t="inlineStr">
        <is>
          <t>4. H1 (page ka mukhya heading)</t>
        </is>
      </c>
      <c r="C281" s="4" t="inlineStr">
        <is>
          <t>ارز بسمتي بالجملة</t>
        </is>
      </c>
      <c r="D281" s="4" t="inlineStr">
        <is>
          <t>موردين الارز بالجملة في دبي</t>
        </is>
      </c>
      <c r="E281" s="4" t="inlineStr">
        <is>
          <t>Page editor mein sabse upar ek hi H1 (Heading 1). Primary keyword (ya uska natural form) isme hona chahiye. Ek page = ek H1.</t>
        </is>
      </c>
      <c r="F281" s="4" t="inlineStr">
        <is>
          <t>To do</t>
        </is>
      </c>
    </row>
    <row r="282">
      <c r="A282" s="4" t="inlineStr">
        <is>
          <t>Arabic site (/ar/)</t>
        </is>
      </c>
      <c r="B282" s="4" t="inlineStr">
        <is>
          <t>5. Pehle 100 shabd (intro paragraph)</t>
        </is>
      </c>
      <c r="C282" s="4" t="inlineStr">
        <is>
          <t>ارز بسمتي بالجملة + ارز بسمتي</t>
        </is>
      </c>
      <c r="D282" s="4" t="inlineStr">
        <is>
          <t>[Pehli 1-2 line mein 'ارز بسمتي بالجملة' natural tareeke se likho.] Example: Cookychoice is a Dubai-based rice supplier for importers, exporters and bulk buyers. We supply [origins/grades] in [pack sizes] on [FOB/CIF] terms - request a quote today.</t>
        </is>
      </c>
      <c r="E282" s="4" t="inlineStr">
        <is>
          <t>H1 ke turant neeche paragraph mein primary keyword pehle 1-2 line mein aaye. Padhne mein natural lage, zabardasti nahi.</t>
        </is>
      </c>
      <c r="F282" s="4" t="inlineStr">
        <is>
          <t>To do</t>
        </is>
      </c>
    </row>
    <row r="283">
      <c r="A283" s="4" t="inlineStr">
        <is>
          <t>Arabic site (/ar/)</t>
        </is>
      </c>
      <c r="B283" s="4" t="inlineStr">
        <is>
          <t>6. H2 headings (sections)</t>
        </is>
      </c>
      <c r="C283" s="4" t="inlineStr">
        <is>
          <t>ارز بسمتي | ارز بسمتي دبي | سعر الارز في الامارات | شراء ارز اونلاين دبي | توصيل ارز دبي | ارز بسمتي سيلا</t>
        </is>
      </c>
      <c r="D283" s="4" t="inlineStr">
        <is>
          <t>ارز بسمتي | ارز بسمتي دبي | سعر الارز في الامارات | شراء ارز اونلاين دبي | توصيل ارز دبي | ارز بسمتي سيلا</t>
        </is>
      </c>
      <c r="E283" s="4" t="inlineStr">
        <is>
          <t>Har secondary keyword ko ek H2 (Heading 2) bana do aur uske neeche 2-4 line likho. Volume aane ke baad Keyword Master mein Priority score ke hisaab se top 6 ko H2 banao.</t>
        </is>
      </c>
      <c r="F283" s="4" t="inlineStr">
        <is>
          <t>To do</t>
        </is>
      </c>
    </row>
    <row r="284">
      <c r="A284" s="4" t="inlineStr">
        <is>
          <t>Arabic site (/ar/)</t>
        </is>
      </c>
      <c r="B284" s="4" t="inlineStr">
        <is>
          <t>7. H3 / body paragraphs / table rows</t>
        </is>
      </c>
      <c r="C284" s="4" t="inlineStr">
        <is>
          <t>موردين ارز في الامارات | ارز مندي | ارز كبسة</t>
        </is>
      </c>
      <c r="D284" s="4" t="inlineStr">
        <is>
          <t>Body mein naturally 1-2 baar, ya table / list ke andar</t>
        </is>
      </c>
      <c r="E284" s="4" t="inlineStr">
        <is>
          <t>Baaki keywords ko H3, bullet, table ya paragraph mein naturally daalo. Ek keyword page pe zyada se zyada 2-3 baar. Same keyword baar-baar mat dohrao (stuffing).</t>
        </is>
      </c>
      <c r="F284" s="4" t="inlineStr">
        <is>
          <t>To do</t>
        </is>
      </c>
    </row>
    <row r="285">
      <c r="A285" s="4" t="inlineStr">
        <is>
          <t>Arabic site (/ar/)</t>
        </is>
      </c>
      <c r="B285" s="4" t="inlineStr">
        <is>
          <t>8. FAQ section + FAQPage schema</t>
        </is>
      </c>
      <c r="C285" s="4" t="inlineStr">
        <is>
          <t>What is your minimum order quantity (MOQ)? | How do I get a price quote for ارز بسمتي بالجملة? | Which origins, grades and pack sizes do you supply?</t>
        </is>
      </c>
      <c r="D285" s="4" t="inlineStr">
        <is>
          <t>What is your minimum order quantity (MOQ)? | How do I get a price quote for ارز بسمتي بالجملة? | Which origins, grades and pack sizes do you supply? | Do you ship internationally? Which incoterms (FOB / CIF) do you offer? | Can I get a sample before placing a bulk order?</t>
        </is>
      </c>
      <c r="E285" s="4" t="inlineStr">
        <is>
          <t>Page ke neeche 5-8 FAQ. Yoast FAQ block ya RankMath FAQ block use karo - schema apne aap ban jaata hai. Jawab 40-60 shabd.</t>
        </is>
      </c>
      <c r="F285" s="4" t="inlineStr">
        <is>
          <t>To do</t>
        </is>
      </c>
    </row>
    <row r="286">
      <c r="A286" s="4" t="inlineStr">
        <is>
          <t>Arabic site (/ar/)</t>
        </is>
      </c>
      <c r="B286" s="4" t="inlineStr">
        <is>
          <t>9. Image file name + alt text</t>
        </is>
      </c>
      <c r="C286" s="4" t="inlineStr">
        <is>
          <t>ارز بسمتي بالجملة</t>
        </is>
      </c>
      <c r="D286" s="4" t="inlineStr">
        <is>
          <t>File: -25kg-bag.webp | Alt: "ارز بسمتي بالجملة 25kg bag packing"</t>
        </is>
      </c>
      <c r="E286" s="4" t="inlineStr">
        <is>
          <t>Media Library mein image par click → 'Alt Text' bharo. Alt mein image jo dikha rahi hai wahi likho + keyword natural (har image mein nahi, sirf 1-2 mein). File name upload se pehle badlo.</t>
        </is>
      </c>
      <c r="F286" s="4" t="inlineStr">
        <is>
          <t>To do</t>
        </is>
      </c>
    </row>
    <row r="287">
      <c r="A287" s="4" t="inlineStr">
        <is>
          <t>Arabic site (/ar/)</t>
        </is>
      </c>
      <c r="B287" s="4" t="inlineStr">
        <is>
          <t>10. Internal links - is page par aane wale links (anchor text)</t>
        </is>
      </c>
      <c r="C287" s="4" t="inlineStr">
        <is>
          <t>ارز بسمتي بالجملة | ارز بسمتي | Cookychoice | get a quote</t>
        </is>
      </c>
      <c r="D287" s="4" t="inlineStr">
        <is>
          <t>Home page aur related pages se is page par link, anchor = ye words</t>
        </is>
      </c>
      <c r="E287" s="4" t="inlineStr">
        <is>
          <t>Dusre page mein relevant sentence select karo → Link button → is page ka URL. Anchor text har baar thoda alag rakho (exact + partial). 'click here' mat likho.</t>
        </is>
      </c>
      <c r="F287" s="4" t="inlineStr">
        <is>
          <t>To do</t>
        </is>
      </c>
    </row>
    <row r="288">
      <c r="A288" s="4" t="inlineStr">
        <is>
          <t>Arabic site (/ar/)</t>
        </is>
      </c>
      <c r="B288" s="4" t="inlineStr">
        <is>
          <t>11. CTA button / Get Quote</t>
        </is>
      </c>
      <c r="C288" s="4" t="inlineStr">
        <is>
          <t>get a quote | request sample</t>
        </is>
      </c>
      <c r="D288" s="4" t="inlineStr">
        <is>
          <t>Button text: 'Get a Quote' / 'Request Price per Ton' / 'WhatsApp Us'</t>
        </is>
      </c>
      <c r="E288" s="4" t="inlineStr">
        <is>
          <t>Page ke upar (fold ke andar), beech mein aur neeche - teen jagah button. Button /get-quote/ page ya form pe jaye.</t>
        </is>
      </c>
      <c r="F288" s="4" t="inlineStr">
        <is>
          <t>To do</t>
        </is>
      </c>
    </row>
    <row r="289">
      <c r="A289" s="4" t="inlineStr">
        <is>
          <t>Arabic site (/ar/)</t>
        </is>
      </c>
      <c r="B289" s="4" t="inlineStr">
        <is>
          <t>12. Schema (structured data)</t>
        </is>
      </c>
      <c r="C289" s="4" t="inlineStr">
        <is>
          <t>-</t>
        </is>
      </c>
      <c r="D289" s="4" t="inlineStr">
        <is>
          <t>Organization + BreadcrumbList + FAQPage</t>
        </is>
      </c>
      <c r="E289" s="4" t="inlineStr">
        <is>
          <t>Yoast/RankMath → Schema tab. Publish ke baad Google Rich Results Test mein URL daalke check karo ki error nahi hai.</t>
        </is>
      </c>
      <c r="F289" s="4" t="inlineStr">
        <is>
          <t>To do</t>
        </is>
      </c>
    </row>
    <row r="290">
      <c r="A290" s="4" t="inlineStr">
        <is>
          <t>Shop (B2C)</t>
        </is>
      </c>
      <c r="B290" s="4" t="inlineStr">
        <is>
          <t>1. URL slug</t>
        </is>
      </c>
      <c r="C290" s="4" t="inlineStr">
        <is>
          <t>buy rice online uae</t>
        </is>
      </c>
      <c r="D290" s="4" t="inlineStr">
        <is>
          <t>cookychoice.com/shop/</t>
        </is>
      </c>
      <c r="E290" s="4" t="inlineStr">
        <is>
          <t>Page edit karo → Yoast SEO / RankMath box → 'Slug' ya Permalink field mein sirf primary keyword (hyphen ke saath) likho. Chhota rakho, year ya number mat daalo. Slug badalne ke baad purana URL ho to 301 redirect lagao.</t>
        </is>
      </c>
      <c r="F290" s="4" t="inlineStr">
        <is>
          <t>To do</t>
        </is>
      </c>
    </row>
    <row r="291">
      <c r="A291" s="4" t="inlineStr">
        <is>
          <t>Shop (B2C)</t>
        </is>
      </c>
      <c r="B291" s="4" t="inlineStr">
        <is>
          <t>2. SEO title (Google mein neela link)</t>
        </is>
      </c>
      <c r="C291" s="4" t="inlineStr">
        <is>
          <t>buy rice online uae</t>
        </is>
      </c>
      <c r="D291" s="4" t="inlineStr">
        <is>
          <t>Buy Rice Online UAE | Cookychoice</t>
        </is>
      </c>
      <c r="E291" s="4" t="inlineStr">
        <is>
          <t>Yoast SEO → 'SEO title' mein ye likho. Primary keyword sabse pehle, brand (Cookychoice) last. 60 characters se chhota (33 chars hai).</t>
        </is>
      </c>
      <c r="F291" s="4" t="inlineStr">
        <is>
          <t>To do</t>
        </is>
      </c>
    </row>
    <row r="292">
      <c r="A292" s="4" t="inlineStr">
        <is>
          <t>Shop (B2C)</t>
        </is>
      </c>
      <c r="B292" s="4" t="inlineStr">
        <is>
          <t>3. Meta description</t>
        </is>
      </c>
      <c r="C292" s="4" t="inlineStr">
        <is>
          <t>buy rice online uae + buy basmati rice online</t>
        </is>
      </c>
      <c r="D292" s="4" t="inlineStr">
        <is>
          <t>Buy Rice Online Uae - Dubai-based bulk supplier. [Pack sizes / origins / MOQ yahan apni sachchi details daalein]. Get a quote in 24 hrs.</t>
        </is>
      </c>
      <c r="E292" s="4" t="inlineStr">
        <is>
          <t>Yoast → 'Meta description'. 140-155 characters. Primary keyword + ek offer + 'Get a quote' jaisa CTA. Apni sachchi details daalo, jhoot nahi.</t>
        </is>
      </c>
      <c r="F292" s="4" t="inlineStr">
        <is>
          <t>To do</t>
        </is>
      </c>
    </row>
    <row r="293">
      <c r="A293" s="4" t="inlineStr">
        <is>
          <t>Shop (B2C)</t>
        </is>
      </c>
      <c r="B293" s="4" t="inlineStr">
        <is>
          <t>4. H1 (page ka mukhya heading)</t>
        </is>
      </c>
      <c r="C293" s="4" t="inlineStr">
        <is>
          <t>buy rice online uae</t>
        </is>
      </c>
      <c r="D293" s="4" t="inlineStr">
        <is>
          <t>Shop Rice Online</t>
        </is>
      </c>
      <c r="E293" s="4" t="inlineStr">
        <is>
          <t>Page editor mein sabse upar ek hi H1 (Heading 1). Primary keyword (ya uska natural form) isme hona chahiye. Ek page = ek H1.</t>
        </is>
      </c>
      <c r="F293" s="4" t="inlineStr">
        <is>
          <t>To do</t>
        </is>
      </c>
    </row>
    <row r="294">
      <c r="A294" s="4" t="inlineStr">
        <is>
          <t>Shop (B2C)</t>
        </is>
      </c>
      <c r="B294" s="4" t="inlineStr">
        <is>
          <t>5. Pehle 100 shabd (intro paragraph)</t>
        </is>
      </c>
      <c r="C294" s="4" t="inlineStr">
        <is>
          <t>buy rice online uae + buy basmati rice online</t>
        </is>
      </c>
      <c r="D294" s="4" t="inlineStr">
        <is>
          <t>[Pehli 1-2 line mein 'buy rice online uae' natural tareeke se likho.] Example: Cookychoice is a Dubai-based rice supplier for importers, exporters and bulk buyers. We supply [origins/grades] in [pack sizes] on [FOB/CIF] terms - request a quote today.</t>
        </is>
      </c>
      <c r="E294" s="4" t="inlineStr">
        <is>
          <t>H1 ke turant neeche paragraph mein primary keyword pehle 1-2 line mein aaye. Padhne mein natural lage, zabardasti nahi.</t>
        </is>
      </c>
      <c r="F294" s="4" t="inlineStr">
        <is>
          <t>To do</t>
        </is>
      </c>
    </row>
    <row r="295">
      <c r="A295" s="4" t="inlineStr">
        <is>
          <t>Shop (B2C)</t>
        </is>
      </c>
      <c r="B295" s="4" t="inlineStr">
        <is>
          <t>6. H2 headings (sections)</t>
        </is>
      </c>
      <c r="C295" s="4" t="inlineStr">
        <is>
          <t>buy basmati rice online | basmati rice online dubai | buy jasmine rice online | jasmine rice online dubai | buy ponni rice online | ponni rice online dubai</t>
        </is>
      </c>
      <c r="D295" s="4" t="inlineStr">
        <is>
          <t>Buy Basmati Rice Online | Basmati Rice Online Dubai | Buy Jasmine Rice Online | Jasmine Rice Online Dubai | Buy Ponni Rice Online | Ponni Rice Online Dubai</t>
        </is>
      </c>
      <c r="E295" s="4" t="inlineStr">
        <is>
          <t>Har secondary keyword ko ek H2 (Heading 2) bana do aur uske neeche 2-4 line likho. Volume aane ke baad Keyword Master mein Priority score ke hisaab se top 6 ko H2 banao.</t>
        </is>
      </c>
      <c r="F295" s="4" t="inlineStr">
        <is>
          <t>To do</t>
        </is>
      </c>
    </row>
    <row r="296">
      <c r="A296" s="4" t="inlineStr">
        <is>
          <t>Shop (B2C)</t>
        </is>
      </c>
      <c r="B296" s="4" t="inlineStr">
        <is>
          <t>7. H3 / body paragraphs / table rows</t>
        </is>
      </c>
      <c r="C296" s="4" t="inlineStr">
        <is>
          <t>buy 1121 basmati rice online | 1121 basmati rice online dubai | buy sella basmati rice online | sella basmati rice online dubai | buy golden sella basmati rice online | golden sella basmati rice online dubai | buy steam basmati rice online | steam basmati rice online dubai | buy white sella basmati rice online | white sella basmati rice online dubai | buy indian basmati rice online | indian basmati rice online dubai</t>
        </is>
      </c>
      <c r="D296" s="4" t="inlineStr">
        <is>
          <t>Body mein naturally 1-2 baar, ya table / list ke andar</t>
        </is>
      </c>
      <c r="E296" s="4" t="inlineStr">
        <is>
          <t>Baaki keywords ko H3, bullet, table ya paragraph mein naturally daalo. Ek keyword page pe zyada se zyada 2-3 baar. Same keyword baar-baar mat dohrao (stuffing).</t>
        </is>
      </c>
      <c r="F296" s="4" t="inlineStr">
        <is>
          <t>To do</t>
        </is>
      </c>
    </row>
    <row r="297">
      <c r="A297" s="4" t="inlineStr">
        <is>
          <t>Shop (B2C)</t>
        </is>
      </c>
      <c r="B297" s="4" t="inlineStr">
        <is>
          <t>8. FAQ section + FAQPage schema</t>
        </is>
      </c>
      <c r="C297" s="4" t="inlineStr">
        <is>
          <t>What is your minimum order quantity (MOQ)? | How do I get a price quote for buy rice online uae? | Which origins, grades and pack sizes do you supply?</t>
        </is>
      </c>
      <c r="D297" s="4" t="inlineStr">
        <is>
          <t>What is your minimum order quantity (MOQ)? | How do I get a price quote for buy rice online uae? | Which origins, grades and pack sizes do you supply? | Do you ship internationally? Which incoterms (FOB / CIF) do you offer? | Can I get a sample before placing a bulk order?</t>
        </is>
      </c>
      <c r="E297" s="4" t="inlineStr">
        <is>
          <t>Page ke neeche 5-8 FAQ. Yoast FAQ block ya RankMath FAQ block use karo - schema apne aap ban jaata hai. Jawab 40-60 shabd.</t>
        </is>
      </c>
      <c r="F297" s="4" t="inlineStr">
        <is>
          <t>To do</t>
        </is>
      </c>
    </row>
    <row r="298">
      <c r="A298" s="4" t="inlineStr">
        <is>
          <t>Shop (B2C)</t>
        </is>
      </c>
      <c r="B298" s="4" t="inlineStr">
        <is>
          <t>9. Image file name + alt text</t>
        </is>
      </c>
      <c r="C298" s="4" t="inlineStr">
        <is>
          <t>buy rice online uae</t>
        </is>
      </c>
      <c r="D298" s="4" t="inlineStr">
        <is>
          <t>File: buy-rice-online-uae-25kg-bag.webp | Alt: "Buy Rice Online Uae 25kg bag packing"</t>
        </is>
      </c>
      <c r="E298" s="4" t="inlineStr">
        <is>
          <t>Media Library mein image par click → 'Alt Text' bharo. Alt mein image jo dikha rahi hai wahi likho + keyword natural (har image mein nahi, sirf 1-2 mein). File name upload se pehle badlo.</t>
        </is>
      </c>
      <c r="F298" s="4" t="inlineStr">
        <is>
          <t>To do</t>
        </is>
      </c>
    </row>
    <row r="299">
      <c r="A299" s="4" t="inlineStr">
        <is>
          <t>Shop (B2C)</t>
        </is>
      </c>
      <c r="B299" s="4" t="inlineStr">
        <is>
          <t>10. Internal links - is page par aane wale links (anchor text)</t>
        </is>
      </c>
      <c r="C299" s="4" t="inlineStr">
        <is>
          <t>buy rice online uae | buy basmati rice online | Cookychoice | get a quote</t>
        </is>
      </c>
      <c r="D299" s="4" t="inlineStr">
        <is>
          <t>Home page aur related pages se is page par link, anchor = ye words</t>
        </is>
      </c>
      <c r="E299" s="4" t="inlineStr">
        <is>
          <t>Dusre page mein relevant sentence select karo → Link button → is page ka URL. Anchor text har baar thoda alag rakho (exact + partial). 'click here' mat likho.</t>
        </is>
      </c>
      <c r="F299" s="4" t="inlineStr">
        <is>
          <t>To do</t>
        </is>
      </c>
    </row>
    <row r="300">
      <c r="A300" s="4" t="inlineStr">
        <is>
          <t>Shop (B2C)</t>
        </is>
      </c>
      <c r="B300" s="4" t="inlineStr">
        <is>
          <t>11. CTA button / Get Quote</t>
        </is>
      </c>
      <c r="C300" s="4" t="inlineStr">
        <is>
          <t>get a quote | request sample</t>
        </is>
      </c>
      <c r="D300" s="4" t="inlineStr">
        <is>
          <t>Button text: 'Get a Quote' / 'Request Price per Ton' / 'WhatsApp Us'</t>
        </is>
      </c>
      <c r="E300" s="4" t="inlineStr">
        <is>
          <t>Page ke upar (fold ke andar), beech mein aur neeche - teen jagah button. Button /get-quote/ page ya form pe jaye.</t>
        </is>
      </c>
      <c r="F300" s="4" t="inlineStr">
        <is>
          <t>To do</t>
        </is>
      </c>
    </row>
    <row r="301">
      <c r="A301" s="4" t="inlineStr">
        <is>
          <t>Shop (B2C)</t>
        </is>
      </c>
      <c r="B301" s="4" t="inlineStr">
        <is>
          <t>12. Schema (structured data)</t>
        </is>
      </c>
      <c r="C301" s="4" t="inlineStr">
        <is>
          <t>-</t>
        </is>
      </c>
      <c r="D301" s="4" t="inlineStr">
        <is>
          <t>Organization + BreadcrumbList + FAQPage</t>
        </is>
      </c>
      <c r="E301" s="4" t="inlineStr">
        <is>
          <t>Yoast/RankMath → Schema tab. Publish ke baad Google Rich Results Test mein URL daalke check karo ki error nahi hai.</t>
        </is>
      </c>
      <c r="F301" s="4" t="inlineStr">
        <is>
          <t>To do</t>
        </is>
      </c>
    </row>
    <row r="302">
      <c r="A302" s="4" t="inlineStr">
        <is>
          <t>Delivery page (B2C)</t>
        </is>
      </c>
      <c r="B302" s="4" t="inlineStr">
        <is>
          <t>1. URL slug</t>
        </is>
      </c>
      <c r="C302" s="4" t="inlineStr">
        <is>
          <t>rice delivery dubai</t>
        </is>
      </c>
      <c r="D302" s="4" t="inlineStr">
        <is>
          <t>cookychoice.com/rice-delivery-dubai/</t>
        </is>
      </c>
      <c r="E302" s="4" t="inlineStr">
        <is>
          <t>Page edit karo → Yoast SEO / RankMath box → 'Slug' ya Permalink field mein sirf primary keyword (hyphen ke saath) likho. Chhota rakho, year ya number mat daalo. Slug badalne ke baad purana URL ho to 301 redirect lagao.</t>
        </is>
      </c>
      <c r="F302" s="4" t="inlineStr">
        <is>
          <t>To do</t>
        </is>
      </c>
    </row>
    <row r="303">
      <c r="A303" s="4" t="inlineStr">
        <is>
          <t>Delivery page (B2C)</t>
        </is>
      </c>
      <c r="B303" s="4" t="inlineStr">
        <is>
          <t>2. SEO title (Google mein neela link)</t>
        </is>
      </c>
      <c r="C303" s="4" t="inlineStr">
        <is>
          <t>rice delivery dubai</t>
        </is>
      </c>
      <c r="D303" s="4" t="inlineStr">
        <is>
          <t>Rice Delivery Dubai | Same Day Home Delivery</t>
        </is>
      </c>
      <c r="E303" s="4" t="inlineStr">
        <is>
          <t>Yoast SEO → 'SEO title' mein ye likho. Primary keyword sabse pehle, brand (Cookychoice) last. 60 characters se chhota (44 chars hai).</t>
        </is>
      </c>
      <c r="F303" s="4" t="inlineStr">
        <is>
          <t>To do</t>
        </is>
      </c>
    </row>
    <row r="304">
      <c r="A304" s="4" t="inlineStr">
        <is>
          <t>Delivery page (B2C)</t>
        </is>
      </c>
      <c r="B304" s="4" t="inlineStr">
        <is>
          <t>3. Meta description</t>
        </is>
      </c>
      <c r="C304" s="4" t="inlineStr">
        <is>
          <t>rice delivery dubai + rice home delivery uae</t>
        </is>
      </c>
      <c r="D304" s="4" t="inlineStr">
        <is>
          <t>Rice Delivery Dubai - Dubai-based bulk supplier. [Pack sizes / origins / MOQ yahan apni sachchi details daalein]. Get a quote in 24 hrs.</t>
        </is>
      </c>
      <c r="E304" s="4" t="inlineStr">
        <is>
          <t>Yoast → 'Meta description'. 140-155 characters. Primary keyword + ek offer + 'Get a quote' jaisa CTA. Apni sachchi details daalo, jhoot nahi.</t>
        </is>
      </c>
      <c r="F304" s="4" t="inlineStr">
        <is>
          <t>To do</t>
        </is>
      </c>
    </row>
    <row r="305">
      <c r="A305" s="4" t="inlineStr">
        <is>
          <t>Delivery page (B2C)</t>
        </is>
      </c>
      <c r="B305" s="4" t="inlineStr">
        <is>
          <t>4. H1 (page ka mukhya heading)</t>
        </is>
      </c>
      <c r="C305" s="4" t="inlineStr">
        <is>
          <t>rice delivery dubai</t>
        </is>
      </c>
      <c r="D305" s="4" t="inlineStr">
        <is>
          <t>Rice Delivery in Dubai</t>
        </is>
      </c>
      <c r="E305" s="4" t="inlineStr">
        <is>
          <t>Page editor mein sabse upar ek hi H1 (Heading 1). Primary keyword (ya uska natural form) isme hona chahiye. Ek page = ek H1.</t>
        </is>
      </c>
      <c r="F305" s="4" t="inlineStr">
        <is>
          <t>To do</t>
        </is>
      </c>
    </row>
    <row r="306">
      <c r="A306" s="4" t="inlineStr">
        <is>
          <t>Delivery page (B2C)</t>
        </is>
      </c>
      <c r="B306" s="4" t="inlineStr">
        <is>
          <t>5. Pehle 100 shabd (intro paragraph)</t>
        </is>
      </c>
      <c r="C306" s="4" t="inlineStr">
        <is>
          <t>rice delivery dubai + rice home delivery uae</t>
        </is>
      </c>
      <c r="D306" s="4" t="inlineStr">
        <is>
          <t>[Pehli 1-2 line mein 'rice delivery dubai' natural tareeke se likho.] Example: Cookychoice is a Dubai-based rice supplier for importers, exporters and bulk buyers. We supply [origins/grades] in [pack sizes] on [FOB/CIF] terms - request a quote today.</t>
        </is>
      </c>
      <c r="E306" s="4" t="inlineStr">
        <is>
          <t>H1 ke turant neeche paragraph mein primary keyword pehle 1-2 line mein aaye. Padhne mein natural lage, zabardasti nahi.</t>
        </is>
      </c>
      <c r="F306" s="4" t="inlineStr">
        <is>
          <t>To do</t>
        </is>
      </c>
    </row>
    <row r="307">
      <c r="A307" s="4" t="inlineStr">
        <is>
          <t>Delivery page (B2C)</t>
        </is>
      </c>
      <c r="B307" s="4" t="inlineStr">
        <is>
          <t>6. H2 headings (sections)</t>
        </is>
      </c>
      <c r="C307" s="4" t="inlineStr">
        <is>
          <t>rice home delivery uae | rice delivery near me | rice shop near me | rice delivery deira | basmati rice deira | rice delivery bur dubai</t>
        </is>
      </c>
      <c r="D307" s="4" t="inlineStr">
        <is>
          <t>Rice Home Delivery Uae | Rice Delivery Near Me | Rice Shop Near Me | Rice Delivery Deira | Basmati Rice Deira | Rice Delivery Bur Dubai</t>
        </is>
      </c>
      <c r="E307" s="4" t="inlineStr">
        <is>
          <t>Har secondary keyword ko ek H2 (Heading 2) bana do aur uske neeche 2-4 line likho. Volume aane ke baad Keyword Master mein Priority score ke hisaab se top 6 ko H2 banao.</t>
        </is>
      </c>
      <c r="F307" s="4" t="inlineStr">
        <is>
          <t>To do</t>
        </is>
      </c>
    </row>
    <row r="308">
      <c r="A308" s="4" t="inlineStr">
        <is>
          <t>Delivery page (B2C)</t>
        </is>
      </c>
      <c r="B308" s="4" t="inlineStr">
        <is>
          <t>7. H3 / body paragraphs / table rows</t>
        </is>
      </c>
      <c r="C308" s="4" t="inlineStr">
        <is>
          <t>same day rice delivery dubai | cash on delivery rice uae | basmati rice bur dubai | rice delivery al quoz | basmati rice al quoz | rice delivery karama | basmati rice karama | rice delivery satwa | basmati rice satwa | rice delivery jebel ali | basmati rice jebel ali | rice delivery jlt</t>
        </is>
      </c>
      <c r="D308" s="4" t="inlineStr">
        <is>
          <t>Body mein naturally 1-2 baar, ya table / list ke andar</t>
        </is>
      </c>
      <c r="E308" s="4" t="inlineStr">
        <is>
          <t>Baaki keywords ko H3, bullet, table ya paragraph mein naturally daalo. Ek keyword page pe zyada se zyada 2-3 baar. Same keyword baar-baar mat dohrao (stuffing).</t>
        </is>
      </c>
      <c r="F308" s="4" t="inlineStr">
        <is>
          <t>To do</t>
        </is>
      </c>
    </row>
    <row r="309">
      <c r="A309" s="4" t="inlineStr">
        <is>
          <t>Delivery page (B2C)</t>
        </is>
      </c>
      <c r="B309" s="4" t="inlineStr">
        <is>
          <t>8. FAQ section + FAQPage schema</t>
        </is>
      </c>
      <c r="C309" s="4" t="inlineStr">
        <is>
          <t>What is your minimum order quantity (MOQ)? | How do I get a price quote for rice delivery dubai? | Which origins, grades and pack sizes do you supply?</t>
        </is>
      </c>
      <c r="D309" s="4" t="inlineStr">
        <is>
          <t>What is your minimum order quantity (MOQ)? | How do I get a price quote for rice delivery dubai? | Which origins, grades and pack sizes do you supply? | Do you ship internationally? Which incoterms (FOB / CIF) do you offer? | Can I get a sample before placing a bulk order?</t>
        </is>
      </c>
      <c r="E309" s="4" t="inlineStr">
        <is>
          <t>Page ke neeche 5-8 FAQ. Yoast FAQ block ya RankMath FAQ block use karo - schema apne aap ban jaata hai. Jawab 40-60 shabd.</t>
        </is>
      </c>
      <c r="F309" s="4" t="inlineStr">
        <is>
          <t>To do</t>
        </is>
      </c>
    </row>
    <row r="310">
      <c r="A310" s="4" t="inlineStr">
        <is>
          <t>Delivery page (B2C)</t>
        </is>
      </c>
      <c r="B310" s="4" t="inlineStr">
        <is>
          <t>9. Image file name + alt text</t>
        </is>
      </c>
      <c r="C310" s="4" t="inlineStr">
        <is>
          <t>rice delivery dubai</t>
        </is>
      </c>
      <c r="D310" s="4" t="inlineStr">
        <is>
          <t>File: rice-delivery-dubai-25kg-bag.webp | Alt: "Rice Delivery Dubai 25kg bag packing"</t>
        </is>
      </c>
      <c r="E310" s="4" t="inlineStr">
        <is>
          <t>Media Library mein image par click → 'Alt Text' bharo. Alt mein image jo dikha rahi hai wahi likho + keyword natural (har image mein nahi, sirf 1-2 mein). File name upload se pehle badlo.</t>
        </is>
      </c>
      <c r="F310" s="4" t="inlineStr">
        <is>
          <t>To do</t>
        </is>
      </c>
    </row>
    <row r="311">
      <c r="A311" s="4" t="inlineStr">
        <is>
          <t>Delivery page (B2C)</t>
        </is>
      </c>
      <c r="B311" s="4" t="inlineStr">
        <is>
          <t>10. Internal links - is page par aane wale links (anchor text)</t>
        </is>
      </c>
      <c r="C311" s="4" t="inlineStr">
        <is>
          <t>rice delivery dubai | rice home delivery uae | Cookychoice | get a quote</t>
        </is>
      </c>
      <c r="D311" s="4" t="inlineStr">
        <is>
          <t>Home page aur related pages se is page par link, anchor = ye words</t>
        </is>
      </c>
      <c r="E311" s="4" t="inlineStr">
        <is>
          <t>Dusre page mein relevant sentence select karo → Link button → is page ka URL. Anchor text har baar thoda alag rakho (exact + partial). 'click here' mat likho.</t>
        </is>
      </c>
      <c r="F311" s="4" t="inlineStr">
        <is>
          <t>To do</t>
        </is>
      </c>
    </row>
    <row r="312">
      <c r="A312" s="4" t="inlineStr">
        <is>
          <t>Delivery page (B2C)</t>
        </is>
      </c>
      <c r="B312" s="4" t="inlineStr">
        <is>
          <t>11. CTA button / Get Quote</t>
        </is>
      </c>
      <c r="C312" s="4" t="inlineStr">
        <is>
          <t>get a quote | request sample</t>
        </is>
      </c>
      <c r="D312" s="4" t="inlineStr">
        <is>
          <t>Button text: 'Get a Quote' / 'Request Price per Ton' / 'WhatsApp Us'</t>
        </is>
      </c>
      <c r="E312" s="4" t="inlineStr">
        <is>
          <t>Page ke upar (fold ke andar), beech mein aur neeche - teen jagah button. Button /get-quote/ page ya form pe jaye.</t>
        </is>
      </c>
      <c r="F312" s="4" t="inlineStr">
        <is>
          <t>To do</t>
        </is>
      </c>
    </row>
    <row r="313">
      <c r="A313" s="4" t="inlineStr">
        <is>
          <t>Delivery page (B2C)</t>
        </is>
      </c>
      <c r="B313" s="4" t="inlineStr">
        <is>
          <t>12. Schema (structured data)</t>
        </is>
      </c>
      <c r="C313" s="4" t="inlineStr">
        <is>
          <t>-</t>
        </is>
      </c>
      <c r="D313" s="4" t="inlineStr">
        <is>
          <t>Organization + BreadcrumbList + FAQPage</t>
        </is>
      </c>
      <c r="E313" s="4" t="inlineStr">
        <is>
          <t>Yoast/RankMath → Schema tab. Publish ke baad Google Rich Results Test mein URL daalke check karo ki error nahi hai.</t>
        </is>
      </c>
      <c r="F313" s="4" t="inlineStr">
        <is>
          <t>To do</t>
        </is>
      </c>
    </row>
    <row r="314">
      <c r="A314" s="4" t="inlineStr">
        <is>
          <t>Brands hub (B2C)</t>
        </is>
      </c>
      <c r="B314" s="4" t="inlineStr">
        <is>
          <t>1. URL slug</t>
        </is>
      </c>
      <c r="C314" s="4" t="inlineStr">
        <is>
          <t>india gate basmati rice</t>
        </is>
      </c>
      <c r="D314" s="4" t="inlineStr">
        <is>
          <t>cookychoice.com/brands/</t>
        </is>
      </c>
      <c r="E314" s="4" t="inlineStr">
        <is>
          <t>Page edit karo → Yoast SEO / RankMath box → 'Slug' ya Permalink field mein sirf primary keyword (hyphen ke saath) likho. Chhota rakho, year ya number mat daalo. Slug badalne ke baad purana URL ho to 301 redirect lagao.</t>
        </is>
      </c>
      <c r="F314" s="4" t="inlineStr">
        <is>
          <t>To do</t>
        </is>
      </c>
    </row>
    <row r="315">
      <c r="A315" s="4" t="inlineStr">
        <is>
          <t>Brands hub (B2C)</t>
        </is>
      </c>
      <c r="B315" s="4" t="inlineStr">
        <is>
          <t>2. SEO title (Google mein neela link)</t>
        </is>
      </c>
      <c r="C315" s="4" t="inlineStr">
        <is>
          <t>india gate basmati rice</t>
        </is>
      </c>
      <c r="D315" s="4" t="inlineStr">
        <is>
          <t>Rice Brands in UAE | India Gate, Daawat, Kohinoor</t>
        </is>
      </c>
      <c r="E315" s="4" t="inlineStr">
        <is>
          <t>Yoast SEO → 'SEO title' mein ye likho. Primary keyword sabse pehle, brand (Cookychoice) last. 60 characters se chhota (49 chars hai).</t>
        </is>
      </c>
      <c r="F315" s="4" t="inlineStr">
        <is>
          <t>To do</t>
        </is>
      </c>
    </row>
    <row r="316">
      <c r="A316" s="4" t="inlineStr">
        <is>
          <t>Brands hub (B2C)</t>
        </is>
      </c>
      <c r="B316" s="4" t="inlineStr">
        <is>
          <t>3. Meta description</t>
        </is>
      </c>
      <c r="C316" s="4" t="inlineStr">
        <is>
          <t>india gate basmati rice + india gate basmati rice price in uae</t>
        </is>
      </c>
      <c r="D316" s="4" t="inlineStr">
        <is>
          <t>India Gate Basmati Rice - Dubai-based bulk supplier. [Pack sizes / origins / MOQ yahan apni sachchi details daalein]. Get a quote in 24 hrs.</t>
        </is>
      </c>
      <c r="E316" s="4" t="inlineStr">
        <is>
          <t>Yoast → 'Meta description'. 140-155 characters. Primary keyword + ek offer + 'Get a quote' jaisa CTA. Apni sachchi details daalo, jhoot nahi.</t>
        </is>
      </c>
      <c r="F316" s="4" t="inlineStr">
        <is>
          <t>To do</t>
        </is>
      </c>
    </row>
    <row r="317">
      <c r="A317" s="4" t="inlineStr">
        <is>
          <t>Brands hub (B2C)</t>
        </is>
      </c>
      <c r="B317" s="4" t="inlineStr">
        <is>
          <t>4. H1 (page ka mukhya heading)</t>
        </is>
      </c>
      <c r="C317" s="4" t="inlineStr">
        <is>
          <t>india gate basmati rice</t>
        </is>
      </c>
      <c r="D317" s="4" t="inlineStr">
        <is>
          <t>Shop Rice by Brand</t>
        </is>
      </c>
      <c r="E317" s="4" t="inlineStr">
        <is>
          <t>Page editor mein sabse upar ek hi H1 (Heading 1). Primary keyword (ya uska natural form) isme hona chahiye. Ek page = ek H1.</t>
        </is>
      </c>
      <c r="F317" s="4" t="inlineStr">
        <is>
          <t>To do</t>
        </is>
      </c>
    </row>
    <row r="318">
      <c r="A318" s="4" t="inlineStr">
        <is>
          <t>Brands hub (B2C)</t>
        </is>
      </c>
      <c r="B318" s="4" t="inlineStr">
        <is>
          <t>5. Pehle 100 shabd (intro paragraph)</t>
        </is>
      </c>
      <c r="C318" s="4" t="inlineStr">
        <is>
          <t>india gate basmati rice + india gate basmati rice price in uae</t>
        </is>
      </c>
      <c r="D318" s="4" t="inlineStr">
        <is>
          <t>[Pehli 1-2 line mein 'india gate basmati rice' natural tareeke se likho.] Example: Cookychoice is a Dubai-based rice supplier for importers, exporters and bulk buyers. We supply [origins/grades] in [pack sizes] on [FOB/CIF] terms - request a quote today.</t>
        </is>
      </c>
      <c r="E318" s="4" t="inlineStr">
        <is>
          <t>H1 ke turant neeche paragraph mein primary keyword pehle 1-2 line mein aaye. Padhne mein natural lage, zabardasti nahi.</t>
        </is>
      </c>
      <c r="F318" s="4" t="inlineStr">
        <is>
          <t>To do</t>
        </is>
      </c>
    </row>
    <row r="319">
      <c r="A319" s="4" t="inlineStr">
        <is>
          <t>Brands hub (B2C)</t>
        </is>
      </c>
      <c r="B319" s="4" t="inlineStr">
        <is>
          <t>6. H2 headings (sections)</t>
        </is>
      </c>
      <c r="C319" s="4" t="inlineStr">
        <is>
          <t>daawat basmati rice | kohinoor basmati rice | tilda basmati rice | lal qilla basmati rice | mahmood rice | buy mahmood rice dubai</t>
        </is>
      </c>
      <c r="D319" s="4" t="inlineStr">
        <is>
          <t>Daawat Basmati Rice | Kohinoor Basmati Rice | Tilda Basmati Rice | Lal Qilla Basmati Rice | Mahmood Rice | Buy Mahmood Rice Dubai</t>
        </is>
      </c>
      <c r="E319" s="4" t="inlineStr">
        <is>
          <t>Har secondary keyword ko ek H2 (Heading 2) bana do aur uske neeche 2-4 line likho. Volume aane ke baad Keyword Master mein Priority score ke hisaab se top 6 ko H2 banao.</t>
        </is>
      </c>
      <c r="F319" s="4" t="inlineStr">
        <is>
          <t>To do</t>
        </is>
      </c>
    </row>
    <row r="320">
      <c r="A320" s="4" t="inlineStr">
        <is>
          <t>Brands hub (B2C)</t>
        </is>
      </c>
      <c r="B320" s="4" t="inlineStr">
        <is>
          <t>7. H3 / body paragraphs / table rows</t>
        </is>
      </c>
      <c r="C320" s="4" t="inlineStr">
        <is>
          <t>india gate basmati rice price in uae | buy india gate basmati rice dubai | daawat basmati rice price in uae | buy daawat basmati rice dubai | kohinoor basmati rice price in uae | buy kohinoor basmati rice dubai | tilda basmati rice price in uae | buy tilda basmati rice dubai | lal qilla basmati rice price in uae | buy lal qilla basmati rice dubai | mahmood rice price in uae | royal basmati rice</t>
        </is>
      </c>
      <c r="D320" s="4" t="inlineStr">
        <is>
          <t>Body mein naturally 1-2 baar, ya table / list ke andar</t>
        </is>
      </c>
      <c r="E320" s="4" t="inlineStr">
        <is>
          <t>Baaki keywords ko H3, bullet, table ya paragraph mein naturally daalo. Ek keyword page pe zyada se zyada 2-3 baar. Same keyword baar-baar mat dohrao (stuffing).</t>
        </is>
      </c>
      <c r="F320" s="4" t="inlineStr">
        <is>
          <t>To do</t>
        </is>
      </c>
    </row>
    <row r="321">
      <c r="A321" s="4" t="inlineStr">
        <is>
          <t>Brands hub (B2C)</t>
        </is>
      </c>
      <c r="B321" s="4" t="inlineStr">
        <is>
          <t>8. FAQ section + FAQPage schema</t>
        </is>
      </c>
      <c r="C321" s="4" t="inlineStr">
        <is>
          <t>What is your minimum order quantity (MOQ)? | How do I get a price quote for india gate basmati rice? | Which origins, grades and pack sizes do you supply?</t>
        </is>
      </c>
      <c r="D321" s="4" t="inlineStr">
        <is>
          <t>What is your minimum order quantity (MOQ)? | How do I get a price quote for india gate basmati rice? | Which origins, grades and pack sizes do you supply? | Do you ship internationally? Which incoterms (FOB / CIF) do you offer? | Can I get a sample before placing a bulk order?</t>
        </is>
      </c>
      <c r="E321" s="4" t="inlineStr">
        <is>
          <t>Page ke neeche 5-8 FAQ. Yoast FAQ block ya RankMath FAQ block use karo - schema apne aap ban jaata hai. Jawab 40-60 shabd.</t>
        </is>
      </c>
      <c r="F321" s="4" t="inlineStr">
        <is>
          <t>To do</t>
        </is>
      </c>
    </row>
    <row r="322">
      <c r="A322" s="4" t="inlineStr">
        <is>
          <t>Brands hub (B2C)</t>
        </is>
      </c>
      <c r="B322" s="4" t="inlineStr">
        <is>
          <t>9. Image file name + alt text</t>
        </is>
      </c>
      <c r="C322" s="4" t="inlineStr">
        <is>
          <t>india gate basmati rice</t>
        </is>
      </c>
      <c r="D322" s="4" t="inlineStr">
        <is>
          <t>File: india-gate-basmati-rice-25kg-bag.webp | Alt: "India Gate Basmati Rice 25kg bag packing"</t>
        </is>
      </c>
      <c r="E322" s="4" t="inlineStr">
        <is>
          <t>Media Library mein image par click → 'Alt Text' bharo. Alt mein image jo dikha rahi hai wahi likho + keyword natural (har image mein nahi, sirf 1-2 mein). File name upload se pehle badlo.</t>
        </is>
      </c>
      <c r="F322" s="4" t="inlineStr">
        <is>
          <t>To do</t>
        </is>
      </c>
    </row>
    <row r="323">
      <c r="A323" s="4" t="inlineStr">
        <is>
          <t>Brands hub (B2C)</t>
        </is>
      </c>
      <c r="B323" s="4" t="inlineStr">
        <is>
          <t>10. Internal links - is page par aane wale links (anchor text)</t>
        </is>
      </c>
      <c r="C323" s="4" t="inlineStr">
        <is>
          <t>india gate basmati rice | india gate basmati rice price in uae | Cookychoice | get a quote</t>
        </is>
      </c>
      <c r="D323" s="4" t="inlineStr">
        <is>
          <t>Home page aur related pages se is page par link, anchor = ye words</t>
        </is>
      </c>
      <c r="E323" s="4" t="inlineStr">
        <is>
          <t>Dusre page mein relevant sentence select karo → Link button → is page ka URL. Anchor text har baar thoda alag rakho (exact + partial). 'click here' mat likho.</t>
        </is>
      </c>
      <c r="F323" s="4" t="inlineStr">
        <is>
          <t>To do</t>
        </is>
      </c>
    </row>
    <row r="324">
      <c r="A324" s="4" t="inlineStr">
        <is>
          <t>Brands hub (B2C)</t>
        </is>
      </c>
      <c r="B324" s="4" t="inlineStr">
        <is>
          <t>11. CTA button / Get Quote</t>
        </is>
      </c>
      <c r="C324" s="4" t="inlineStr">
        <is>
          <t>get a quote | request sample</t>
        </is>
      </c>
      <c r="D324" s="4" t="inlineStr">
        <is>
          <t>Button text: 'Get a Quote' / 'Request Price per Ton' / 'WhatsApp Us'</t>
        </is>
      </c>
      <c r="E324" s="4" t="inlineStr">
        <is>
          <t>Page ke upar (fold ke andar), beech mein aur neeche - teen jagah button. Button /get-quote/ page ya form pe jaye.</t>
        </is>
      </c>
      <c r="F324" s="4" t="inlineStr">
        <is>
          <t>To do</t>
        </is>
      </c>
    </row>
    <row r="325">
      <c r="A325" s="4" t="inlineStr">
        <is>
          <t>Brands hub (B2C)</t>
        </is>
      </c>
      <c r="B325" s="4" t="inlineStr">
        <is>
          <t>12. Schema (structured data)</t>
        </is>
      </c>
      <c r="C325" s="4" t="inlineStr">
        <is>
          <t>-</t>
        </is>
      </c>
      <c r="D325" s="4" t="inlineStr">
        <is>
          <t>Organization + BreadcrumbList + FAQPage</t>
        </is>
      </c>
      <c r="E325" s="4" t="inlineStr">
        <is>
          <t>Yoast/RankMath → Schema tab. Publish ke baad Google Rich Results Test mein URL daalke check karo ki error nahi hai.</t>
        </is>
      </c>
      <c r="F325" s="4" t="inlineStr">
        <is>
          <t>To do</t>
        </is>
      </c>
    </row>
    <row r="326">
      <c r="A326" s="4" t="inlineStr">
        <is>
          <t>Biryani &amp; Kabsa Rice (B2C)</t>
        </is>
      </c>
      <c r="B326" s="4" t="inlineStr">
        <is>
          <t>1. URL slug</t>
        </is>
      </c>
      <c r="C326" s="4" t="inlineStr">
        <is>
          <t>rice for biryani</t>
        </is>
      </c>
      <c r="D326" s="4" t="inlineStr">
        <is>
          <t>cookychoice.com/biryani-kabsa-rice/</t>
        </is>
      </c>
      <c r="E326" s="4" t="inlineStr">
        <is>
          <t>Page edit karo → Yoast SEO / RankMath box → 'Slug' ya Permalink field mein sirf primary keyword (hyphen ke saath) likho. Chhota rakho, year ya number mat daalo. Slug badalne ke baad purana URL ho to 301 redirect lagao.</t>
        </is>
      </c>
      <c r="F326" s="4" t="inlineStr">
        <is>
          <t>To do</t>
        </is>
      </c>
    </row>
    <row r="327">
      <c r="A327" s="4" t="inlineStr">
        <is>
          <t>Biryani &amp; Kabsa Rice (B2C)</t>
        </is>
      </c>
      <c r="B327" s="4" t="inlineStr">
        <is>
          <t>2. SEO title (Google mein neela link)</t>
        </is>
      </c>
      <c r="C327" s="4" t="inlineStr">
        <is>
          <t>rice for biryani</t>
        </is>
      </c>
      <c r="D327" s="4" t="inlineStr">
        <is>
          <t>Best Rice for Biryani &amp; Kabsa UAE</t>
        </is>
      </c>
      <c r="E327" s="4" t="inlineStr">
        <is>
          <t>Yoast SEO → 'SEO title' mein ye likho. Primary keyword sabse pehle, brand (Cookychoice) last. 60 characters se chhota (33 chars hai).</t>
        </is>
      </c>
      <c r="F327" s="4" t="inlineStr">
        <is>
          <t>To do</t>
        </is>
      </c>
    </row>
    <row r="328">
      <c r="A328" s="4" t="inlineStr">
        <is>
          <t>Biryani &amp; Kabsa Rice (B2C)</t>
        </is>
      </c>
      <c r="B328" s="4" t="inlineStr">
        <is>
          <t>3. Meta description</t>
        </is>
      </c>
      <c r="C328" s="4" t="inlineStr">
        <is>
          <t>rice for biryani + biryani rice</t>
        </is>
      </c>
      <c r="D328" s="4" t="inlineStr">
        <is>
          <t>Rice for Biryani - Dubai-based bulk supplier. [Pack sizes / origins / MOQ yahan apni sachchi details daalein]. Get a quote in 24 hrs.</t>
        </is>
      </c>
      <c r="E328" s="4" t="inlineStr">
        <is>
          <t>Yoast → 'Meta description'. 140-155 characters. Primary keyword + ek offer + 'Get a quote' jaisa CTA. Apni sachchi details daalo, jhoot nahi.</t>
        </is>
      </c>
      <c r="F328" s="4" t="inlineStr">
        <is>
          <t>To do</t>
        </is>
      </c>
    </row>
    <row r="329">
      <c r="A329" s="4" t="inlineStr">
        <is>
          <t>Biryani &amp; Kabsa Rice (B2C)</t>
        </is>
      </c>
      <c r="B329" s="4" t="inlineStr">
        <is>
          <t>4. H1 (page ka mukhya heading)</t>
        </is>
      </c>
      <c r="C329" s="4" t="inlineStr">
        <is>
          <t>rice for biryani</t>
        </is>
      </c>
      <c r="D329" s="4" t="inlineStr">
        <is>
          <t>Rice for Biryani &amp; Kabsa</t>
        </is>
      </c>
      <c r="E329" s="4" t="inlineStr">
        <is>
          <t>Page editor mein sabse upar ek hi H1 (Heading 1). Primary keyword (ya uska natural form) isme hona chahiye. Ek page = ek H1.</t>
        </is>
      </c>
      <c r="F329" s="4" t="inlineStr">
        <is>
          <t>To do</t>
        </is>
      </c>
    </row>
    <row r="330">
      <c r="A330" s="4" t="inlineStr">
        <is>
          <t>Biryani &amp; Kabsa Rice (B2C)</t>
        </is>
      </c>
      <c r="B330" s="4" t="inlineStr">
        <is>
          <t>5. Pehle 100 shabd (intro paragraph)</t>
        </is>
      </c>
      <c r="C330" s="4" t="inlineStr">
        <is>
          <t>rice for biryani + biryani rice</t>
        </is>
      </c>
      <c r="D330" s="4" t="inlineStr">
        <is>
          <t>[Pehli 1-2 line mein 'rice for biryani' natural tareeke se likho.] Example: Cookychoice is a Dubai-based rice supplier for importers, exporters and bulk buyers. We supply [origins/grades] in [pack sizes] on [FOB/CIF] terms - request a quote today.</t>
        </is>
      </c>
      <c r="E330" s="4" t="inlineStr">
        <is>
          <t>H1 ke turant neeche paragraph mein primary keyword pehle 1-2 line mein aaye. Padhne mein natural lage, zabardasti nahi.</t>
        </is>
      </c>
      <c r="F330" s="4" t="inlineStr">
        <is>
          <t>To do</t>
        </is>
      </c>
    </row>
    <row r="331">
      <c r="A331" s="4" t="inlineStr">
        <is>
          <t>Biryani &amp; Kabsa Rice (B2C)</t>
        </is>
      </c>
      <c r="B331" s="4" t="inlineStr">
        <is>
          <t>6. H2 headings (sections)</t>
        </is>
      </c>
      <c r="C331" s="4" t="inlineStr">
        <is>
          <t>biryani rice | buy biryani rice online | biryani rice online dubai | biryani rice wholesale dubai | biryani rice supplier uae | rice for kabsa</t>
        </is>
      </c>
      <c r="D331" s="4" t="inlineStr">
        <is>
          <t>Biryani Rice | Buy Biryani Rice Online | Biryani Rice Online Dubai | Biryani Rice Wholesale Dubai | Biryani Rice Supplier Uae | Rice for Kabsa</t>
        </is>
      </c>
      <c r="E331" s="4" t="inlineStr">
        <is>
          <t>Har secondary keyword ko ek H2 (Heading 2) bana do aur uske neeche 2-4 line likho. Volume aane ke baad Keyword Master mein Priority score ke hisaab se top 6 ko H2 banao.</t>
        </is>
      </c>
      <c r="F331" s="4" t="inlineStr">
        <is>
          <t>To do</t>
        </is>
      </c>
    </row>
    <row r="332">
      <c r="A332" s="4" t="inlineStr">
        <is>
          <t>Biryani &amp; Kabsa Rice (B2C)</t>
        </is>
      </c>
      <c r="B332" s="4" t="inlineStr">
        <is>
          <t>7. H3 / body paragraphs / table rows</t>
        </is>
      </c>
      <c r="C332" s="4" t="inlineStr">
        <is>
          <t>biryani rice price in uae | biryani rice price in dubai | buy rice for biryani online | rice for biryani price in uae | rice for biryani price in dubai | rice for biryani online dubai | rice for biryani wholesale dubai | rice for biryani supplier uae | buy rice for kabsa online | rice for kabsa price in uae | rice for kabsa price in dubai | rice for kabsa online dubai</t>
        </is>
      </c>
      <c r="D332" s="4" t="inlineStr">
        <is>
          <t>Body mein naturally 1-2 baar, ya table / list ke andar</t>
        </is>
      </c>
      <c r="E332" s="4" t="inlineStr">
        <is>
          <t>Baaki keywords ko H3, bullet, table ya paragraph mein naturally daalo. Ek keyword page pe zyada se zyada 2-3 baar. Same keyword baar-baar mat dohrao (stuffing).</t>
        </is>
      </c>
      <c r="F332" s="4" t="inlineStr">
        <is>
          <t>To do</t>
        </is>
      </c>
    </row>
    <row r="333">
      <c r="A333" s="4" t="inlineStr">
        <is>
          <t>Biryani &amp; Kabsa Rice (B2C)</t>
        </is>
      </c>
      <c r="B333" s="4" t="inlineStr">
        <is>
          <t>8. FAQ section + FAQPage schema</t>
        </is>
      </c>
      <c r="C333" s="4" t="inlineStr">
        <is>
          <t>What is your minimum order quantity (MOQ)? | How do I get a price quote for rice for biryani? | Which origins, grades and pack sizes do you supply?</t>
        </is>
      </c>
      <c r="D333" s="4" t="inlineStr">
        <is>
          <t>What is your minimum order quantity (MOQ)? | How do I get a price quote for rice for biryani? | Which origins, grades and pack sizes do you supply? | Do you ship internationally? Which incoterms (FOB / CIF) do you offer? | Can I get a sample before placing a bulk order?</t>
        </is>
      </c>
      <c r="E333" s="4" t="inlineStr">
        <is>
          <t>Page ke neeche 5-8 FAQ. Yoast FAQ block ya RankMath FAQ block use karo - schema apne aap ban jaata hai. Jawab 40-60 shabd.</t>
        </is>
      </c>
      <c r="F333" s="4" t="inlineStr">
        <is>
          <t>To do</t>
        </is>
      </c>
    </row>
    <row r="334">
      <c r="A334" s="4" t="inlineStr">
        <is>
          <t>Biryani &amp; Kabsa Rice (B2C)</t>
        </is>
      </c>
      <c r="B334" s="4" t="inlineStr">
        <is>
          <t>9. Image file name + alt text</t>
        </is>
      </c>
      <c r="C334" s="4" t="inlineStr">
        <is>
          <t>rice for biryani</t>
        </is>
      </c>
      <c r="D334" s="4" t="inlineStr">
        <is>
          <t>File: rice-for-biryani-25kg-bag.webp | Alt: "Rice for Biryani 25kg bag packing"</t>
        </is>
      </c>
      <c r="E334" s="4" t="inlineStr">
        <is>
          <t>Media Library mein image par click → 'Alt Text' bharo. Alt mein image jo dikha rahi hai wahi likho + keyword natural (har image mein nahi, sirf 1-2 mein). File name upload se pehle badlo.</t>
        </is>
      </c>
      <c r="F334" s="4" t="inlineStr">
        <is>
          <t>To do</t>
        </is>
      </c>
    </row>
    <row r="335">
      <c r="A335" s="4" t="inlineStr">
        <is>
          <t>Biryani &amp; Kabsa Rice (B2C)</t>
        </is>
      </c>
      <c r="B335" s="4" t="inlineStr">
        <is>
          <t>10. Internal links - is page par aane wale links (anchor text)</t>
        </is>
      </c>
      <c r="C335" s="4" t="inlineStr">
        <is>
          <t>rice for biryani | biryani rice | Cookychoice | get a quote</t>
        </is>
      </c>
      <c r="D335" s="4" t="inlineStr">
        <is>
          <t>Home page aur related pages se is page par link, anchor = ye words</t>
        </is>
      </c>
      <c r="E335" s="4" t="inlineStr">
        <is>
          <t>Dusre page mein relevant sentence select karo → Link button → is page ka URL. Anchor text har baar thoda alag rakho (exact + partial). 'click here' mat likho.</t>
        </is>
      </c>
      <c r="F335" s="4" t="inlineStr">
        <is>
          <t>To do</t>
        </is>
      </c>
    </row>
    <row r="336">
      <c r="A336" s="4" t="inlineStr">
        <is>
          <t>Biryani &amp; Kabsa Rice (B2C)</t>
        </is>
      </c>
      <c r="B336" s="4" t="inlineStr">
        <is>
          <t>11. CTA button / Get Quote</t>
        </is>
      </c>
      <c r="C336" s="4" t="inlineStr">
        <is>
          <t>get a quote | request sample</t>
        </is>
      </c>
      <c r="D336" s="4" t="inlineStr">
        <is>
          <t>Button text: 'Get a Quote' / 'Request Price per Ton' / 'WhatsApp Us'</t>
        </is>
      </c>
      <c r="E336" s="4" t="inlineStr">
        <is>
          <t>Page ke upar (fold ke andar), beech mein aur neeche - teen jagah button. Button /get-quote/ page ya form pe jaye.</t>
        </is>
      </c>
      <c r="F336" s="4" t="inlineStr">
        <is>
          <t>To do</t>
        </is>
      </c>
    </row>
    <row r="337">
      <c r="A337" s="4" t="inlineStr">
        <is>
          <t>Biryani &amp; Kabsa Rice (B2C)</t>
        </is>
      </c>
      <c r="B337" s="4" t="inlineStr">
        <is>
          <t>12. Schema (structured data)</t>
        </is>
      </c>
      <c r="C337" s="4" t="inlineStr">
        <is>
          <t>-</t>
        </is>
      </c>
      <c r="D337" s="4" t="inlineStr">
        <is>
          <t>Organization + BreadcrumbList + FAQPage</t>
        </is>
      </c>
      <c r="E337" s="4" t="inlineStr">
        <is>
          <t>Yoast/RankMath → Schema tab. Publish ke baad Google Rich Results Test mein URL daalke check karo ki error nahi hai.</t>
        </is>
      </c>
      <c r="F337" s="4" t="inlineStr">
        <is>
          <t>To do</t>
        </is>
      </c>
    </row>
  </sheetData>
  <autoFilter ref="A1:F3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576"/>
  <sheetViews>
    <sheetView workbookViewId="0">
      <pane ySplit="1" topLeftCell="A2" activePane="bottomLeft" state="frozen"/>
      <selection pane="bottomLeft" activeCell="A1" sqref="A1"/>
    </sheetView>
  </sheetViews>
  <sheetFormatPr baseColWidth="8" defaultRowHeight="15"/>
  <cols>
    <col width="42" customWidth="1" min="1" max="1"/>
    <col width="20" customWidth="1" min="2" max="2"/>
    <col width="26" customWidth="1" min="3" max="3"/>
    <col width="34" customWidth="1" min="4" max="4"/>
    <col width="22" customWidth="1" min="5" max="5"/>
    <col width="44" customWidth="1" min="6" max="6"/>
    <col width="20" customWidth="1" min="7" max="7"/>
    <col width="16" customWidth="1" min="8" max="8"/>
    <col width="22" customWidth="1" min="9" max="9"/>
    <col width="10" customWidth="1" min="10" max="10"/>
    <col width="22" customWidth="1" min="11" max="11"/>
    <col width="16" customWidth="1" min="12" max="12"/>
    <col width="14" customWidth="1" min="13" max="13"/>
    <col width="12" customWidth="1" min="14" max="14"/>
    <col width="10" customWidth="1" min="15" max="15"/>
    <col width="16" customWidth="1" min="16" max="16"/>
    <col width="12" customWidth="1" min="17" max="17"/>
    <col width="14" customWidth="1" min="18" max="18"/>
    <col width="14" customWidth="1" min="19" max="19"/>
    <col width="24" customWidth="1" min="20" max="20"/>
  </cols>
  <sheetData>
    <row r="1">
      <c r="A1" s="3" t="inlineStr">
        <is>
          <t>Keyword</t>
        </is>
      </c>
      <c r="B1" s="3" t="inlineStr">
        <is>
          <t>Phase</t>
        </is>
      </c>
      <c r="C1" s="3" t="inlineStr">
        <is>
          <t>Customer segment</t>
        </is>
      </c>
      <c r="D1" s="3" t="inlineStr">
        <is>
          <t>FINAL PAGE (isi page pe lagao)</t>
        </is>
      </c>
      <c r="E1" s="3" t="inlineStr">
        <is>
          <t>Role on page</t>
        </is>
      </c>
      <c r="F1" s="3" t="inlineStr">
        <is>
          <t>Keyword kahan lagana hai (spot)</t>
        </is>
      </c>
      <c r="G1" s="3" t="inlineStr">
        <is>
          <t>Cluster / Term group</t>
        </is>
      </c>
      <c r="H1" s="3" t="inlineStr">
        <is>
          <t>Product category</t>
        </is>
      </c>
      <c r="I1" s="3" t="inlineStr">
        <is>
          <t>Search intent</t>
        </is>
      </c>
      <c r="J1" s="3" t="inlineStr">
        <is>
          <t>Funnel stage</t>
        </is>
      </c>
      <c r="K1" s="3" t="inlineStr">
        <is>
          <t>Location</t>
        </is>
      </c>
      <c r="L1" s="3" t="inlineStr">
        <is>
          <t>Page type</t>
        </is>
      </c>
      <c r="M1" s="3" t="inlineStr">
        <is>
          <t>Search Volume (Semrush)</t>
        </is>
      </c>
      <c r="N1" s="3" t="inlineStr">
        <is>
          <t>KD % (Semrush)</t>
        </is>
      </c>
      <c r="O1" s="3" t="inlineStr">
        <is>
          <t>CPC USD</t>
        </is>
      </c>
      <c r="P1" s="3" t="inlineStr">
        <is>
          <t>KP Avg Monthly Searches</t>
        </is>
      </c>
      <c r="Q1" s="3" t="inlineStr">
        <is>
          <t>Priority score</t>
        </is>
      </c>
      <c r="R1" s="3" t="inlineStr">
        <is>
          <t>Priority tier</t>
        </is>
      </c>
      <c r="S1" s="3" t="inlineStr">
        <is>
          <t>Status (To do / Done)</t>
        </is>
      </c>
      <c r="T1" s="3" t="inlineStr">
        <is>
          <t>Notes</t>
        </is>
      </c>
    </row>
    <row r="2">
      <c r="A2" t="inlineStr">
        <is>
          <t>basmati rice</t>
        </is>
      </c>
      <c r="B2" t="inlineStr">
        <is>
          <t>Phase 1 - B2B now</t>
        </is>
      </c>
      <c r="C2" t="inlineStr">
        <is>
          <t>Wholesalers / bulk buyers</t>
        </is>
      </c>
      <c r="D2" t="inlineStr">
        <is>
          <t>Basmati Rice (category)</t>
        </is>
      </c>
      <c r="E2" t="inlineStr">
        <is>
          <t>Secondary (short)</t>
        </is>
      </c>
      <c r="F2" t="inlineStr">
        <is>
          <t>H2 heading + 1st paragraph under it</t>
        </is>
      </c>
      <c r="G2" t="inlineStr">
        <is>
          <t>Core product</t>
        </is>
      </c>
      <c r="H2" t="inlineStr">
        <is>
          <t>Basmati</t>
        </is>
      </c>
      <c r="I2" t="inlineStr">
        <is>
          <t>Informational/Commercial</t>
        </is>
      </c>
      <c r="J2" t="inlineStr">
        <is>
          <t>TOFU</t>
        </is>
      </c>
      <c r="K2" t="inlineStr">
        <is>
          <t>UAE (generic)</t>
        </is>
      </c>
      <c r="L2" t="inlineStr">
        <is>
          <t>Category</t>
        </is>
      </c>
      <c r="M2">
        <f>IFERROR(VLOOKUP($A2,'Semrush Import'!$A:$D,2,FALSE),"")</f>
        <v/>
      </c>
      <c r="N2">
        <f>IFERROR(VLOOKUP($A2,'Semrush Import'!$A:$D,3,FALSE),"")</f>
        <v/>
      </c>
      <c r="O2">
        <f>IFERROR(VLOOKUP($A2,'Semrush Import'!$A:$D,4,FALSE),"")</f>
        <v/>
      </c>
      <c r="P2">
        <f>IFERROR(VLOOKUP($A2,'KP Import'!$A:$B,2,FALSE),"")</f>
        <v/>
      </c>
      <c r="Q2">
        <f>IF(M2="","",ROUND(M2/(N2+10),1))</f>
        <v/>
      </c>
      <c r="R2">
        <f>IF(Q2="","",IF(Q2&gt;=20,"A - Go first",IF(Q2&gt;=5,"B - Next","C - Later")))</f>
        <v/>
      </c>
      <c r="S2" t="inlineStr">
        <is>
          <t>To do</t>
        </is>
      </c>
      <c r="T2" t="inlineStr"/>
    </row>
    <row r="3">
      <c r="A3" t="inlineStr">
        <is>
          <t>buy basmati rice online</t>
        </is>
      </c>
      <c r="B3" t="inlineStr">
        <is>
          <t>Phase 2 - B2C (later)</t>
        </is>
      </c>
      <c r="C3" t="inlineStr">
        <is>
          <t>Consumer / household</t>
        </is>
      </c>
      <c r="D3" t="inlineStr">
        <is>
          <t>Shop (B2C)</t>
        </is>
      </c>
      <c r="E3" t="inlineStr">
        <is>
          <t>Secondary (long-tail)</t>
        </is>
      </c>
      <c r="F3" t="inlineStr">
        <is>
          <t>H3 / body paragraph / table row / image alt</t>
        </is>
      </c>
      <c r="G3" t="inlineStr">
        <is>
          <t>Transactional</t>
        </is>
      </c>
      <c r="H3" t="inlineStr">
        <is>
          <t>Basmati</t>
        </is>
      </c>
      <c r="I3" t="inlineStr">
        <is>
          <t>Transactional</t>
        </is>
      </c>
      <c r="J3" t="inlineStr">
        <is>
          <t>BOFU</t>
        </is>
      </c>
      <c r="K3" t="inlineStr">
        <is>
          <t>UAE (generic)</t>
        </is>
      </c>
      <c r="L3" t="inlineStr">
        <is>
          <t>Category</t>
        </is>
      </c>
      <c r="M3">
        <f>IFERROR(VLOOKUP($A3,'Semrush Import'!$A:$D,2,FALSE),"")</f>
        <v/>
      </c>
      <c r="N3">
        <f>IFERROR(VLOOKUP($A3,'Semrush Import'!$A:$D,3,FALSE),"")</f>
        <v/>
      </c>
      <c r="O3">
        <f>IFERROR(VLOOKUP($A3,'Semrush Import'!$A:$D,4,FALSE),"")</f>
        <v/>
      </c>
      <c r="P3">
        <f>IFERROR(VLOOKUP($A3,'KP Import'!$A:$B,2,FALSE),"")</f>
        <v/>
      </c>
      <c r="Q3">
        <f>IF(M3="","",ROUND(M3/(N3+10),1))</f>
        <v/>
      </c>
      <c r="R3">
        <f>IF(Q3="","",IF(Q3&gt;=20,"A - Go first",IF(Q3&gt;=5,"B - Next","C - Later")))</f>
        <v/>
      </c>
      <c r="S3" t="inlineStr">
        <is>
          <t>To do</t>
        </is>
      </c>
      <c r="T3" t="inlineStr"/>
    </row>
    <row r="4">
      <c r="A4" t="inlineStr">
        <is>
          <t>basmati rice price in uae</t>
        </is>
      </c>
      <c r="B4" t="inlineStr">
        <is>
          <t>Phase 1 - B2B now</t>
        </is>
      </c>
      <c r="C4" t="inlineStr">
        <is>
          <t>Wholesalers / bulk buyers</t>
        </is>
      </c>
      <c r="D4" t="inlineStr">
        <is>
          <t>Basmati Rice (category)</t>
        </is>
      </c>
      <c r="E4" t="inlineStr">
        <is>
          <t>Secondary (long-tail)</t>
        </is>
      </c>
      <c r="F4" t="inlineStr">
        <is>
          <t>H3 / body paragraph / table row / image alt</t>
        </is>
      </c>
      <c r="G4" t="inlineStr">
        <is>
          <t>Price</t>
        </is>
      </c>
      <c r="H4" t="inlineStr">
        <is>
          <t>Basmati</t>
        </is>
      </c>
      <c r="I4" t="inlineStr">
        <is>
          <t>Commercial/Transactional</t>
        </is>
      </c>
      <c r="J4" t="inlineStr">
        <is>
          <t>MOFU</t>
        </is>
      </c>
      <c r="K4" t="inlineStr">
        <is>
          <t>UAE</t>
        </is>
      </c>
      <c r="L4" t="inlineStr">
        <is>
          <t>Category</t>
        </is>
      </c>
      <c r="M4">
        <f>IFERROR(VLOOKUP($A4,'Semrush Import'!$A:$D,2,FALSE),"")</f>
        <v/>
      </c>
      <c r="N4">
        <f>IFERROR(VLOOKUP($A4,'Semrush Import'!$A:$D,3,FALSE),"")</f>
        <v/>
      </c>
      <c r="O4">
        <f>IFERROR(VLOOKUP($A4,'Semrush Import'!$A:$D,4,FALSE),"")</f>
        <v/>
      </c>
      <c r="P4">
        <f>IFERROR(VLOOKUP($A4,'KP Import'!$A:$B,2,FALSE),"")</f>
        <v/>
      </c>
      <c r="Q4">
        <f>IF(M4="","",ROUND(M4/(N4+10),1))</f>
        <v/>
      </c>
      <c r="R4">
        <f>IF(Q4="","",IF(Q4&gt;=20,"A - Go first",IF(Q4&gt;=5,"B - Next","C - Later")))</f>
        <v/>
      </c>
      <c r="S4" t="inlineStr">
        <is>
          <t>To do</t>
        </is>
      </c>
      <c r="T4" t="inlineStr"/>
    </row>
    <row r="5">
      <c r="A5" t="inlineStr">
        <is>
          <t>basmati rice price in dubai</t>
        </is>
      </c>
      <c r="B5" t="inlineStr">
        <is>
          <t>Phase 1 - B2B now</t>
        </is>
      </c>
      <c r="C5" t="inlineStr">
        <is>
          <t>Wholesalers / bulk buyers</t>
        </is>
      </c>
      <c r="D5" t="inlineStr">
        <is>
          <t>Basmati Rice (category)</t>
        </is>
      </c>
      <c r="E5" t="inlineStr">
        <is>
          <t>Secondary (long-tail)</t>
        </is>
      </c>
      <c r="F5" t="inlineStr">
        <is>
          <t>H3 / body paragraph / table row / image alt</t>
        </is>
      </c>
      <c r="G5" t="inlineStr">
        <is>
          <t>Price</t>
        </is>
      </c>
      <c r="H5" t="inlineStr">
        <is>
          <t>Basmati</t>
        </is>
      </c>
      <c r="I5" t="inlineStr">
        <is>
          <t>Commercial/Transactional</t>
        </is>
      </c>
      <c r="J5" t="inlineStr">
        <is>
          <t>MOFU</t>
        </is>
      </c>
      <c r="K5" t="inlineStr">
        <is>
          <t>Dubai</t>
        </is>
      </c>
      <c r="L5" t="inlineStr">
        <is>
          <t>Category</t>
        </is>
      </c>
      <c r="M5">
        <f>IFERROR(VLOOKUP($A5,'Semrush Import'!$A:$D,2,FALSE),"")</f>
        <v/>
      </c>
      <c r="N5">
        <f>IFERROR(VLOOKUP($A5,'Semrush Import'!$A:$D,3,FALSE),"")</f>
        <v/>
      </c>
      <c r="O5">
        <f>IFERROR(VLOOKUP($A5,'Semrush Import'!$A:$D,4,FALSE),"")</f>
        <v/>
      </c>
      <c r="P5">
        <f>IFERROR(VLOOKUP($A5,'KP Import'!$A:$B,2,FALSE),"")</f>
        <v/>
      </c>
      <c r="Q5">
        <f>IF(M5="","",ROUND(M5/(N5+10),1))</f>
        <v/>
      </c>
      <c r="R5">
        <f>IF(Q5="","",IF(Q5&gt;=20,"A - Go first",IF(Q5&gt;=5,"B - Next","C - Later")))</f>
        <v/>
      </c>
      <c r="S5" t="inlineStr">
        <is>
          <t>To do</t>
        </is>
      </c>
      <c r="T5" t="inlineStr"/>
    </row>
    <row r="6">
      <c r="A6" t="inlineStr">
        <is>
          <t>basmati rice online dubai</t>
        </is>
      </c>
      <c r="B6" t="inlineStr">
        <is>
          <t>Phase 2 - B2C (later)</t>
        </is>
      </c>
      <c r="C6" t="inlineStr">
        <is>
          <t>Consumer / household</t>
        </is>
      </c>
      <c r="D6" t="inlineStr">
        <is>
          <t>Shop (B2C)</t>
        </is>
      </c>
      <c r="E6" t="inlineStr">
        <is>
          <t>Secondary (long-tail)</t>
        </is>
      </c>
      <c r="F6" t="inlineStr">
        <is>
          <t>H3 / body paragraph / table row / image alt</t>
        </is>
      </c>
      <c r="G6" t="inlineStr">
        <is>
          <t>Transactional</t>
        </is>
      </c>
      <c r="H6" t="inlineStr">
        <is>
          <t>Basmati</t>
        </is>
      </c>
      <c r="I6" t="inlineStr">
        <is>
          <t>Transactional</t>
        </is>
      </c>
      <c r="J6" t="inlineStr">
        <is>
          <t>BOFU</t>
        </is>
      </c>
      <c r="K6" t="inlineStr">
        <is>
          <t>Dubai</t>
        </is>
      </c>
      <c r="L6" t="inlineStr">
        <is>
          <t>Category</t>
        </is>
      </c>
      <c r="M6">
        <f>IFERROR(VLOOKUP($A6,'Semrush Import'!$A:$D,2,FALSE),"")</f>
        <v/>
      </c>
      <c r="N6">
        <f>IFERROR(VLOOKUP($A6,'Semrush Import'!$A:$D,3,FALSE),"")</f>
        <v/>
      </c>
      <c r="O6">
        <f>IFERROR(VLOOKUP($A6,'Semrush Import'!$A:$D,4,FALSE),"")</f>
        <v/>
      </c>
      <c r="P6">
        <f>IFERROR(VLOOKUP($A6,'KP Import'!$A:$B,2,FALSE),"")</f>
        <v/>
      </c>
      <c r="Q6">
        <f>IF(M6="","",ROUND(M6/(N6+10),1))</f>
        <v/>
      </c>
      <c r="R6">
        <f>IF(Q6="","",IF(Q6&gt;=20,"A - Go first",IF(Q6&gt;=5,"B - Next","C - Later")))</f>
        <v/>
      </c>
      <c r="S6" t="inlineStr">
        <is>
          <t>To do</t>
        </is>
      </c>
      <c r="T6" t="inlineStr"/>
    </row>
    <row r="7">
      <c r="A7" t="inlineStr">
        <is>
          <t>basmati rice wholesale dubai</t>
        </is>
      </c>
      <c r="B7" t="inlineStr">
        <is>
          <t>Phase 1 - B2B now</t>
        </is>
      </c>
      <c r="C7" t="inlineStr">
        <is>
          <t>Wholesalers / bulk buyers</t>
        </is>
      </c>
      <c r="D7" t="inlineStr">
        <is>
          <t>Basmati Rice (category)</t>
        </is>
      </c>
      <c r="E7" t="inlineStr">
        <is>
          <t>Secondary (long-tail)</t>
        </is>
      </c>
      <c r="F7" t="inlineStr">
        <is>
          <t>H3 / body paragraph / table row / image alt</t>
        </is>
      </c>
      <c r="G7" t="inlineStr">
        <is>
          <t>Wholesale/B2B</t>
        </is>
      </c>
      <c r="H7" t="inlineStr">
        <is>
          <t>Basmati</t>
        </is>
      </c>
      <c r="I7" t="inlineStr">
        <is>
          <t>Transactional (B2B)</t>
        </is>
      </c>
      <c r="J7" t="inlineStr">
        <is>
          <t>BOFU</t>
        </is>
      </c>
      <c r="K7" t="inlineStr">
        <is>
          <t>Dubai</t>
        </is>
      </c>
      <c r="L7" t="inlineStr">
        <is>
          <t>Landing</t>
        </is>
      </c>
      <c r="M7">
        <f>IFERROR(VLOOKUP($A7,'Semrush Import'!$A:$D,2,FALSE),"")</f>
        <v/>
      </c>
      <c r="N7">
        <f>IFERROR(VLOOKUP($A7,'Semrush Import'!$A:$D,3,FALSE),"")</f>
        <v/>
      </c>
      <c r="O7">
        <f>IFERROR(VLOOKUP($A7,'Semrush Import'!$A:$D,4,FALSE),"")</f>
        <v/>
      </c>
      <c r="P7">
        <f>IFERROR(VLOOKUP($A7,'KP Import'!$A:$B,2,FALSE),"")</f>
        <v/>
      </c>
      <c r="Q7">
        <f>IF(M7="","",ROUND(M7/(N7+10),1))</f>
        <v/>
      </c>
      <c r="R7">
        <f>IF(Q7="","",IF(Q7&gt;=20,"A - Go first",IF(Q7&gt;=5,"B - Next","C - Later")))</f>
        <v/>
      </c>
      <c r="S7" t="inlineStr">
        <is>
          <t>To do</t>
        </is>
      </c>
      <c r="T7" t="inlineStr"/>
    </row>
    <row r="8">
      <c r="A8" t="inlineStr">
        <is>
          <t>basmati rice supplier uae</t>
        </is>
      </c>
      <c r="B8" t="inlineStr">
        <is>
          <t>Phase 1 - B2B now</t>
        </is>
      </c>
      <c r="C8" t="inlineStr">
        <is>
          <t>Wholesalers / bulk buyers</t>
        </is>
      </c>
      <c r="D8" t="inlineStr">
        <is>
          <t>Basmati Rice (category)</t>
        </is>
      </c>
      <c r="E8" t="inlineStr">
        <is>
          <t>PRIMARY</t>
        </is>
      </c>
      <c r="F8" t="inlineStr">
        <is>
          <t>URL slug + SEO title + H1 + meta description + first 100 words</t>
        </is>
      </c>
      <c r="G8" t="inlineStr">
        <is>
          <t>Wholesale/B2B</t>
        </is>
      </c>
      <c r="H8" t="inlineStr">
        <is>
          <t>Basmati</t>
        </is>
      </c>
      <c r="I8" t="inlineStr">
        <is>
          <t>Transactional (B2B)</t>
        </is>
      </c>
      <c r="J8" t="inlineStr">
        <is>
          <t>BOFU</t>
        </is>
      </c>
      <c r="K8" t="inlineStr">
        <is>
          <t>UAE</t>
        </is>
      </c>
      <c r="L8" t="inlineStr">
        <is>
          <t>Landing</t>
        </is>
      </c>
      <c r="M8">
        <f>IFERROR(VLOOKUP($A8,'Semrush Import'!$A:$D,2,FALSE),"")</f>
        <v/>
      </c>
      <c r="N8">
        <f>IFERROR(VLOOKUP($A8,'Semrush Import'!$A:$D,3,FALSE),"")</f>
        <v/>
      </c>
      <c r="O8">
        <f>IFERROR(VLOOKUP($A8,'Semrush Import'!$A:$D,4,FALSE),"")</f>
        <v/>
      </c>
      <c r="P8">
        <f>IFERROR(VLOOKUP($A8,'KP Import'!$A:$B,2,FALSE),"")</f>
        <v/>
      </c>
      <c r="Q8">
        <f>IF(M8="","",ROUND(M8/(N8+10),1))</f>
        <v/>
      </c>
      <c r="R8">
        <f>IF(Q8="","",IF(Q8&gt;=20,"A - Go first",IF(Q8&gt;=5,"B - Next","C - Later")))</f>
        <v/>
      </c>
      <c r="S8" t="inlineStr">
        <is>
          <t>To do</t>
        </is>
      </c>
      <c r="T8" t="inlineStr"/>
    </row>
    <row r="9">
      <c r="A9" t="inlineStr">
        <is>
          <t>1121 basmati rice</t>
        </is>
      </c>
      <c r="B9" t="inlineStr">
        <is>
          <t>Phase 1 - B2B now</t>
        </is>
      </c>
      <c r="C9" t="inlineStr">
        <is>
          <t>Wholesalers / bulk buyers</t>
        </is>
      </c>
      <c r="D9" t="inlineStr">
        <is>
          <t>1121 Basmati</t>
        </is>
      </c>
      <c r="E9" t="inlineStr">
        <is>
          <t>Secondary (short)</t>
        </is>
      </c>
      <c r="F9" t="inlineStr">
        <is>
          <t>H2 heading + 1st paragraph under it</t>
        </is>
      </c>
      <c r="G9" t="inlineStr">
        <is>
          <t>Core product</t>
        </is>
      </c>
      <c r="H9" t="inlineStr">
        <is>
          <t>Basmati</t>
        </is>
      </c>
      <c r="I9" t="inlineStr">
        <is>
          <t>Informational/Commercial</t>
        </is>
      </c>
      <c r="J9" t="inlineStr">
        <is>
          <t>TOFU</t>
        </is>
      </c>
      <c r="K9" t="inlineStr">
        <is>
          <t>UAE (generic)</t>
        </is>
      </c>
      <c r="L9" t="inlineStr">
        <is>
          <t>Product</t>
        </is>
      </c>
      <c r="M9">
        <f>IFERROR(VLOOKUP($A9,'Semrush Import'!$A:$D,2,FALSE),"")</f>
        <v/>
      </c>
      <c r="N9">
        <f>IFERROR(VLOOKUP($A9,'Semrush Import'!$A:$D,3,FALSE),"")</f>
        <v/>
      </c>
      <c r="O9">
        <f>IFERROR(VLOOKUP($A9,'Semrush Import'!$A:$D,4,FALSE),"")</f>
        <v/>
      </c>
      <c r="P9">
        <f>IFERROR(VLOOKUP($A9,'KP Import'!$A:$B,2,FALSE),"")</f>
        <v/>
      </c>
      <c r="Q9">
        <f>IF(M9="","",ROUND(M9/(N9+10),1))</f>
        <v/>
      </c>
      <c r="R9">
        <f>IF(Q9="","",IF(Q9&gt;=20,"A - Go first",IF(Q9&gt;=5,"B - Next","C - Later")))</f>
        <v/>
      </c>
      <c r="S9" t="inlineStr">
        <is>
          <t>To do</t>
        </is>
      </c>
      <c r="T9" t="inlineStr"/>
    </row>
    <row r="10">
      <c r="A10" t="inlineStr">
        <is>
          <t>buy 1121 basmati rice online</t>
        </is>
      </c>
      <c r="B10" t="inlineStr">
        <is>
          <t>Phase 2 - B2C (later)</t>
        </is>
      </c>
      <c r="C10" t="inlineStr">
        <is>
          <t>Consumer / household</t>
        </is>
      </c>
      <c r="D10" t="inlineStr">
        <is>
          <t>Shop (B2C)</t>
        </is>
      </c>
      <c r="E10" t="inlineStr">
        <is>
          <t>Secondary (long-tail)</t>
        </is>
      </c>
      <c r="F10" t="inlineStr">
        <is>
          <t>H3 / body paragraph / table row / image alt</t>
        </is>
      </c>
      <c r="G10" t="inlineStr">
        <is>
          <t>Transactional</t>
        </is>
      </c>
      <c r="H10" t="inlineStr">
        <is>
          <t>Basmati</t>
        </is>
      </c>
      <c r="I10" t="inlineStr">
        <is>
          <t>Transactional</t>
        </is>
      </c>
      <c r="J10" t="inlineStr">
        <is>
          <t>BOFU</t>
        </is>
      </c>
      <c r="K10" t="inlineStr">
        <is>
          <t>UAE (generic)</t>
        </is>
      </c>
      <c r="L10" t="inlineStr">
        <is>
          <t>Product</t>
        </is>
      </c>
      <c r="M10">
        <f>IFERROR(VLOOKUP($A10,'Semrush Import'!$A:$D,2,FALSE),"")</f>
        <v/>
      </c>
      <c r="N10">
        <f>IFERROR(VLOOKUP($A10,'Semrush Import'!$A:$D,3,FALSE),"")</f>
        <v/>
      </c>
      <c r="O10">
        <f>IFERROR(VLOOKUP($A10,'Semrush Import'!$A:$D,4,FALSE),"")</f>
        <v/>
      </c>
      <c r="P10">
        <f>IFERROR(VLOOKUP($A10,'KP Import'!$A:$B,2,FALSE),"")</f>
        <v/>
      </c>
      <c r="Q10">
        <f>IF(M10="","",ROUND(M10/(N10+10),1))</f>
        <v/>
      </c>
      <c r="R10">
        <f>IF(Q10="","",IF(Q10&gt;=20,"A - Go first",IF(Q10&gt;=5,"B - Next","C - Later")))</f>
        <v/>
      </c>
      <c r="S10" t="inlineStr">
        <is>
          <t>To do</t>
        </is>
      </c>
      <c r="T10" t="inlineStr"/>
    </row>
    <row r="11">
      <c r="A11" t="inlineStr">
        <is>
          <t>1121 basmati rice price in uae</t>
        </is>
      </c>
      <c r="B11" t="inlineStr">
        <is>
          <t>Phase 1 - B2B now</t>
        </is>
      </c>
      <c r="C11" t="inlineStr">
        <is>
          <t>Wholesalers / bulk buyers</t>
        </is>
      </c>
      <c r="D11" t="inlineStr">
        <is>
          <t>1121 Basmati</t>
        </is>
      </c>
      <c r="E11" t="inlineStr">
        <is>
          <t>Secondary (long-tail)</t>
        </is>
      </c>
      <c r="F11" t="inlineStr">
        <is>
          <t>H3 / body paragraph / table row / image alt</t>
        </is>
      </c>
      <c r="G11" t="inlineStr">
        <is>
          <t>Price</t>
        </is>
      </c>
      <c r="H11" t="inlineStr">
        <is>
          <t>Basmati</t>
        </is>
      </c>
      <c r="I11" t="inlineStr">
        <is>
          <t>Commercial/Transactional</t>
        </is>
      </c>
      <c r="J11" t="inlineStr">
        <is>
          <t>MOFU</t>
        </is>
      </c>
      <c r="K11" t="inlineStr">
        <is>
          <t>UAE</t>
        </is>
      </c>
      <c r="L11" t="inlineStr">
        <is>
          <t>Product</t>
        </is>
      </c>
      <c r="M11">
        <f>IFERROR(VLOOKUP($A11,'Semrush Import'!$A:$D,2,FALSE),"")</f>
        <v/>
      </c>
      <c r="N11">
        <f>IFERROR(VLOOKUP($A11,'Semrush Import'!$A:$D,3,FALSE),"")</f>
        <v/>
      </c>
      <c r="O11">
        <f>IFERROR(VLOOKUP($A11,'Semrush Import'!$A:$D,4,FALSE),"")</f>
        <v/>
      </c>
      <c r="P11">
        <f>IFERROR(VLOOKUP($A11,'KP Import'!$A:$B,2,FALSE),"")</f>
        <v/>
      </c>
      <c r="Q11">
        <f>IF(M11="","",ROUND(M11/(N11+10),1))</f>
        <v/>
      </c>
      <c r="R11">
        <f>IF(Q11="","",IF(Q11&gt;=20,"A - Go first",IF(Q11&gt;=5,"B - Next","C - Later")))</f>
        <v/>
      </c>
      <c r="S11" t="inlineStr">
        <is>
          <t>To do</t>
        </is>
      </c>
      <c r="T11" t="inlineStr"/>
    </row>
    <row r="12">
      <c r="A12" t="inlineStr">
        <is>
          <t>1121 basmati rice price in dubai</t>
        </is>
      </c>
      <c r="B12" t="inlineStr">
        <is>
          <t>Phase 1 - B2B now</t>
        </is>
      </c>
      <c r="C12" t="inlineStr">
        <is>
          <t>Wholesalers / bulk buyers</t>
        </is>
      </c>
      <c r="D12" t="inlineStr">
        <is>
          <t>1121 Basmati</t>
        </is>
      </c>
      <c r="E12" t="inlineStr">
        <is>
          <t>Secondary (long-tail)</t>
        </is>
      </c>
      <c r="F12" t="inlineStr">
        <is>
          <t>H3 / body paragraph / table row / image alt</t>
        </is>
      </c>
      <c r="G12" t="inlineStr">
        <is>
          <t>Price</t>
        </is>
      </c>
      <c r="H12" t="inlineStr">
        <is>
          <t>Basmati</t>
        </is>
      </c>
      <c r="I12" t="inlineStr">
        <is>
          <t>Commercial/Transactional</t>
        </is>
      </c>
      <c r="J12" t="inlineStr">
        <is>
          <t>MOFU</t>
        </is>
      </c>
      <c r="K12" t="inlineStr">
        <is>
          <t>Dubai</t>
        </is>
      </c>
      <c r="L12" t="inlineStr">
        <is>
          <t>Product</t>
        </is>
      </c>
      <c r="M12">
        <f>IFERROR(VLOOKUP($A12,'Semrush Import'!$A:$D,2,FALSE),"")</f>
        <v/>
      </c>
      <c r="N12">
        <f>IFERROR(VLOOKUP($A12,'Semrush Import'!$A:$D,3,FALSE),"")</f>
        <v/>
      </c>
      <c r="O12">
        <f>IFERROR(VLOOKUP($A12,'Semrush Import'!$A:$D,4,FALSE),"")</f>
        <v/>
      </c>
      <c r="P12">
        <f>IFERROR(VLOOKUP($A12,'KP Import'!$A:$B,2,FALSE),"")</f>
        <v/>
      </c>
      <c r="Q12">
        <f>IF(M12="","",ROUND(M12/(N12+10),1))</f>
        <v/>
      </c>
      <c r="R12">
        <f>IF(Q12="","",IF(Q12&gt;=20,"A - Go first",IF(Q12&gt;=5,"B - Next","C - Later")))</f>
        <v/>
      </c>
      <c r="S12" t="inlineStr">
        <is>
          <t>To do</t>
        </is>
      </c>
      <c r="T12" t="inlineStr"/>
    </row>
    <row r="13">
      <c r="A13" t="inlineStr">
        <is>
          <t>1121 basmati rice online dubai</t>
        </is>
      </c>
      <c r="B13" t="inlineStr">
        <is>
          <t>Phase 2 - B2C (later)</t>
        </is>
      </c>
      <c r="C13" t="inlineStr">
        <is>
          <t>Consumer / household</t>
        </is>
      </c>
      <c r="D13" t="inlineStr">
        <is>
          <t>Shop (B2C)</t>
        </is>
      </c>
      <c r="E13" t="inlineStr">
        <is>
          <t>Secondary (long-tail)</t>
        </is>
      </c>
      <c r="F13" t="inlineStr">
        <is>
          <t>H3 / body paragraph / table row / image alt</t>
        </is>
      </c>
      <c r="G13" t="inlineStr">
        <is>
          <t>Transactional</t>
        </is>
      </c>
      <c r="H13" t="inlineStr">
        <is>
          <t>Basmati</t>
        </is>
      </c>
      <c r="I13" t="inlineStr">
        <is>
          <t>Transactional</t>
        </is>
      </c>
      <c r="J13" t="inlineStr">
        <is>
          <t>BOFU</t>
        </is>
      </c>
      <c r="K13" t="inlineStr">
        <is>
          <t>Dubai</t>
        </is>
      </c>
      <c r="L13" t="inlineStr">
        <is>
          <t>Product</t>
        </is>
      </c>
      <c r="M13">
        <f>IFERROR(VLOOKUP($A13,'Semrush Import'!$A:$D,2,FALSE),"")</f>
        <v/>
      </c>
      <c r="N13">
        <f>IFERROR(VLOOKUP($A13,'Semrush Import'!$A:$D,3,FALSE),"")</f>
        <v/>
      </c>
      <c r="O13">
        <f>IFERROR(VLOOKUP($A13,'Semrush Import'!$A:$D,4,FALSE),"")</f>
        <v/>
      </c>
      <c r="P13">
        <f>IFERROR(VLOOKUP($A13,'KP Import'!$A:$B,2,FALSE),"")</f>
        <v/>
      </c>
      <c r="Q13">
        <f>IF(M13="","",ROUND(M13/(N13+10),1))</f>
        <v/>
      </c>
      <c r="R13">
        <f>IF(Q13="","",IF(Q13&gt;=20,"A - Go first",IF(Q13&gt;=5,"B - Next","C - Later")))</f>
        <v/>
      </c>
      <c r="S13" t="inlineStr">
        <is>
          <t>To do</t>
        </is>
      </c>
      <c r="T13" t="inlineStr"/>
    </row>
    <row r="14">
      <c r="A14" t="inlineStr">
        <is>
          <t>1121 basmati rice wholesale dubai</t>
        </is>
      </c>
      <c r="B14" t="inlineStr">
        <is>
          <t>Phase 1 - B2B now</t>
        </is>
      </c>
      <c r="C14" t="inlineStr">
        <is>
          <t>Wholesalers / bulk buyers</t>
        </is>
      </c>
      <c r="D14" t="inlineStr">
        <is>
          <t>1121 Basmati</t>
        </is>
      </c>
      <c r="E14" t="inlineStr">
        <is>
          <t>Secondary (long-tail)</t>
        </is>
      </c>
      <c r="F14" t="inlineStr">
        <is>
          <t>H3 / body paragraph / table row / image alt</t>
        </is>
      </c>
      <c r="G14" t="inlineStr">
        <is>
          <t>Wholesale/B2B</t>
        </is>
      </c>
      <c r="H14" t="inlineStr">
        <is>
          <t>Basmati</t>
        </is>
      </c>
      <c r="I14" t="inlineStr">
        <is>
          <t>Transactional (B2B)</t>
        </is>
      </c>
      <c r="J14" t="inlineStr">
        <is>
          <t>BOFU</t>
        </is>
      </c>
      <c r="K14" t="inlineStr">
        <is>
          <t>Dubai</t>
        </is>
      </c>
      <c r="L14" t="inlineStr">
        <is>
          <t>Landing</t>
        </is>
      </c>
      <c r="M14">
        <f>IFERROR(VLOOKUP($A14,'Semrush Import'!$A:$D,2,FALSE),"")</f>
        <v/>
      </c>
      <c r="N14">
        <f>IFERROR(VLOOKUP($A14,'Semrush Import'!$A:$D,3,FALSE),"")</f>
        <v/>
      </c>
      <c r="O14">
        <f>IFERROR(VLOOKUP($A14,'Semrush Import'!$A:$D,4,FALSE),"")</f>
        <v/>
      </c>
      <c r="P14">
        <f>IFERROR(VLOOKUP($A14,'KP Import'!$A:$B,2,FALSE),"")</f>
        <v/>
      </c>
      <c r="Q14">
        <f>IF(M14="","",ROUND(M14/(N14+10),1))</f>
        <v/>
      </c>
      <c r="R14">
        <f>IF(Q14="","",IF(Q14&gt;=20,"A - Go first",IF(Q14&gt;=5,"B - Next","C - Later")))</f>
        <v/>
      </c>
      <c r="S14" t="inlineStr">
        <is>
          <t>To do</t>
        </is>
      </c>
      <c r="T14" t="inlineStr"/>
    </row>
    <row r="15">
      <c r="A15" t="inlineStr">
        <is>
          <t>1121 basmati rice supplier uae</t>
        </is>
      </c>
      <c r="B15" t="inlineStr">
        <is>
          <t>Phase 1 - B2B now</t>
        </is>
      </c>
      <c r="C15" t="inlineStr">
        <is>
          <t>Wholesalers / bulk buyers</t>
        </is>
      </c>
      <c r="D15" t="inlineStr">
        <is>
          <t>1121 Basmati</t>
        </is>
      </c>
      <c r="E15" t="inlineStr">
        <is>
          <t>Secondary (long-tail)</t>
        </is>
      </c>
      <c r="F15" t="inlineStr">
        <is>
          <t>H3 / body paragraph / table row / image alt</t>
        </is>
      </c>
      <c r="G15" t="inlineStr">
        <is>
          <t>Wholesale/B2B</t>
        </is>
      </c>
      <c r="H15" t="inlineStr">
        <is>
          <t>Basmati</t>
        </is>
      </c>
      <c r="I15" t="inlineStr">
        <is>
          <t>Transactional (B2B)</t>
        </is>
      </c>
      <c r="J15" t="inlineStr">
        <is>
          <t>BOFU</t>
        </is>
      </c>
      <c r="K15" t="inlineStr">
        <is>
          <t>UAE</t>
        </is>
      </c>
      <c r="L15" t="inlineStr">
        <is>
          <t>Landing</t>
        </is>
      </c>
      <c r="M15">
        <f>IFERROR(VLOOKUP($A15,'Semrush Import'!$A:$D,2,FALSE),"")</f>
        <v/>
      </c>
      <c r="N15">
        <f>IFERROR(VLOOKUP($A15,'Semrush Import'!$A:$D,3,FALSE),"")</f>
        <v/>
      </c>
      <c r="O15">
        <f>IFERROR(VLOOKUP($A15,'Semrush Import'!$A:$D,4,FALSE),"")</f>
        <v/>
      </c>
      <c r="P15">
        <f>IFERROR(VLOOKUP($A15,'KP Import'!$A:$B,2,FALSE),"")</f>
        <v/>
      </c>
      <c r="Q15">
        <f>IF(M15="","",ROUND(M15/(N15+10),1))</f>
        <v/>
      </c>
      <c r="R15">
        <f>IF(Q15="","",IF(Q15&gt;=20,"A - Go first",IF(Q15&gt;=5,"B - Next","C - Later")))</f>
        <v/>
      </c>
      <c r="S15" t="inlineStr">
        <is>
          <t>To do</t>
        </is>
      </c>
      <c r="T15" t="inlineStr"/>
    </row>
    <row r="16">
      <c r="A16" t="inlineStr">
        <is>
          <t>sella basmati rice</t>
        </is>
      </c>
      <c r="B16" t="inlineStr">
        <is>
          <t>Phase 1 - B2B now</t>
        </is>
      </c>
      <c r="C16" t="inlineStr">
        <is>
          <t>Wholesalers / bulk buyers</t>
        </is>
      </c>
      <c r="D16" t="inlineStr">
        <is>
          <t>Sella Basmati</t>
        </is>
      </c>
      <c r="E16" t="inlineStr">
        <is>
          <t>Secondary (short)</t>
        </is>
      </c>
      <c r="F16" t="inlineStr">
        <is>
          <t>H2 heading + 1st paragraph under it</t>
        </is>
      </c>
      <c r="G16" t="inlineStr">
        <is>
          <t>Core product</t>
        </is>
      </c>
      <c r="H16" t="inlineStr">
        <is>
          <t>Basmati</t>
        </is>
      </c>
      <c r="I16" t="inlineStr">
        <is>
          <t>Informational/Commercial</t>
        </is>
      </c>
      <c r="J16" t="inlineStr">
        <is>
          <t>TOFU</t>
        </is>
      </c>
      <c r="K16" t="inlineStr">
        <is>
          <t>UAE (generic)</t>
        </is>
      </c>
      <c r="L16" t="inlineStr">
        <is>
          <t>Product</t>
        </is>
      </c>
      <c r="M16">
        <f>IFERROR(VLOOKUP($A16,'Semrush Import'!$A:$D,2,FALSE),"")</f>
        <v/>
      </c>
      <c r="N16">
        <f>IFERROR(VLOOKUP($A16,'Semrush Import'!$A:$D,3,FALSE),"")</f>
        <v/>
      </c>
      <c r="O16">
        <f>IFERROR(VLOOKUP($A16,'Semrush Import'!$A:$D,4,FALSE),"")</f>
        <v/>
      </c>
      <c r="P16">
        <f>IFERROR(VLOOKUP($A16,'KP Import'!$A:$B,2,FALSE),"")</f>
        <v/>
      </c>
      <c r="Q16">
        <f>IF(M16="","",ROUND(M16/(N16+10),1))</f>
        <v/>
      </c>
      <c r="R16">
        <f>IF(Q16="","",IF(Q16&gt;=20,"A - Go first",IF(Q16&gt;=5,"B - Next","C - Later")))</f>
        <v/>
      </c>
      <c r="S16" t="inlineStr">
        <is>
          <t>To do</t>
        </is>
      </c>
      <c r="T16" t="inlineStr"/>
    </row>
    <row r="17">
      <c r="A17" t="inlineStr">
        <is>
          <t>buy sella basmati rice online</t>
        </is>
      </c>
      <c r="B17" t="inlineStr">
        <is>
          <t>Phase 2 - B2C (later)</t>
        </is>
      </c>
      <c r="C17" t="inlineStr">
        <is>
          <t>Consumer / household</t>
        </is>
      </c>
      <c r="D17" t="inlineStr">
        <is>
          <t>Shop (B2C)</t>
        </is>
      </c>
      <c r="E17" t="inlineStr">
        <is>
          <t>Secondary (long-tail)</t>
        </is>
      </c>
      <c r="F17" t="inlineStr">
        <is>
          <t>H3 / body paragraph / table row / image alt</t>
        </is>
      </c>
      <c r="G17" t="inlineStr">
        <is>
          <t>Transactional</t>
        </is>
      </c>
      <c r="H17" t="inlineStr">
        <is>
          <t>Basmati</t>
        </is>
      </c>
      <c r="I17" t="inlineStr">
        <is>
          <t>Transactional</t>
        </is>
      </c>
      <c r="J17" t="inlineStr">
        <is>
          <t>BOFU</t>
        </is>
      </c>
      <c r="K17" t="inlineStr">
        <is>
          <t>UAE (generic)</t>
        </is>
      </c>
      <c r="L17" t="inlineStr">
        <is>
          <t>Product</t>
        </is>
      </c>
      <c r="M17">
        <f>IFERROR(VLOOKUP($A17,'Semrush Import'!$A:$D,2,FALSE),"")</f>
        <v/>
      </c>
      <c r="N17">
        <f>IFERROR(VLOOKUP($A17,'Semrush Import'!$A:$D,3,FALSE),"")</f>
        <v/>
      </c>
      <c r="O17">
        <f>IFERROR(VLOOKUP($A17,'Semrush Import'!$A:$D,4,FALSE),"")</f>
        <v/>
      </c>
      <c r="P17">
        <f>IFERROR(VLOOKUP($A17,'KP Import'!$A:$B,2,FALSE),"")</f>
        <v/>
      </c>
      <c r="Q17">
        <f>IF(M17="","",ROUND(M17/(N17+10),1))</f>
        <v/>
      </c>
      <c r="R17">
        <f>IF(Q17="","",IF(Q17&gt;=20,"A - Go first",IF(Q17&gt;=5,"B - Next","C - Later")))</f>
        <v/>
      </c>
      <c r="S17" t="inlineStr">
        <is>
          <t>To do</t>
        </is>
      </c>
      <c r="T17" t="inlineStr"/>
    </row>
    <row r="18">
      <c r="A18" t="inlineStr">
        <is>
          <t>sella basmati rice price in uae</t>
        </is>
      </c>
      <c r="B18" t="inlineStr">
        <is>
          <t>Phase 1 - B2B now</t>
        </is>
      </c>
      <c r="C18" t="inlineStr">
        <is>
          <t>Wholesalers / bulk buyers</t>
        </is>
      </c>
      <c r="D18" t="inlineStr">
        <is>
          <t>Sella Basmati</t>
        </is>
      </c>
      <c r="E18" t="inlineStr">
        <is>
          <t>Secondary (long-tail)</t>
        </is>
      </c>
      <c r="F18" t="inlineStr">
        <is>
          <t>H3 / body paragraph / table row / image alt</t>
        </is>
      </c>
      <c r="G18" t="inlineStr">
        <is>
          <t>Price</t>
        </is>
      </c>
      <c r="H18" t="inlineStr">
        <is>
          <t>Basmati</t>
        </is>
      </c>
      <c r="I18" t="inlineStr">
        <is>
          <t>Commercial/Transactional</t>
        </is>
      </c>
      <c r="J18" t="inlineStr">
        <is>
          <t>MOFU</t>
        </is>
      </c>
      <c r="K18" t="inlineStr">
        <is>
          <t>UAE</t>
        </is>
      </c>
      <c r="L18" t="inlineStr">
        <is>
          <t>Product</t>
        </is>
      </c>
      <c r="M18">
        <f>IFERROR(VLOOKUP($A18,'Semrush Import'!$A:$D,2,FALSE),"")</f>
        <v/>
      </c>
      <c r="N18">
        <f>IFERROR(VLOOKUP($A18,'Semrush Import'!$A:$D,3,FALSE),"")</f>
        <v/>
      </c>
      <c r="O18">
        <f>IFERROR(VLOOKUP($A18,'Semrush Import'!$A:$D,4,FALSE),"")</f>
        <v/>
      </c>
      <c r="P18">
        <f>IFERROR(VLOOKUP($A18,'KP Import'!$A:$B,2,FALSE),"")</f>
        <v/>
      </c>
      <c r="Q18">
        <f>IF(M18="","",ROUND(M18/(N18+10),1))</f>
        <v/>
      </c>
      <c r="R18">
        <f>IF(Q18="","",IF(Q18&gt;=20,"A - Go first",IF(Q18&gt;=5,"B - Next","C - Later")))</f>
        <v/>
      </c>
      <c r="S18" t="inlineStr">
        <is>
          <t>To do</t>
        </is>
      </c>
      <c r="T18" t="inlineStr"/>
    </row>
    <row r="19">
      <c r="A19" t="inlineStr">
        <is>
          <t>sella basmati rice price in dubai</t>
        </is>
      </c>
      <c r="B19" t="inlineStr">
        <is>
          <t>Phase 1 - B2B now</t>
        </is>
      </c>
      <c r="C19" t="inlineStr">
        <is>
          <t>Wholesalers / bulk buyers</t>
        </is>
      </c>
      <c r="D19" t="inlineStr">
        <is>
          <t>Sella Basmati</t>
        </is>
      </c>
      <c r="E19" t="inlineStr">
        <is>
          <t>Secondary (long-tail)</t>
        </is>
      </c>
      <c r="F19" t="inlineStr">
        <is>
          <t>H3 / body paragraph / table row / image alt</t>
        </is>
      </c>
      <c r="G19" t="inlineStr">
        <is>
          <t>Price</t>
        </is>
      </c>
      <c r="H19" t="inlineStr">
        <is>
          <t>Basmati</t>
        </is>
      </c>
      <c r="I19" t="inlineStr">
        <is>
          <t>Commercial/Transactional</t>
        </is>
      </c>
      <c r="J19" t="inlineStr">
        <is>
          <t>MOFU</t>
        </is>
      </c>
      <c r="K19" t="inlineStr">
        <is>
          <t>Dubai</t>
        </is>
      </c>
      <c r="L19" t="inlineStr">
        <is>
          <t>Product</t>
        </is>
      </c>
      <c r="M19">
        <f>IFERROR(VLOOKUP($A19,'Semrush Import'!$A:$D,2,FALSE),"")</f>
        <v/>
      </c>
      <c r="N19">
        <f>IFERROR(VLOOKUP($A19,'Semrush Import'!$A:$D,3,FALSE),"")</f>
        <v/>
      </c>
      <c r="O19">
        <f>IFERROR(VLOOKUP($A19,'Semrush Import'!$A:$D,4,FALSE),"")</f>
        <v/>
      </c>
      <c r="P19">
        <f>IFERROR(VLOOKUP($A19,'KP Import'!$A:$B,2,FALSE),"")</f>
        <v/>
      </c>
      <c r="Q19">
        <f>IF(M19="","",ROUND(M19/(N19+10),1))</f>
        <v/>
      </c>
      <c r="R19">
        <f>IF(Q19="","",IF(Q19&gt;=20,"A - Go first",IF(Q19&gt;=5,"B - Next","C - Later")))</f>
        <v/>
      </c>
      <c r="S19" t="inlineStr">
        <is>
          <t>To do</t>
        </is>
      </c>
      <c r="T19" t="inlineStr"/>
    </row>
    <row r="20">
      <c r="A20" t="inlineStr">
        <is>
          <t>sella basmati rice online dubai</t>
        </is>
      </c>
      <c r="B20" t="inlineStr">
        <is>
          <t>Phase 2 - B2C (later)</t>
        </is>
      </c>
      <c r="C20" t="inlineStr">
        <is>
          <t>Consumer / household</t>
        </is>
      </c>
      <c r="D20" t="inlineStr">
        <is>
          <t>Shop (B2C)</t>
        </is>
      </c>
      <c r="E20" t="inlineStr">
        <is>
          <t>Secondary (long-tail)</t>
        </is>
      </c>
      <c r="F20" t="inlineStr">
        <is>
          <t>H3 / body paragraph / table row / image alt</t>
        </is>
      </c>
      <c r="G20" t="inlineStr">
        <is>
          <t>Transactional</t>
        </is>
      </c>
      <c r="H20" t="inlineStr">
        <is>
          <t>Basmati</t>
        </is>
      </c>
      <c r="I20" t="inlineStr">
        <is>
          <t>Transactional</t>
        </is>
      </c>
      <c r="J20" t="inlineStr">
        <is>
          <t>BOFU</t>
        </is>
      </c>
      <c r="K20" t="inlineStr">
        <is>
          <t>Dubai</t>
        </is>
      </c>
      <c r="L20" t="inlineStr">
        <is>
          <t>Product</t>
        </is>
      </c>
      <c r="M20">
        <f>IFERROR(VLOOKUP($A20,'Semrush Import'!$A:$D,2,FALSE),"")</f>
        <v/>
      </c>
      <c r="N20">
        <f>IFERROR(VLOOKUP($A20,'Semrush Import'!$A:$D,3,FALSE),"")</f>
        <v/>
      </c>
      <c r="O20">
        <f>IFERROR(VLOOKUP($A20,'Semrush Import'!$A:$D,4,FALSE),"")</f>
        <v/>
      </c>
      <c r="P20">
        <f>IFERROR(VLOOKUP($A20,'KP Import'!$A:$B,2,FALSE),"")</f>
        <v/>
      </c>
      <c r="Q20">
        <f>IF(M20="","",ROUND(M20/(N20+10),1))</f>
        <v/>
      </c>
      <c r="R20">
        <f>IF(Q20="","",IF(Q20&gt;=20,"A - Go first",IF(Q20&gt;=5,"B - Next","C - Later")))</f>
        <v/>
      </c>
      <c r="S20" t="inlineStr">
        <is>
          <t>To do</t>
        </is>
      </c>
      <c r="T20" t="inlineStr"/>
    </row>
    <row r="21">
      <c r="A21" t="inlineStr">
        <is>
          <t>sella basmati rice wholesale dubai</t>
        </is>
      </c>
      <c r="B21" t="inlineStr">
        <is>
          <t>Phase 1 - B2B now</t>
        </is>
      </c>
      <c r="C21" t="inlineStr">
        <is>
          <t>Wholesalers / bulk buyers</t>
        </is>
      </c>
      <c r="D21" t="inlineStr">
        <is>
          <t>Sella Basmati</t>
        </is>
      </c>
      <c r="E21" t="inlineStr">
        <is>
          <t>PRIMARY</t>
        </is>
      </c>
      <c r="F21" t="inlineStr">
        <is>
          <t>URL slug + SEO title + H1 + meta description + first 100 words</t>
        </is>
      </c>
      <c r="G21" t="inlineStr">
        <is>
          <t>Wholesale/B2B</t>
        </is>
      </c>
      <c r="H21" t="inlineStr">
        <is>
          <t>Basmati</t>
        </is>
      </c>
      <c r="I21" t="inlineStr">
        <is>
          <t>Transactional (B2B)</t>
        </is>
      </c>
      <c r="J21" t="inlineStr">
        <is>
          <t>BOFU</t>
        </is>
      </c>
      <c r="K21" t="inlineStr">
        <is>
          <t>Dubai</t>
        </is>
      </c>
      <c r="L21" t="inlineStr">
        <is>
          <t>Landing</t>
        </is>
      </c>
      <c r="M21">
        <f>IFERROR(VLOOKUP($A21,'Semrush Import'!$A:$D,2,FALSE),"")</f>
        <v/>
      </c>
      <c r="N21">
        <f>IFERROR(VLOOKUP($A21,'Semrush Import'!$A:$D,3,FALSE),"")</f>
        <v/>
      </c>
      <c r="O21">
        <f>IFERROR(VLOOKUP($A21,'Semrush Import'!$A:$D,4,FALSE),"")</f>
        <v/>
      </c>
      <c r="P21">
        <f>IFERROR(VLOOKUP($A21,'KP Import'!$A:$B,2,FALSE),"")</f>
        <v/>
      </c>
      <c r="Q21">
        <f>IF(M21="","",ROUND(M21/(N21+10),1))</f>
        <v/>
      </c>
      <c r="R21">
        <f>IF(Q21="","",IF(Q21&gt;=20,"A - Go first",IF(Q21&gt;=5,"B - Next","C - Later")))</f>
        <v/>
      </c>
      <c r="S21" t="inlineStr">
        <is>
          <t>To do</t>
        </is>
      </c>
      <c r="T21" t="inlineStr"/>
    </row>
    <row r="22">
      <c r="A22" t="inlineStr">
        <is>
          <t>sella basmati rice supplier uae</t>
        </is>
      </c>
      <c r="B22" t="inlineStr">
        <is>
          <t>Phase 1 - B2B now</t>
        </is>
      </c>
      <c r="C22" t="inlineStr">
        <is>
          <t>Wholesalers / bulk buyers</t>
        </is>
      </c>
      <c r="D22" t="inlineStr">
        <is>
          <t>Sella Basmati</t>
        </is>
      </c>
      <c r="E22" t="inlineStr">
        <is>
          <t>Secondary (long-tail)</t>
        </is>
      </c>
      <c r="F22" t="inlineStr">
        <is>
          <t>H3 / body paragraph / table row / image alt</t>
        </is>
      </c>
      <c r="G22" t="inlineStr">
        <is>
          <t>Wholesale/B2B</t>
        </is>
      </c>
      <c r="H22" t="inlineStr">
        <is>
          <t>Basmati</t>
        </is>
      </c>
      <c r="I22" t="inlineStr">
        <is>
          <t>Transactional (B2B)</t>
        </is>
      </c>
      <c r="J22" t="inlineStr">
        <is>
          <t>BOFU</t>
        </is>
      </c>
      <c r="K22" t="inlineStr">
        <is>
          <t>UAE</t>
        </is>
      </c>
      <c r="L22" t="inlineStr">
        <is>
          <t>Landing</t>
        </is>
      </c>
      <c r="M22">
        <f>IFERROR(VLOOKUP($A22,'Semrush Import'!$A:$D,2,FALSE),"")</f>
        <v/>
      </c>
      <c r="N22">
        <f>IFERROR(VLOOKUP($A22,'Semrush Import'!$A:$D,3,FALSE),"")</f>
        <v/>
      </c>
      <c r="O22">
        <f>IFERROR(VLOOKUP($A22,'Semrush Import'!$A:$D,4,FALSE),"")</f>
        <v/>
      </c>
      <c r="P22">
        <f>IFERROR(VLOOKUP($A22,'KP Import'!$A:$B,2,FALSE),"")</f>
        <v/>
      </c>
      <c r="Q22">
        <f>IF(M22="","",ROUND(M22/(N22+10),1))</f>
        <v/>
      </c>
      <c r="R22">
        <f>IF(Q22="","",IF(Q22&gt;=20,"A - Go first",IF(Q22&gt;=5,"B - Next","C - Later")))</f>
        <v/>
      </c>
      <c r="S22" t="inlineStr">
        <is>
          <t>To do</t>
        </is>
      </c>
      <c r="T22" t="inlineStr"/>
    </row>
    <row r="23">
      <c r="A23" t="inlineStr">
        <is>
          <t>golden sella basmati rice</t>
        </is>
      </c>
      <c r="B23" t="inlineStr">
        <is>
          <t>Phase 1 - B2B now</t>
        </is>
      </c>
      <c r="C23" t="inlineStr">
        <is>
          <t>Wholesalers / bulk buyers</t>
        </is>
      </c>
      <c r="D23" t="inlineStr">
        <is>
          <t>Sella Basmati</t>
        </is>
      </c>
      <c r="E23" t="inlineStr">
        <is>
          <t>Secondary (long-tail)</t>
        </is>
      </c>
      <c r="F23" t="inlineStr">
        <is>
          <t>H3 / body paragraph / table row / image alt</t>
        </is>
      </c>
      <c r="G23" t="inlineStr">
        <is>
          <t>Core product</t>
        </is>
      </c>
      <c r="H23" t="inlineStr">
        <is>
          <t>Basmati</t>
        </is>
      </c>
      <c r="I23" t="inlineStr">
        <is>
          <t>Informational/Commercial</t>
        </is>
      </c>
      <c r="J23" t="inlineStr">
        <is>
          <t>TOFU</t>
        </is>
      </c>
      <c r="K23" t="inlineStr">
        <is>
          <t>UAE (generic)</t>
        </is>
      </c>
      <c r="L23" t="inlineStr">
        <is>
          <t>Product</t>
        </is>
      </c>
      <c r="M23">
        <f>IFERROR(VLOOKUP($A23,'Semrush Import'!$A:$D,2,FALSE),"")</f>
        <v/>
      </c>
      <c r="N23">
        <f>IFERROR(VLOOKUP($A23,'Semrush Import'!$A:$D,3,FALSE),"")</f>
        <v/>
      </c>
      <c r="O23">
        <f>IFERROR(VLOOKUP($A23,'Semrush Import'!$A:$D,4,FALSE),"")</f>
        <v/>
      </c>
      <c r="P23">
        <f>IFERROR(VLOOKUP($A23,'KP Import'!$A:$B,2,FALSE),"")</f>
        <v/>
      </c>
      <c r="Q23">
        <f>IF(M23="","",ROUND(M23/(N23+10),1))</f>
        <v/>
      </c>
      <c r="R23">
        <f>IF(Q23="","",IF(Q23&gt;=20,"A - Go first",IF(Q23&gt;=5,"B - Next","C - Later")))</f>
        <v/>
      </c>
      <c r="S23" t="inlineStr">
        <is>
          <t>To do</t>
        </is>
      </c>
      <c r="T23" t="inlineStr"/>
    </row>
    <row r="24">
      <c r="A24" t="inlineStr">
        <is>
          <t>buy golden sella basmati rice online</t>
        </is>
      </c>
      <c r="B24" t="inlineStr">
        <is>
          <t>Phase 2 - B2C (later)</t>
        </is>
      </c>
      <c r="C24" t="inlineStr">
        <is>
          <t>Consumer / household</t>
        </is>
      </c>
      <c r="D24" t="inlineStr">
        <is>
          <t>Shop (B2C)</t>
        </is>
      </c>
      <c r="E24" t="inlineStr">
        <is>
          <t>Secondary (long-tail)</t>
        </is>
      </c>
      <c r="F24" t="inlineStr">
        <is>
          <t>H3 / body paragraph / table row / image alt</t>
        </is>
      </c>
      <c r="G24" t="inlineStr">
        <is>
          <t>Transactional</t>
        </is>
      </c>
      <c r="H24" t="inlineStr">
        <is>
          <t>Basmati</t>
        </is>
      </c>
      <c r="I24" t="inlineStr">
        <is>
          <t>Transactional</t>
        </is>
      </c>
      <c r="J24" t="inlineStr">
        <is>
          <t>BOFU</t>
        </is>
      </c>
      <c r="K24" t="inlineStr">
        <is>
          <t>UAE (generic)</t>
        </is>
      </c>
      <c r="L24" t="inlineStr">
        <is>
          <t>Product</t>
        </is>
      </c>
      <c r="M24">
        <f>IFERROR(VLOOKUP($A24,'Semrush Import'!$A:$D,2,FALSE),"")</f>
        <v/>
      </c>
      <c r="N24">
        <f>IFERROR(VLOOKUP($A24,'Semrush Import'!$A:$D,3,FALSE),"")</f>
        <v/>
      </c>
      <c r="O24">
        <f>IFERROR(VLOOKUP($A24,'Semrush Import'!$A:$D,4,FALSE),"")</f>
        <v/>
      </c>
      <c r="P24">
        <f>IFERROR(VLOOKUP($A24,'KP Import'!$A:$B,2,FALSE),"")</f>
        <v/>
      </c>
      <c r="Q24">
        <f>IF(M24="","",ROUND(M24/(N24+10),1))</f>
        <v/>
      </c>
      <c r="R24">
        <f>IF(Q24="","",IF(Q24&gt;=20,"A - Go first",IF(Q24&gt;=5,"B - Next","C - Later")))</f>
        <v/>
      </c>
      <c r="S24" t="inlineStr">
        <is>
          <t>To do</t>
        </is>
      </c>
      <c r="T24" t="inlineStr"/>
    </row>
    <row r="25">
      <c r="A25" t="inlineStr">
        <is>
          <t>golden sella basmati rice price in uae</t>
        </is>
      </c>
      <c r="B25" t="inlineStr">
        <is>
          <t>Phase 1 - B2B now</t>
        </is>
      </c>
      <c r="C25" t="inlineStr">
        <is>
          <t>Wholesalers / bulk buyers</t>
        </is>
      </c>
      <c r="D25" t="inlineStr">
        <is>
          <t>Sella Basmati</t>
        </is>
      </c>
      <c r="E25" t="inlineStr">
        <is>
          <t>Secondary (long-tail)</t>
        </is>
      </c>
      <c r="F25" t="inlineStr">
        <is>
          <t>H3 / body paragraph / table row / image alt</t>
        </is>
      </c>
      <c r="G25" t="inlineStr">
        <is>
          <t>Price</t>
        </is>
      </c>
      <c r="H25" t="inlineStr">
        <is>
          <t>Basmati</t>
        </is>
      </c>
      <c r="I25" t="inlineStr">
        <is>
          <t>Commercial/Transactional</t>
        </is>
      </c>
      <c r="J25" t="inlineStr">
        <is>
          <t>MOFU</t>
        </is>
      </c>
      <c r="K25" t="inlineStr">
        <is>
          <t>UAE</t>
        </is>
      </c>
      <c r="L25" t="inlineStr">
        <is>
          <t>Product</t>
        </is>
      </c>
      <c r="M25">
        <f>IFERROR(VLOOKUP($A25,'Semrush Import'!$A:$D,2,FALSE),"")</f>
        <v/>
      </c>
      <c r="N25">
        <f>IFERROR(VLOOKUP($A25,'Semrush Import'!$A:$D,3,FALSE),"")</f>
        <v/>
      </c>
      <c r="O25">
        <f>IFERROR(VLOOKUP($A25,'Semrush Import'!$A:$D,4,FALSE),"")</f>
        <v/>
      </c>
      <c r="P25">
        <f>IFERROR(VLOOKUP($A25,'KP Import'!$A:$B,2,FALSE),"")</f>
        <v/>
      </c>
      <c r="Q25">
        <f>IF(M25="","",ROUND(M25/(N25+10),1))</f>
        <v/>
      </c>
      <c r="R25">
        <f>IF(Q25="","",IF(Q25&gt;=20,"A - Go first",IF(Q25&gt;=5,"B - Next","C - Later")))</f>
        <v/>
      </c>
      <c r="S25" t="inlineStr">
        <is>
          <t>To do</t>
        </is>
      </c>
      <c r="T25" t="inlineStr"/>
    </row>
    <row r="26">
      <c r="A26" t="inlineStr">
        <is>
          <t>golden sella basmati rice price in dubai</t>
        </is>
      </c>
      <c r="B26" t="inlineStr">
        <is>
          <t>Phase 1 - B2B now</t>
        </is>
      </c>
      <c r="C26" t="inlineStr">
        <is>
          <t>Wholesalers / bulk buyers</t>
        </is>
      </c>
      <c r="D26" t="inlineStr">
        <is>
          <t>Sella Basmati</t>
        </is>
      </c>
      <c r="E26" t="inlineStr">
        <is>
          <t>Secondary (long-tail)</t>
        </is>
      </c>
      <c r="F26" t="inlineStr">
        <is>
          <t>H3 / body paragraph / table row / image alt</t>
        </is>
      </c>
      <c r="G26" t="inlineStr">
        <is>
          <t>Price</t>
        </is>
      </c>
      <c r="H26" t="inlineStr">
        <is>
          <t>Basmati</t>
        </is>
      </c>
      <c r="I26" t="inlineStr">
        <is>
          <t>Commercial/Transactional</t>
        </is>
      </c>
      <c r="J26" t="inlineStr">
        <is>
          <t>MOFU</t>
        </is>
      </c>
      <c r="K26" t="inlineStr">
        <is>
          <t>Dubai</t>
        </is>
      </c>
      <c r="L26" t="inlineStr">
        <is>
          <t>Product</t>
        </is>
      </c>
      <c r="M26">
        <f>IFERROR(VLOOKUP($A26,'Semrush Import'!$A:$D,2,FALSE),"")</f>
        <v/>
      </c>
      <c r="N26">
        <f>IFERROR(VLOOKUP($A26,'Semrush Import'!$A:$D,3,FALSE),"")</f>
        <v/>
      </c>
      <c r="O26">
        <f>IFERROR(VLOOKUP($A26,'Semrush Import'!$A:$D,4,FALSE),"")</f>
        <v/>
      </c>
      <c r="P26">
        <f>IFERROR(VLOOKUP($A26,'KP Import'!$A:$B,2,FALSE),"")</f>
        <v/>
      </c>
      <c r="Q26">
        <f>IF(M26="","",ROUND(M26/(N26+10),1))</f>
        <v/>
      </c>
      <c r="R26">
        <f>IF(Q26="","",IF(Q26&gt;=20,"A - Go first",IF(Q26&gt;=5,"B - Next","C - Later")))</f>
        <v/>
      </c>
      <c r="S26" t="inlineStr">
        <is>
          <t>To do</t>
        </is>
      </c>
      <c r="T26" t="inlineStr"/>
    </row>
    <row r="27">
      <c r="A27" t="inlineStr">
        <is>
          <t>golden sella basmati rice online dubai</t>
        </is>
      </c>
      <c r="B27" t="inlineStr">
        <is>
          <t>Phase 2 - B2C (later)</t>
        </is>
      </c>
      <c r="C27" t="inlineStr">
        <is>
          <t>Consumer / household</t>
        </is>
      </c>
      <c r="D27" t="inlineStr">
        <is>
          <t>Shop (B2C)</t>
        </is>
      </c>
      <c r="E27" t="inlineStr">
        <is>
          <t>Secondary (long-tail)</t>
        </is>
      </c>
      <c r="F27" t="inlineStr">
        <is>
          <t>H3 / body paragraph / table row / image alt</t>
        </is>
      </c>
      <c r="G27" t="inlineStr">
        <is>
          <t>Transactional</t>
        </is>
      </c>
      <c r="H27" t="inlineStr">
        <is>
          <t>Basmati</t>
        </is>
      </c>
      <c r="I27" t="inlineStr">
        <is>
          <t>Transactional</t>
        </is>
      </c>
      <c r="J27" t="inlineStr">
        <is>
          <t>BOFU</t>
        </is>
      </c>
      <c r="K27" t="inlineStr">
        <is>
          <t>Dubai</t>
        </is>
      </c>
      <c r="L27" t="inlineStr">
        <is>
          <t>Product</t>
        </is>
      </c>
      <c r="M27">
        <f>IFERROR(VLOOKUP($A27,'Semrush Import'!$A:$D,2,FALSE),"")</f>
        <v/>
      </c>
      <c r="N27">
        <f>IFERROR(VLOOKUP($A27,'Semrush Import'!$A:$D,3,FALSE),"")</f>
        <v/>
      </c>
      <c r="O27">
        <f>IFERROR(VLOOKUP($A27,'Semrush Import'!$A:$D,4,FALSE),"")</f>
        <v/>
      </c>
      <c r="P27">
        <f>IFERROR(VLOOKUP($A27,'KP Import'!$A:$B,2,FALSE),"")</f>
        <v/>
      </c>
      <c r="Q27">
        <f>IF(M27="","",ROUND(M27/(N27+10),1))</f>
        <v/>
      </c>
      <c r="R27">
        <f>IF(Q27="","",IF(Q27&gt;=20,"A - Go first",IF(Q27&gt;=5,"B - Next","C - Later")))</f>
        <v/>
      </c>
      <c r="S27" t="inlineStr">
        <is>
          <t>To do</t>
        </is>
      </c>
      <c r="T27" t="inlineStr"/>
    </row>
    <row r="28">
      <c r="A28" t="inlineStr">
        <is>
          <t>golden sella basmati rice wholesale dubai</t>
        </is>
      </c>
      <c r="B28" t="inlineStr">
        <is>
          <t>Phase 1 - B2B now</t>
        </is>
      </c>
      <c r="C28" t="inlineStr">
        <is>
          <t>Wholesalers / bulk buyers</t>
        </is>
      </c>
      <c r="D28" t="inlineStr">
        <is>
          <t>Sella Basmati</t>
        </is>
      </c>
      <c r="E28" t="inlineStr">
        <is>
          <t>Secondary (long-tail)</t>
        </is>
      </c>
      <c r="F28" t="inlineStr">
        <is>
          <t>H3 / body paragraph / table row / image alt</t>
        </is>
      </c>
      <c r="G28" t="inlineStr">
        <is>
          <t>Wholesale/B2B</t>
        </is>
      </c>
      <c r="H28" t="inlineStr">
        <is>
          <t>Basmati</t>
        </is>
      </c>
      <c r="I28" t="inlineStr">
        <is>
          <t>Transactional (B2B)</t>
        </is>
      </c>
      <c r="J28" t="inlineStr">
        <is>
          <t>BOFU</t>
        </is>
      </c>
      <c r="K28" t="inlineStr">
        <is>
          <t>Dubai</t>
        </is>
      </c>
      <c r="L28" t="inlineStr">
        <is>
          <t>Landing</t>
        </is>
      </c>
      <c r="M28">
        <f>IFERROR(VLOOKUP($A28,'Semrush Import'!$A:$D,2,FALSE),"")</f>
        <v/>
      </c>
      <c r="N28">
        <f>IFERROR(VLOOKUP($A28,'Semrush Import'!$A:$D,3,FALSE),"")</f>
        <v/>
      </c>
      <c r="O28">
        <f>IFERROR(VLOOKUP($A28,'Semrush Import'!$A:$D,4,FALSE),"")</f>
        <v/>
      </c>
      <c r="P28">
        <f>IFERROR(VLOOKUP($A28,'KP Import'!$A:$B,2,FALSE),"")</f>
        <v/>
      </c>
      <c r="Q28">
        <f>IF(M28="","",ROUND(M28/(N28+10),1))</f>
        <v/>
      </c>
      <c r="R28">
        <f>IF(Q28="","",IF(Q28&gt;=20,"A - Go first",IF(Q28&gt;=5,"B - Next","C - Later")))</f>
        <v/>
      </c>
      <c r="S28" t="inlineStr">
        <is>
          <t>To do</t>
        </is>
      </c>
      <c r="T28" t="inlineStr"/>
    </row>
    <row r="29">
      <c r="A29" t="inlineStr">
        <is>
          <t>golden sella basmati rice supplier uae</t>
        </is>
      </c>
      <c r="B29" t="inlineStr">
        <is>
          <t>Phase 1 - B2B now</t>
        </is>
      </c>
      <c r="C29" t="inlineStr">
        <is>
          <t>Wholesalers / bulk buyers</t>
        </is>
      </c>
      <c r="D29" t="inlineStr">
        <is>
          <t>Sella Basmati</t>
        </is>
      </c>
      <c r="E29" t="inlineStr">
        <is>
          <t>Secondary (long-tail)</t>
        </is>
      </c>
      <c r="F29" t="inlineStr">
        <is>
          <t>H3 / body paragraph / table row / image alt</t>
        </is>
      </c>
      <c r="G29" t="inlineStr">
        <is>
          <t>Wholesale/B2B</t>
        </is>
      </c>
      <c r="H29" t="inlineStr">
        <is>
          <t>Basmati</t>
        </is>
      </c>
      <c r="I29" t="inlineStr">
        <is>
          <t>Transactional (B2B)</t>
        </is>
      </c>
      <c r="J29" t="inlineStr">
        <is>
          <t>BOFU</t>
        </is>
      </c>
      <c r="K29" t="inlineStr">
        <is>
          <t>UAE</t>
        </is>
      </c>
      <c r="L29" t="inlineStr">
        <is>
          <t>Landing</t>
        </is>
      </c>
      <c r="M29">
        <f>IFERROR(VLOOKUP($A29,'Semrush Import'!$A:$D,2,FALSE),"")</f>
        <v/>
      </c>
      <c r="N29">
        <f>IFERROR(VLOOKUP($A29,'Semrush Import'!$A:$D,3,FALSE),"")</f>
        <v/>
      </c>
      <c r="O29">
        <f>IFERROR(VLOOKUP($A29,'Semrush Import'!$A:$D,4,FALSE),"")</f>
        <v/>
      </c>
      <c r="P29">
        <f>IFERROR(VLOOKUP($A29,'KP Import'!$A:$B,2,FALSE),"")</f>
        <v/>
      </c>
      <c r="Q29">
        <f>IF(M29="","",ROUND(M29/(N29+10),1))</f>
        <v/>
      </c>
      <c r="R29">
        <f>IF(Q29="","",IF(Q29&gt;=20,"A - Go first",IF(Q29&gt;=5,"B - Next","C - Later")))</f>
        <v/>
      </c>
      <c r="S29" t="inlineStr">
        <is>
          <t>To do</t>
        </is>
      </c>
      <c r="T29" t="inlineStr"/>
    </row>
    <row r="30">
      <c r="A30" t="inlineStr">
        <is>
          <t>steam basmati rice</t>
        </is>
      </c>
      <c r="B30" t="inlineStr">
        <is>
          <t>Phase 1 - B2B now</t>
        </is>
      </c>
      <c r="C30" t="inlineStr">
        <is>
          <t>Wholesalers / bulk buyers</t>
        </is>
      </c>
      <c r="D30" t="inlineStr">
        <is>
          <t>Steam Basmati</t>
        </is>
      </c>
      <c r="E30" t="inlineStr">
        <is>
          <t>Secondary (short)</t>
        </is>
      </c>
      <c r="F30" t="inlineStr">
        <is>
          <t>H2 heading + 1st paragraph under it</t>
        </is>
      </c>
      <c r="G30" t="inlineStr">
        <is>
          <t>Core product</t>
        </is>
      </c>
      <c r="H30" t="inlineStr">
        <is>
          <t>Basmati</t>
        </is>
      </c>
      <c r="I30" t="inlineStr">
        <is>
          <t>Informational/Commercial</t>
        </is>
      </c>
      <c r="J30" t="inlineStr">
        <is>
          <t>TOFU</t>
        </is>
      </c>
      <c r="K30" t="inlineStr">
        <is>
          <t>UAE (generic)</t>
        </is>
      </c>
      <c r="L30" t="inlineStr">
        <is>
          <t>Product</t>
        </is>
      </c>
      <c r="M30">
        <f>IFERROR(VLOOKUP($A30,'Semrush Import'!$A:$D,2,FALSE),"")</f>
        <v/>
      </c>
      <c r="N30">
        <f>IFERROR(VLOOKUP($A30,'Semrush Import'!$A:$D,3,FALSE),"")</f>
        <v/>
      </c>
      <c r="O30">
        <f>IFERROR(VLOOKUP($A30,'Semrush Import'!$A:$D,4,FALSE),"")</f>
        <v/>
      </c>
      <c r="P30">
        <f>IFERROR(VLOOKUP($A30,'KP Import'!$A:$B,2,FALSE),"")</f>
        <v/>
      </c>
      <c r="Q30">
        <f>IF(M30="","",ROUND(M30/(N30+10),1))</f>
        <v/>
      </c>
      <c r="R30">
        <f>IF(Q30="","",IF(Q30&gt;=20,"A - Go first",IF(Q30&gt;=5,"B - Next","C - Later")))</f>
        <v/>
      </c>
      <c r="S30" t="inlineStr">
        <is>
          <t>To do</t>
        </is>
      </c>
      <c r="T30" t="inlineStr"/>
    </row>
    <row r="31">
      <c r="A31" t="inlineStr">
        <is>
          <t>buy steam basmati rice online</t>
        </is>
      </c>
      <c r="B31" t="inlineStr">
        <is>
          <t>Phase 2 - B2C (later)</t>
        </is>
      </c>
      <c r="C31" t="inlineStr">
        <is>
          <t>Consumer / household</t>
        </is>
      </c>
      <c r="D31" t="inlineStr">
        <is>
          <t>Shop (B2C)</t>
        </is>
      </c>
      <c r="E31" t="inlineStr">
        <is>
          <t>Secondary (long-tail)</t>
        </is>
      </c>
      <c r="F31" t="inlineStr">
        <is>
          <t>H3 / body paragraph / table row / image alt</t>
        </is>
      </c>
      <c r="G31" t="inlineStr">
        <is>
          <t>Transactional</t>
        </is>
      </c>
      <c r="H31" t="inlineStr">
        <is>
          <t>Basmati</t>
        </is>
      </c>
      <c r="I31" t="inlineStr">
        <is>
          <t>Transactional</t>
        </is>
      </c>
      <c r="J31" t="inlineStr">
        <is>
          <t>BOFU</t>
        </is>
      </c>
      <c r="K31" t="inlineStr">
        <is>
          <t>UAE (generic)</t>
        </is>
      </c>
      <c r="L31" t="inlineStr">
        <is>
          <t>Product</t>
        </is>
      </c>
      <c r="M31">
        <f>IFERROR(VLOOKUP($A31,'Semrush Import'!$A:$D,2,FALSE),"")</f>
        <v/>
      </c>
      <c r="N31">
        <f>IFERROR(VLOOKUP($A31,'Semrush Import'!$A:$D,3,FALSE),"")</f>
        <v/>
      </c>
      <c r="O31">
        <f>IFERROR(VLOOKUP($A31,'Semrush Import'!$A:$D,4,FALSE),"")</f>
        <v/>
      </c>
      <c r="P31">
        <f>IFERROR(VLOOKUP($A31,'KP Import'!$A:$B,2,FALSE),"")</f>
        <v/>
      </c>
      <c r="Q31">
        <f>IF(M31="","",ROUND(M31/(N31+10),1))</f>
        <v/>
      </c>
      <c r="R31">
        <f>IF(Q31="","",IF(Q31&gt;=20,"A - Go first",IF(Q31&gt;=5,"B - Next","C - Later")))</f>
        <v/>
      </c>
      <c r="S31" t="inlineStr">
        <is>
          <t>To do</t>
        </is>
      </c>
      <c r="T31" t="inlineStr"/>
    </row>
    <row r="32">
      <c r="A32" t="inlineStr">
        <is>
          <t>steam basmati rice price in uae</t>
        </is>
      </c>
      <c r="B32" t="inlineStr">
        <is>
          <t>Phase 1 - B2B now</t>
        </is>
      </c>
      <c r="C32" t="inlineStr">
        <is>
          <t>Wholesalers / bulk buyers</t>
        </is>
      </c>
      <c r="D32" t="inlineStr">
        <is>
          <t>Steam Basmati</t>
        </is>
      </c>
      <c r="E32" t="inlineStr">
        <is>
          <t>Secondary (long-tail)</t>
        </is>
      </c>
      <c r="F32" t="inlineStr">
        <is>
          <t>H3 / body paragraph / table row / image alt</t>
        </is>
      </c>
      <c r="G32" t="inlineStr">
        <is>
          <t>Price</t>
        </is>
      </c>
      <c r="H32" t="inlineStr">
        <is>
          <t>Basmati</t>
        </is>
      </c>
      <c r="I32" t="inlineStr">
        <is>
          <t>Commercial/Transactional</t>
        </is>
      </c>
      <c r="J32" t="inlineStr">
        <is>
          <t>MOFU</t>
        </is>
      </c>
      <c r="K32" t="inlineStr">
        <is>
          <t>UAE</t>
        </is>
      </c>
      <c r="L32" t="inlineStr">
        <is>
          <t>Product</t>
        </is>
      </c>
      <c r="M32">
        <f>IFERROR(VLOOKUP($A32,'Semrush Import'!$A:$D,2,FALSE),"")</f>
        <v/>
      </c>
      <c r="N32">
        <f>IFERROR(VLOOKUP($A32,'Semrush Import'!$A:$D,3,FALSE),"")</f>
        <v/>
      </c>
      <c r="O32">
        <f>IFERROR(VLOOKUP($A32,'Semrush Import'!$A:$D,4,FALSE),"")</f>
        <v/>
      </c>
      <c r="P32">
        <f>IFERROR(VLOOKUP($A32,'KP Import'!$A:$B,2,FALSE),"")</f>
        <v/>
      </c>
      <c r="Q32">
        <f>IF(M32="","",ROUND(M32/(N32+10),1))</f>
        <v/>
      </c>
      <c r="R32">
        <f>IF(Q32="","",IF(Q32&gt;=20,"A - Go first",IF(Q32&gt;=5,"B - Next","C - Later")))</f>
        <v/>
      </c>
      <c r="S32" t="inlineStr">
        <is>
          <t>To do</t>
        </is>
      </c>
      <c r="T32" t="inlineStr"/>
    </row>
    <row r="33">
      <c r="A33" t="inlineStr">
        <is>
          <t>steam basmati rice price in dubai</t>
        </is>
      </c>
      <c r="B33" t="inlineStr">
        <is>
          <t>Phase 1 - B2B now</t>
        </is>
      </c>
      <c r="C33" t="inlineStr">
        <is>
          <t>Wholesalers / bulk buyers</t>
        </is>
      </c>
      <c r="D33" t="inlineStr">
        <is>
          <t>Steam Basmati</t>
        </is>
      </c>
      <c r="E33" t="inlineStr">
        <is>
          <t>Secondary (long-tail)</t>
        </is>
      </c>
      <c r="F33" t="inlineStr">
        <is>
          <t>H3 / body paragraph / table row / image alt</t>
        </is>
      </c>
      <c r="G33" t="inlineStr">
        <is>
          <t>Price</t>
        </is>
      </c>
      <c r="H33" t="inlineStr">
        <is>
          <t>Basmati</t>
        </is>
      </c>
      <c r="I33" t="inlineStr">
        <is>
          <t>Commercial/Transactional</t>
        </is>
      </c>
      <c r="J33" t="inlineStr">
        <is>
          <t>MOFU</t>
        </is>
      </c>
      <c r="K33" t="inlineStr">
        <is>
          <t>Dubai</t>
        </is>
      </c>
      <c r="L33" t="inlineStr">
        <is>
          <t>Product</t>
        </is>
      </c>
      <c r="M33">
        <f>IFERROR(VLOOKUP($A33,'Semrush Import'!$A:$D,2,FALSE),"")</f>
        <v/>
      </c>
      <c r="N33">
        <f>IFERROR(VLOOKUP($A33,'Semrush Import'!$A:$D,3,FALSE),"")</f>
        <v/>
      </c>
      <c r="O33">
        <f>IFERROR(VLOOKUP($A33,'Semrush Import'!$A:$D,4,FALSE),"")</f>
        <v/>
      </c>
      <c r="P33">
        <f>IFERROR(VLOOKUP($A33,'KP Import'!$A:$B,2,FALSE),"")</f>
        <v/>
      </c>
      <c r="Q33">
        <f>IF(M33="","",ROUND(M33/(N33+10),1))</f>
        <v/>
      </c>
      <c r="R33">
        <f>IF(Q33="","",IF(Q33&gt;=20,"A - Go first",IF(Q33&gt;=5,"B - Next","C - Later")))</f>
        <v/>
      </c>
      <c r="S33" t="inlineStr">
        <is>
          <t>To do</t>
        </is>
      </c>
      <c r="T33" t="inlineStr"/>
    </row>
    <row r="34">
      <c r="A34" t="inlineStr">
        <is>
          <t>steam basmati rice online dubai</t>
        </is>
      </c>
      <c r="B34" t="inlineStr">
        <is>
          <t>Phase 2 - B2C (later)</t>
        </is>
      </c>
      <c r="C34" t="inlineStr">
        <is>
          <t>Consumer / household</t>
        </is>
      </c>
      <c r="D34" t="inlineStr">
        <is>
          <t>Shop (B2C)</t>
        </is>
      </c>
      <c r="E34" t="inlineStr">
        <is>
          <t>Secondary (long-tail)</t>
        </is>
      </c>
      <c r="F34" t="inlineStr">
        <is>
          <t>H3 / body paragraph / table row / image alt</t>
        </is>
      </c>
      <c r="G34" t="inlineStr">
        <is>
          <t>Transactional</t>
        </is>
      </c>
      <c r="H34" t="inlineStr">
        <is>
          <t>Basmati</t>
        </is>
      </c>
      <c r="I34" t="inlineStr">
        <is>
          <t>Transactional</t>
        </is>
      </c>
      <c r="J34" t="inlineStr">
        <is>
          <t>BOFU</t>
        </is>
      </c>
      <c r="K34" t="inlineStr">
        <is>
          <t>Dubai</t>
        </is>
      </c>
      <c r="L34" t="inlineStr">
        <is>
          <t>Product</t>
        </is>
      </c>
      <c r="M34">
        <f>IFERROR(VLOOKUP($A34,'Semrush Import'!$A:$D,2,FALSE),"")</f>
        <v/>
      </c>
      <c r="N34">
        <f>IFERROR(VLOOKUP($A34,'Semrush Import'!$A:$D,3,FALSE),"")</f>
        <v/>
      </c>
      <c r="O34">
        <f>IFERROR(VLOOKUP($A34,'Semrush Import'!$A:$D,4,FALSE),"")</f>
        <v/>
      </c>
      <c r="P34">
        <f>IFERROR(VLOOKUP($A34,'KP Import'!$A:$B,2,FALSE),"")</f>
        <v/>
      </c>
      <c r="Q34">
        <f>IF(M34="","",ROUND(M34/(N34+10),1))</f>
        <v/>
      </c>
      <c r="R34">
        <f>IF(Q34="","",IF(Q34&gt;=20,"A - Go first",IF(Q34&gt;=5,"B - Next","C - Later")))</f>
        <v/>
      </c>
      <c r="S34" t="inlineStr">
        <is>
          <t>To do</t>
        </is>
      </c>
      <c r="T34" t="inlineStr"/>
    </row>
    <row r="35">
      <c r="A35" t="inlineStr">
        <is>
          <t>steam basmati rice wholesale dubai</t>
        </is>
      </c>
      <c r="B35" t="inlineStr">
        <is>
          <t>Phase 1 - B2B now</t>
        </is>
      </c>
      <c r="C35" t="inlineStr">
        <is>
          <t>Wholesalers / bulk buyers</t>
        </is>
      </c>
      <c r="D35" t="inlineStr">
        <is>
          <t>Steam Basmati</t>
        </is>
      </c>
      <c r="E35" t="inlineStr">
        <is>
          <t>PRIMARY</t>
        </is>
      </c>
      <c r="F35" t="inlineStr">
        <is>
          <t>URL slug + SEO title + H1 + meta description + first 100 words</t>
        </is>
      </c>
      <c r="G35" t="inlineStr">
        <is>
          <t>Wholesale/B2B</t>
        </is>
      </c>
      <c r="H35" t="inlineStr">
        <is>
          <t>Basmati</t>
        </is>
      </c>
      <c r="I35" t="inlineStr">
        <is>
          <t>Transactional (B2B)</t>
        </is>
      </c>
      <c r="J35" t="inlineStr">
        <is>
          <t>BOFU</t>
        </is>
      </c>
      <c r="K35" t="inlineStr">
        <is>
          <t>Dubai</t>
        </is>
      </c>
      <c r="L35" t="inlineStr">
        <is>
          <t>Landing</t>
        </is>
      </c>
      <c r="M35">
        <f>IFERROR(VLOOKUP($A35,'Semrush Import'!$A:$D,2,FALSE),"")</f>
        <v/>
      </c>
      <c r="N35">
        <f>IFERROR(VLOOKUP($A35,'Semrush Import'!$A:$D,3,FALSE),"")</f>
        <v/>
      </c>
      <c r="O35">
        <f>IFERROR(VLOOKUP($A35,'Semrush Import'!$A:$D,4,FALSE),"")</f>
        <v/>
      </c>
      <c r="P35">
        <f>IFERROR(VLOOKUP($A35,'KP Import'!$A:$B,2,FALSE),"")</f>
        <v/>
      </c>
      <c r="Q35">
        <f>IF(M35="","",ROUND(M35/(N35+10),1))</f>
        <v/>
      </c>
      <c r="R35">
        <f>IF(Q35="","",IF(Q35&gt;=20,"A - Go first",IF(Q35&gt;=5,"B - Next","C - Later")))</f>
        <v/>
      </c>
      <c r="S35" t="inlineStr">
        <is>
          <t>To do</t>
        </is>
      </c>
      <c r="T35" t="inlineStr"/>
    </row>
    <row r="36">
      <c r="A36" t="inlineStr">
        <is>
          <t>steam basmati rice supplier uae</t>
        </is>
      </c>
      <c r="B36" t="inlineStr">
        <is>
          <t>Phase 1 - B2B now</t>
        </is>
      </c>
      <c r="C36" t="inlineStr">
        <is>
          <t>Wholesalers / bulk buyers</t>
        </is>
      </c>
      <c r="D36" t="inlineStr">
        <is>
          <t>Steam Basmati</t>
        </is>
      </c>
      <c r="E36" t="inlineStr">
        <is>
          <t>Secondary (long-tail)</t>
        </is>
      </c>
      <c r="F36" t="inlineStr">
        <is>
          <t>H3 / body paragraph / table row / image alt</t>
        </is>
      </c>
      <c r="G36" t="inlineStr">
        <is>
          <t>Wholesale/B2B</t>
        </is>
      </c>
      <c r="H36" t="inlineStr">
        <is>
          <t>Basmati</t>
        </is>
      </c>
      <c r="I36" t="inlineStr">
        <is>
          <t>Transactional (B2B)</t>
        </is>
      </c>
      <c r="J36" t="inlineStr">
        <is>
          <t>BOFU</t>
        </is>
      </c>
      <c r="K36" t="inlineStr">
        <is>
          <t>UAE</t>
        </is>
      </c>
      <c r="L36" t="inlineStr">
        <is>
          <t>Landing</t>
        </is>
      </c>
      <c r="M36">
        <f>IFERROR(VLOOKUP($A36,'Semrush Import'!$A:$D,2,FALSE),"")</f>
        <v/>
      </c>
      <c r="N36">
        <f>IFERROR(VLOOKUP($A36,'Semrush Import'!$A:$D,3,FALSE),"")</f>
        <v/>
      </c>
      <c r="O36">
        <f>IFERROR(VLOOKUP($A36,'Semrush Import'!$A:$D,4,FALSE),"")</f>
        <v/>
      </c>
      <c r="P36">
        <f>IFERROR(VLOOKUP($A36,'KP Import'!$A:$B,2,FALSE),"")</f>
        <v/>
      </c>
      <c r="Q36">
        <f>IF(M36="","",ROUND(M36/(N36+10),1))</f>
        <v/>
      </c>
      <c r="R36">
        <f>IF(Q36="","",IF(Q36&gt;=20,"A - Go first",IF(Q36&gt;=5,"B - Next","C - Later")))</f>
        <v/>
      </c>
      <c r="S36" t="inlineStr">
        <is>
          <t>To do</t>
        </is>
      </c>
      <c r="T36" t="inlineStr"/>
    </row>
    <row r="37">
      <c r="A37" t="inlineStr">
        <is>
          <t>white sella basmati rice</t>
        </is>
      </c>
      <c r="B37" t="inlineStr">
        <is>
          <t>Phase 1 - B2B now</t>
        </is>
      </c>
      <c r="C37" t="inlineStr">
        <is>
          <t>Wholesalers / bulk buyers</t>
        </is>
      </c>
      <c r="D37" t="inlineStr">
        <is>
          <t>Sella Basmati</t>
        </is>
      </c>
      <c r="E37" t="inlineStr">
        <is>
          <t>Secondary (long-tail)</t>
        </is>
      </c>
      <c r="F37" t="inlineStr">
        <is>
          <t>H3 / body paragraph / table row / image alt</t>
        </is>
      </c>
      <c r="G37" t="inlineStr">
        <is>
          <t>Core product</t>
        </is>
      </c>
      <c r="H37" t="inlineStr">
        <is>
          <t>Basmati</t>
        </is>
      </c>
      <c r="I37" t="inlineStr">
        <is>
          <t>Informational/Commercial</t>
        </is>
      </c>
      <c r="J37" t="inlineStr">
        <is>
          <t>TOFU</t>
        </is>
      </c>
      <c r="K37" t="inlineStr">
        <is>
          <t>UAE (generic)</t>
        </is>
      </c>
      <c r="L37" t="inlineStr">
        <is>
          <t>Product</t>
        </is>
      </c>
      <c r="M37">
        <f>IFERROR(VLOOKUP($A37,'Semrush Import'!$A:$D,2,FALSE),"")</f>
        <v/>
      </c>
      <c r="N37">
        <f>IFERROR(VLOOKUP($A37,'Semrush Import'!$A:$D,3,FALSE),"")</f>
        <v/>
      </c>
      <c r="O37">
        <f>IFERROR(VLOOKUP($A37,'Semrush Import'!$A:$D,4,FALSE),"")</f>
        <v/>
      </c>
      <c r="P37">
        <f>IFERROR(VLOOKUP($A37,'KP Import'!$A:$B,2,FALSE),"")</f>
        <v/>
      </c>
      <c r="Q37">
        <f>IF(M37="","",ROUND(M37/(N37+10),1))</f>
        <v/>
      </c>
      <c r="R37">
        <f>IF(Q37="","",IF(Q37&gt;=20,"A - Go first",IF(Q37&gt;=5,"B - Next","C - Later")))</f>
        <v/>
      </c>
      <c r="S37" t="inlineStr">
        <is>
          <t>To do</t>
        </is>
      </c>
      <c r="T37" t="inlineStr"/>
    </row>
    <row r="38">
      <c r="A38" t="inlineStr">
        <is>
          <t>buy white sella basmati rice online</t>
        </is>
      </c>
      <c r="B38" t="inlineStr">
        <is>
          <t>Phase 2 - B2C (later)</t>
        </is>
      </c>
      <c r="C38" t="inlineStr">
        <is>
          <t>Consumer / household</t>
        </is>
      </c>
      <c r="D38" t="inlineStr">
        <is>
          <t>Shop (B2C)</t>
        </is>
      </c>
      <c r="E38" t="inlineStr">
        <is>
          <t>Secondary (long-tail)</t>
        </is>
      </c>
      <c r="F38" t="inlineStr">
        <is>
          <t>H3 / body paragraph / table row / image alt</t>
        </is>
      </c>
      <c r="G38" t="inlineStr">
        <is>
          <t>Transactional</t>
        </is>
      </c>
      <c r="H38" t="inlineStr">
        <is>
          <t>Basmati</t>
        </is>
      </c>
      <c r="I38" t="inlineStr">
        <is>
          <t>Transactional</t>
        </is>
      </c>
      <c r="J38" t="inlineStr">
        <is>
          <t>BOFU</t>
        </is>
      </c>
      <c r="K38" t="inlineStr">
        <is>
          <t>UAE (generic)</t>
        </is>
      </c>
      <c r="L38" t="inlineStr">
        <is>
          <t>Product</t>
        </is>
      </c>
      <c r="M38">
        <f>IFERROR(VLOOKUP($A38,'Semrush Import'!$A:$D,2,FALSE),"")</f>
        <v/>
      </c>
      <c r="N38">
        <f>IFERROR(VLOOKUP($A38,'Semrush Import'!$A:$D,3,FALSE),"")</f>
        <v/>
      </c>
      <c r="O38">
        <f>IFERROR(VLOOKUP($A38,'Semrush Import'!$A:$D,4,FALSE),"")</f>
        <v/>
      </c>
      <c r="P38">
        <f>IFERROR(VLOOKUP($A38,'KP Import'!$A:$B,2,FALSE),"")</f>
        <v/>
      </c>
      <c r="Q38">
        <f>IF(M38="","",ROUND(M38/(N38+10),1))</f>
        <v/>
      </c>
      <c r="R38">
        <f>IF(Q38="","",IF(Q38&gt;=20,"A - Go first",IF(Q38&gt;=5,"B - Next","C - Later")))</f>
        <v/>
      </c>
      <c r="S38" t="inlineStr">
        <is>
          <t>To do</t>
        </is>
      </c>
      <c r="T38" t="inlineStr"/>
    </row>
    <row r="39">
      <c r="A39" t="inlineStr">
        <is>
          <t>white sella basmati rice price in uae</t>
        </is>
      </c>
      <c r="B39" t="inlineStr">
        <is>
          <t>Phase 1 - B2B now</t>
        </is>
      </c>
      <c r="C39" t="inlineStr">
        <is>
          <t>Wholesalers / bulk buyers</t>
        </is>
      </c>
      <c r="D39" t="inlineStr">
        <is>
          <t>Sella Basmati</t>
        </is>
      </c>
      <c r="E39" t="inlineStr">
        <is>
          <t>Secondary (long-tail)</t>
        </is>
      </c>
      <c r="F39" t="inlineStr">
        <is>
          <t>H3 / body paragraph / table row / image alt</t>
        </is>
      </c>
      <c r="G39" t="inlineStr">
        <is>
          <t>Price</t>
        </is>
      </c>
      <c r="H39" t="inlineStr">
        <is>
          <t>Basmati</t>
        </is>
      </c>
      <c r="I39" t="inlineStr">
        <is>
          <t>Commercial/Transactional</t>
        </is>
      </c>
      <c r="J39" t="inlineStr">
        <is>
          <t>MOFU</t>
        </is>
      </c>
      <c r="K39" t="inlineStr">
        <is>
          <t>UAE</t>
        </is>
      </c>
      <c r="L39" t="inlineStr">
        <is>
          <t>Product</t>
        </is>
      </c>
      <c r="M39">
        <f>IFERROR(VLOOKUP($A39,'Semrush Import'!$A:$D,2,FALSE),"")</f>
        <v/>
      </c>
      <c r="N39">
        <f>IFERROR(VLOOKUP($A39,'Semrush Import'!$A:$D,3,FALSE),"")</f>
        <v/>
      </c>
      <c r="O39">
        <f>IFERROR(VLOOKUP($A39,'Semrush Import'!$A:$D,4,FALSE),"")</f>
        <v/>
      </c>
      <c r="P39">
        <f>IFERROR(VLOOKUP($A39,'KP Import'!$A:$B,2,FALSE),"")</f>
        <v/>
      </c>
      <c r="Q39">
        <f>IF(M39="","",ROUND(M39/(N39+10),1))</f>
        <v/>
      </c>
      <c r="R39">
        <f>IF(Q39="","",IF(Q39&gt;=20,"A - Go first",IF(Q39&gt;=5,"B - Next","C - Later")))</f>
        <v/>
      </c>
      <c r="S39" t="inlineStr">
        <is>
          <t>To do</t>
        </is>
      </c>
      <c r="T39" t="inlineStr"/>
    </row>
    <row r="40">
      <c r="A40" t="inlineStr">
        <is>
          <t>white sella basmati rice price in dubai</t>
        </is>
      </c>
      <c r="B40" t="inlineStr">
        <is>
          <t>Phase 1 - B2B now</t>
        </is>
      </c>
      <c r="C40" t="inlineStr">
        <is>
          <t>Wholesalers / bulk buyers</t>
        </is>
      </c>
      <c r="D40" t="inlineStr">
        <is>
          <t>Sella Basmati</t>
        </is>
      </c>
      <c r="E40" t="inlineStr">
        <is>
          <t>Secondary (long-tail)</t>
        </is>
      </c>
      <c r="F40" t="inlineStr">
        <is>
          <t>H3 / body paragraph / table row / image alt</t>
        </is>
      </c>
      <c r="G40" t="inlineStr">
        <is>
          <t>Price</t>
        </is>
      </c>
      <c r="H40" t="inlineStr">
        <is>
          <t>Basmati</t>
        </is>
      </c>
      <c r="I40" t="inlineStr">
        <is>
          <t>Commercial/Transactional</t>
        </is>
      </c>
      <c r="J40" t="inlineStr">
        <is>
          <t>MOFU</t>
        </is>
      </c>
      <c r="K40" t="inlineStr">
        <is>
          <t>Dubai</t>
        </is>
      </c>
      <c r="L40" t="inlineStr">
        <is>
          <t>Product</t>
        </is>
      </c>
      <c r="M40">
        <f>IFERROR(VLOOKUP($A40,'Semrush Import'!$A:$D,2,FALSE),"")</f>
        <v/>
      </c>
      <c r="N40">
        <f>IFERROR(VLOOKUP($A40,'Semrush Import'!$A:$D,3,FALSE),"")</f>
        <v/>
      </c>
      <c r="O40">
        <f>IFERROR(VLOOKUP($A40,'Semrush Import'!$A:$D,4,FALSE),"")</f>
        <v/>
      </c>
      <c r="P40">
        <f>IFERROR(VLOOKUP($A40,'KP Import'!$A:$B,2,FALSE),"")</f>
        <v/>
      </c>
      <c r="Q40">
        <f>IF(M40="","",ROUND(M40/(N40+10),1))</f>
        <v/>
      </c>
      <c r="R40">
        <f>IF(Q40="","",IF(Q40&gt;=20,"A - Go first",IF(Q40&gt;=5,"B - Next","C - Later")))</f>
        <v/>
      </c>
      <c r="S40" t="inlineStr">
        <is>
          <t>To do</t>
        </is>
      </c>
      <c r="T40" t="inlineStr"/>
    </row>
    <row r="41">
      <c r="A41" t="inlineStr">
        <is>
          <t>white sella basmati rice online dubai</t>
        </is>
      </c>
      <c r="B41" t="inlineStr">
        <is>
          <t>Phase 2 - B2C (later)</t>
        </is>
      </c>
      <c r="C41" t="inlineStr">
        <is>
          <t>Consumer / household</t>
        </is>
      </c>
      <c r="D41" t="inlineStr">
        <is>
          <t>Shop (B2C)</t>
        </is>
      </c>
      <c r="E41" t="inlineStr">
        <is>
          <t>Secondary (long-tail)</t>
        </is>
      </c>
      <c r="F41" t="inlineStr">
        <is>
          <t>H3 / body paragraph / table row / image alt</t>
        </is>
      </c>
      <c r="G41" t="inlineStr">
        <is>
          <t>Transactional</t>
        </is>
      </c>
      <c r="H41" t="inlineStr">
        <is>
          <t>Basmati</t>
        </is>
      </c>
      <c r="I41" t="inlineStr">
        <is>
          <t>Transactional</t>
        </is>
      </c>
      <c r="J41" t="inlineStr">
        <is>
          <t>BOFU</t>
        </is>
      </c>
      <c r="K41" t="inlineStr">
        <is>
          <t>Dubai</t>
        </is>
      </c>
      <c r="L41" t="inlineStr">
        <is>
          <t>Product</t>
        </is>
      </c>
      <c r="M41">
        <f>IFERROR(VLOOKUP($A41,'Semrush Import'!$A:$D,2,FALSE),"")</f>
        <v/>
      </c>
      <c r="N41">
        <f>IFERROR(VLOOKUP($A41,'Semrush Import'!$A:$D,3,FALSE),"")</f>
        <v/>
      </c>
      <c r="O41">
        <f>IFERROR(VLOOKUP($A41,'Semrush Import'!$A:$D,4,FALSE),"")</f>
        <v/>
      </c>
      <c r="P41">
        <f>IFERROR(VLOOKUP($A41,'KP Import'!$A:$B,2,FALSE),"")</f>
        <v/>
      </c>
      <c r="Q41">
        <f>IF(M41="","",ROUND(M41/(N41+10),1))</f>
        <v/>
      </c>
      <c r="R41">
        <f>IF(Q41="","",IF(Q41&gt;=20,"A - Go first",IF(Q41&gt;=5,"B - Next","C - Later")))</f>
        <v/>
      </c>
      <c r="S41" t="inlineStr">
        <is>
          <t>To do</t>
        </is>
      </c>
      <c r="T41" t="inlineStr"/>
    </row>
    <row r="42">
      <c r="A42" t="inlineStr">
        <is>
          <t>white sella basmati rice wholesale dubai</t>
        </is>
      </c>
      <c r="B42" t="inlineStr">
        <is>
          <t>Phase 1 - B2B now</t>
        </is>
      </c>
      <c r="C42" t="inlineStr">
        <is>
          <t>Wholesalers / bulk buyers</t>
        </is>
      </c>
      <c r="D42" t="inlineStr">
        <is>
          <t>Sella Basmati</t>
        </is>
      </c>
      <c r="E42" t="inlineStr">
        <is>
          <t>Secondary (long-tail)</t>
        </is>
      </c>
      <c r="F42" t="inlineStr">
        <is>
          <t>H3 / body paragraph / table row / image alt</t>
        </is>
      </c>
      <c r="G42" t="inlineStr">
        <is>
          <t>Wholesale/B2B</t>
        </is>
      </c>
      <c r="H42" t="inlineStr">
        <is>
          <t>Basmati</t>
        </is>
      </c>
      <c r="I42" t="inlineStr">
        <is>
          <t>Transactional (B2B)</t>
        </is>
      </c>
      <c r="J42" t="inlineStr">
        <is>
          <t>BOFU</t>
        </is>
      </c>
      <c r="K42" t="inlineStr">
        <is>
          <t>Dubai</t>
        </is>
      </c>
      <c r="L42" t="inlineStr">
        <is>
          <t>Landing</t>
        </is>
      </c>
      <c r="M42">
        <f>IFERROR(VLOOKUP($A42,'Semrush Import'!$A:$D,2,FALSE),"")</f>
        <v/>
      </c>
      <c r="N42">
        <f>IFERROR(VLOOKUP($A42,'Semrush Import'!$A:$D,3,FALSE),"")</f>
        <v/>
      </c>
      <c r="O42">
        <f>IFERROR(VLOOKUP($A42,'Semrush Import'!$A:$D,4,FALSE),"")</f>
        <v/>
      </c>
      <c r="P42">
        <f>IFERROR(VLOOKUP($A42,'KP Import'!$A:$B,2,FALSE),"")</f>
        <v/>
      </c>
      <c r="Q42">
        <f>IF(M42="","",ROUND(M42/(N42+10),1))</f>
        <v/>
      </c>
      <c r="R42">
        <f>IF(Q42="","",IF(Q42&gt;=20,"A - Go first",IF(Q42&gt;=5,"B - Next","C - Later")))</f>
        <v/>
      </c>
      <c r="S42" t="inlineStr">
        <is>
          <t>To do</t>
        </is>
      </c>
      <c r="T42" t="inlineStr"/>
    </row>
    <row r="43">
      <c r="A43" t="inlineStr">
        <is>
          <t>white sella basmati rice supplier uae</t>
        </is>
      </c>
      <c r="B43" t="inlineStr">
        <is>
          <t>Phase 1 - B2B now</t>
        </is>
      </c>
      <c r="C43" t="inlineStr">
        <is>
          <t>Wholesalers / bulk buyers</t>
        </is>
      </c>
      <c r="D43" t="inlineStr">
        <is>
          <t>Sella Basmati</t>
        </is>
      </c>
      <c r="E43" t="inlineStr">
        <is>
          <t>Secondary (long-tail)</t>
        </is>
      </c>
      <c r="F43" t="inlineStr">
        <is>
          <t>H3 / body paragraph / table row / image alt</t>
        </is>
      </c>
      <c r="G43" t="inlineStr">
        <is>
          <t>Wholesale/B2B</t>
        </is>
      </c>
      <c r="H43" t="inlineStr">
        <is>
          <t>Basmati</t>
        </is>
      </c>
      <c r="I43" t="inlineStr">
        <is>
          <t>Transactional (B2B)</t>
        </is>
      </c>
      <c r="J43" t="inlineStr">
        <is>
          <t>BOFU</t>
        </is>
      </c>
      <c r="K43" t="inlineStr">
        <is>
          <t>UAE</t>
        </is>
      </c>
      <c r="L43" t="inlineStr">
        <is>
          <t>Landing</t>
        </is>
      </c>
      <c r="M43">
        <f>IFERROR(VLOOKUP($A43,'Semrush Import'!$A:$D,2,FALSE),"")</f>
        <v/>
      </c>
      <c r="N43">
        <f>IFERROR(VLOOKUP($A43,'Semrush Import'!$A:$D,3,FALSE),"")</f>
        <v/>
      </c>
      <c r="O43">
        <f>IFERROR(VLOOKUP($A43,'Semrush Import'!$A:$D,4,FALSE),"")</f>
        <v/>
      </c>
      <c r="P43">
        <f>IFERROR(VLOOKUP($A43,'KP Import'!$A:$B,2,FALSE),"")</f>
        <v/>
      </c>
      <c r="Q43">
        <f>IF(M43="","",ROUND(M43/(N43+10),1))</f>
        <v/>
      </c>
      <c r="R43">
        <f>IF(Q43="","",IF(Q43&gt;=20,"A - Go first",IF(Q43&gt;=5,"B - Next","C - Later")))</f>
        <v/>
      </c>
      <c r="S43" t="inlineStr">
        <is>
          <t>To do</t>
        </is>
      </c>
      <c r="T43" t="inlineStr"/>
    </row>
    <row r="44">
      <c r="A44" t="inlineStr">
        <is>
          <t>indian basmati rice</t>
        </is>
      </c>
      <c r="B44" t="inlineStr">
        <is>
          <t>Phase 1 - B2B now</t>
        </is>
      </c>
      <c r="C44" t="inlineStr">
        <is>
          <t>Wholesalers / bulk buyers</t>
        </is>
      </c>
      <c r="D44" t="inlineStr">
        <is>
          <t>Basmati Rice (category)</t>
        </is>
      </c>
      <c r="E44" t="inlineStr">
        <is>
          <t>Secondary (short)</t>
        </is>
      </c>
      <c r="F44" t="inlineStr">
        <is>
          <t>H2 heading + 1st paragraph under it</t>
        </is>
      </c>
      <c r="G44" t="inlineStr">
        <is>
          <t>Core product</t>
        </is>
      </c>
      <c r="H44" t="inlineStr">
        <is>
          <t>Basmati</t>
        </is>
      </c>
      <c r="I44" t="inlineStr">
        <is>
          <t>Informational/Commercial</t>
        </is>
      </c>
      <c r="J44" t="inlineStr">
        <is>
          <t>TOFU</t>
        </is>
      </c>
      <c r="K44" t="inlineStr">
        <is>
          <t>UAE (generic)</t>
        </is>
      </c>
      <c r="L44" t="inlineStr">
        <is>
          <t>Landing/Blog</t>
        </is>
      </c>
      <c r="M44">
        <f>IFERROR(VLOOKUP($A44,'Semrush Import'!$A:$D,2,FALSE),"")</f>
        <v/>
      </c>
      <c r="N44">
        <f>IFERROR(VLOOKUP($A44,'Semrush Import'!$A:$D,3,FALSE),"")</f>
        <v/>
      </c>
      <c r="O44">
        <f>IFERROR(VLOOKUP($A44,'Semrush Import'!$A:$D,4,FALSE),"")</f>
        <v/>
      </c>
      <c r="P44">
        <f>IFERROR(VLOOKUP($A44,'KP Import'!$A:$B,2,FALSE),"")</f>
        <v/>
      </c>
      <c r="Q44">
        <f>IF(M44="","",ROUND(M44/(N44+10),1))</f>
        <v/>
      </c>
      <c r="R44">
        <f>IF(Q44="","",IF(Q44&gt;=20,"A - Go first",IF(Q44&gt;=5,"B - Next","C - Later")))</f>
        <v/>
      </c>
      <c r="S44" t="inlineStr">
        <is>
          <t>To do</t>
        </is>
      </c>
      <c r="T44" t="inlineStr"/>
    </row>
    <row r="45">
      <c r="A45" t="inlineStr">
        <is>
          <t>buy indian basmati rice online</t>
        </is>
      </c>
      <c r="B45" t="inlineStr">
        <is>
          <t>Phase 2 - B2C (later)</t>
        </is>
      </c>
      <c r="C45" t="inlineStr">
        <is>
          <t>Consumer / household</t>
        </is>
      </c>
      <c r="D45" t="inlineStr">
        <is>
          <t>Shop (B2C)</t>
        </is>
      </c>
      <c r="E45" t="inlineStr">
        <is>
          <t>Secondary (long-tail)</t>
        </is>
      </c>
      <c r="F45" t="inlineStr">
        <is>
          <t>H3 / body paragraph / table row / image alt</t>
        </is>
      </c>
      <c r="G45" t="inlineStr">
        <is>
          <t>Transactional</t>
        </is>
      </c>
      <c r="H45" t="inlineStr">
        <is>
          <t>Basmati</t>
        </is>
      </c>
      <c r="I45" t="inlineStr">
        <is>
          <t>Transactional</t>
        </is>
      </c>
      <c r="J45" t="inlineStr">
        <is>
          <t>BOFU</t>
        </is>
      </c>
      <c r="K45" t="inlineStr">
        <is>
          <t>UAE (generic)</t>
        </is>
      </c>
      <c r="L45" t="inlineStr">
        <is>
          <t>Landing/Blog</t>
        </is>
      </c>
      <c r="M45">
        <f>IFERROR(VLOOKUP($A45,'Semrush Import'!$A:$D,2,FALSE),"")</f>
        <v/>
      </c>
      <c r="N45">
        <f>IFERROR(VLOOKUP($A45,'Semrush Import'!$A:$D,3,FALSE),"")</f>
        <v/>
      </c>
      <c r="O45">
        <f>IFERROR(VLOOKUP($A45,'Semrush Import'!$A:$D,4,FALSE),"")</f>
        <v/>
      </c>
      <c r="P45">
        <f>IFERROR(VLOOKUP($A45,'KP Import'!$A:$B,2,FALSE),"")</f>
        <v/>
      </c>
      <c r="Q45">
        <f>IF(M45="","",ROUND(M45/(N45+10),1))</f>
        <v/>
      </c>
      <c r="R45">
        <f>IF(Q45="","",IF(Q45&gt;=20,"A - Go first",IF(Q45&gt;=5,"B - Next","C - Later")))</f>
        <v/>
      </c>
      <c r="S45" t="inlineStr">
        <is>
          <t>To do</t>
        </is>
      </c>
      <c r="T45" t="inlineStr"/>
    </row>
    <row r="46">
      <c r="A46" t="inlineStr">
        <is>
          <t>indian basmati rice price in uae</t>
        </is>
      </c>
      <c r="B46" t="inlineStr">
        <is>
          <t>Phase 1 - B2B now</t>
        </is>
      </c>
      <c r="C46" t="inlineStr">
        <is>
          <t>Wholesalers / bulk buyers</t>
        </is>
      </c>
      <c r="D46" t="inlineStr">
        <is>
          <t>Basmati Rice (category)</t>
        </is>
      </c>
      <c r="E46" t="inlineStr">
        <is>
          <t>Secondary (long-tail)</t>
        </is>
      </c>
      <c r="F46" t="inlineStr">
        <is>
          <t>H3 / body paragraph / table row / image alt</t>
        </is>
      </c>
      <c r="G46" t="inlineStr">
        <is>
          <t>Price</t>
        </is>
      </c>
      <c r="H46" t="inlineStr">
        <is>
          <t>Basmati</t>
        </is>
      </c>
      <c r="I46" t="inlineStr">
        <is>
          <t>Commercial/Transactional</t>
        </is>
      </c>
      <c r="J46" t="inlineStr">
        <is>
          <t>MOFU</t>
        </is>
      </c>
      <c r="K46" t="inlineStr">
        <is>
          <t>UAE</t>
        </is>
      </c>
      <c r="L46" t="inlineStr">
        <is>
          <t>Landing/Blog</t>
        </is>
      </c>
      <c r="M46">
        <f>IFERROR(VLOOKUP($A46,'Semrush Import'!$A:$D,2,FALSE),"")</f>
        <v/>
      </c>
      <c r="N46">
        <f>IFERROR(VLOOKUP($A46,'Semrush Import'!$A:$D,3,FALSE),"")</f>
        <v/>
      </c>
      <c r="O46">
        <f>IFERROR(VLOOKUP($A46,'Semrush Import'!$A:$D,4,FALSE),"")</f>
        <v/>
      </c>
      <c r="P46">
        <f>IFERROR(VLOOKUP($A46,'KP Import'!$A:$B,2,FALSE),"")</f>
        <v/>
      </c>
      <c r="Q46">
        <f>IF(M46="","",ROUND(M46/(N46+10),1))</f>
        <v/>
      </c>
      <c r="R46">
        <f>IF(Q46="","",IF(Q46&gt;=20,"A - Go first",IF(Q46&gt;=5,"B - Next","C - Later")))</f>
        <v/>
      </c>
      <c r="S46" t="inlineStr">
        <is>
          <t>To do</t>
        </is>
      </c>
      <c r="T46" t="inlineStr"/>
    </row>
    <row r="47">
      <c r="A47" t="inlineStr">
        <is>
          <t>indian basmati rice price in dubai</t>
        </is>
      </c>
      <c r="B47" t="inlineStr">
        <is>
          <t>Phase 1 - B2B now</t>
        </is>
      </c>
      <c r="C47" t="inlineStr">
        <is>
          <t>Wholesalers / bulk buyers</t>
        </is>
      </c>
      <c r="D47" t="inlineStr">
        <is>
          <t>Basmati Rice (category)</t>
        </is>
      </c>
      <c r="E47" t="inlineStr">
        <is>
          <t>Secondary (long-tail)</t>
        </is>
      </c>
      <c r="F47" t="inlineStr">
        <is>
          <t>H3 / body paragraph / table row / image alt</t>
        </is>
      </c>
      <c r="G47" t="inlineStr">
        <is>
          <t>Price</t>
        </is>
      </c>
      <c r="H47" t="inlineStr">
        <is>
          <t>Basmati</t>
        </is>
      </c>
      <c r="I47" t="inlineStr">
        <is>
          <t>Commercial/Transactional</t>
        </is>
      </c>
      <c r="J47" t="inlineStr">
        <is>
          <t>MOFU</t>
        </is>
      </c>
      <c r="K47" t="inlineStr">
        <is>
          <t>Dubai</t>
        </is>
      </c>
      <c r="L47" t="inlineStr">
        <is>
          <t>Landing/Blog</t>
        </is>
      </c>
      <c r="M47">
        <f>IFERROR(VLOOKUP($A47,'Semrush Import'!$A:$D,2,FALSE),"")</f>
        <v/>
      </c>
      <c r="N47">
        <f>IFERROR(VLOOKUP($A47,'Semrush Import'!$A:$D,3,FALSE),"")</f>
        <v/>
      </c>
      <c r="O47">
        <f>IFERROR(VLOOKUP($A47,'Semrush Import'!$A:$D,4,FALSE),"")</f>
        <v/>
      </c>
      <c r="P47">
        <f>IFERROR(VLOOKUP($A47,'KP Import'!$A:$B,2,FALSE),"")</f>
        <v/>
      </c>
      <c r="Q47">
        <f>IF(M47="","",ROUND(M47/(N47+10),1))</f>
        <v/>
      </c>
      <c r="R47">
        <f>IF(Q47="","",IF(Q47&gt;=20,"A - Go first",IF(Q47&gt;=5,"B - Next","C - Later")))</f>
        <v/>
      </c>
      <c r="S47" t="inlineStr">
        <is>
          <t>To do</t>
        </is>
      </c>
      <c r="T47" t="inlineStr"/>
    </row>
    <row r="48">
      <c r="A48" t="inlineStr">
        <is>
          <t>indian basmati rice online dubai</t>
        </is>
      </c>
      <c r="B48" t="inlineStr">
        <is>
          <t>Phase 2 - B2C (later)</t>
        </is>
      </c>
      <c r="C48" t="inlineStr">
        <is>
          <t>Consumer / household</t>
        </is>
      </c>
      <c r="D48" t="inlineStr">
        <is>
          <t>Shop (B2C)</t>
        </is>
      </c>
      <c r="E48" t="inlineStr">
        <is>
          <t>Secondary (long-tail)</t>
        </is>
      </c>
      <c r="F48" t="inlineStr">
        <is>
          <t>H3 / body paragraph / table row / image alt</t>
        </is>
      </c>
      <c r="G48" t="inlineStr">
        <is>
          <t>Transactional</t>
        </is>
      </c>
      <c r="H48" t="inlineStr">
        <is>
          <t>Basmati</t>
        </is>
      </c>
      <c r="I48" t="inlineStr">
        <is>
          <t>Transactional</t>
        </is>
      </c>
      <c r="J48" t="inlineStr">
        <is>
          <t>BOFU</t>
        </is>
      </c>
      <c r="K48" t="inlineStr">
        <is>
          <t>Dubai</t>
        </is>
      </c>
      <c r="L48" t="inlineStr">
        <is>
          <t>Landing/Blog</t>
        </is>
      </c>
      <c r="M48">
        <f>IFERROR(VLOOKUP($A48,'Semrush Import'!$A:$D,2,FALSE),"")</f>
        <v/>
      </c>
      <c r="N48">
        <f>IFERROR(VLOOKUP($A48,'Semrush Import'!$A:$D,3,FALSE),"")</f>
        <v/>
      </c>
      <c r="O48">
        <f>IFERROR(VLOOKUP($A48,'Semrush Import'!$A:$D,4,FALSE),"")</f>
        <v/>
      </c>
      <c r="P48">
        <f>IFERROR(VLOOKUP($A48,'KP Import'!$A:$B,2,FALSE),"")</f>
        <v/>
      </c>
      <c r="Q48">
        <f>IF(M48="","",ROUND(M48/(N48+10),1))</f>
        <v/>
      </c>
      <c r="R48">
        <f>IF(Q48="","",IF(Q48&gt;=20,"A - Go first",IF(Q48&gt;=5,"B - Next","C - Later")))</f>
        <v/>
      </c>
      <c r="S48" t="inlineStr">
        <is>
          <t>To do</t>
        </is>
      </c>
      <c r="T48" t="inlineStr"/>
    </row>
    <row r="49">
      <c r="A49" t="inlineStr">
        <is>
          <t>indian basmati rice wholesale dubai</t>
        </is>
      </c>
      <c r="B49" t="inlineStr">
        <is>
          <t>Phase 1 - B2B now</t>
        </is>
      </c>
      <c r="C49" t="inlineStr">
        <is>
          <t>Wholesalers / bulk buyers</t>
        </is>
      </c>
      <c r="D49" t="inlineStr">
        <is>
          <t>Basmati Rice (category)</t>
        </is>
      </c>
      <c r="E49" t="inlineStr">
        <is>
          <t>Secondary (long-tail)</t>
        </is>
      </c>
      <c r="F49" t="inlineStr">
        <is>
          <t>H3 / body paragraph / table row / image alt</t>
        </is>
      </c>
      <c r="G49" t="inlineStr">
        <is>
          <t>Wholesale/B2B</t>
        </is>
      </c>
      <c r="H49" t="inlineStr">
        <is>
          <t>Basmati</t>
        </is>
      </c>
      <c r="I49" t="inlineStr">
        <is>
          <t>Transactional (B2B)</t>
        </is>
      </c>
      <c r="J49" t="inlineStr">
        <is>
          <t>BOFU</t>
        </is>
      </c>
      <c r="K49" t="inlineStr">
        <is>
          <t>Dubai</t>
        </is>
      </c>
      <c r="L49" t="inlineStr">
        <is>
          <t>Landing</t>
        </is>
      </c>
      <c r="M49">
        <f>IFERROR(VLOOKUP($A49,'Semrush Import'!$A:$D,2,FALSE),"")</f>
        <v/>
      </c>
      <c r="N49">
        <f>IFERROR(VLOOKUP($A49,'Semrush Import'!$A:$D,3,FALSE),"")</f>
        <v/>
      </c>
      <c r="O49">
        <f>IFERROR(VLOOKUP($A49,'Semrush Import'!$A:$D,4,FALSE),"")</f>
        <v/>
      </c>
      <c r="P49">
        <f>IFERROR(VLOOKUP($A49,'KP Import'!$A:$B,2,FALSE),"")</f>
        <v/>
      </c>
      <c r="Q49">
        <f>IF(M49="","",ROUND(M49/(N49+10),1))</f>
        <v/>
      </c>
      <c r="R49">
        <f>IF(Q49="","",IF(Q49&gt;=20,"A - Go first",IF(Q49&gt;=5,"B - Next","C - Later")))</f>
        <v/>
      </c>
      <c r="S49" t="inlineStr">
        <is>
          <t>To do</t>
        </is>
      </c>
      <c r="T49" t="inlineStr"/>
    </row>
    <row r="50">
      <c r="A50" t="inlineStr">
        <is>
          <t>indian basmati rice supplier uae</t>
        </is>
      </c>
      <c r="B50" t="inlineStr">
        <is>
          <t>Phase 1 - B2B now</t>
        </is>
      </c>
      <c r="C50" t="inlineStr">
        <is>
          <t>Wholesalers / bulk buyers</t>
        </is>
      </c>
      <c r="D50" t="inlineStr">
        <is>
          <t>Basmati Rice (category)</t>
        </is>
      </c>
      <c r="E50" t="inlineStr">
        <is>
          <t>Secondary (long-tail)</t>
        </is>
      </c>
      <c r="F50" t="inlineStr">
        <is>
          <t>H3 / body paragraph / table row / image alt</t>
        </is>
      </c>
      <c r="G50" t="inlineStr">
        <is>
          <t>Wholesale/B2B</t>
        </is>
      </c>
      <c r="H50" t="inlineStr">
        <is>
          <t>Basmati</t>
        </is>
      </c>
      <c r="I50" t="inlineStr">
        <is>
          <t>Transactional (B2B)</t>
        </is>
      </c>
      <c r="J50" t="inlineStr">
        <is>
          <t>BOFU</t>
        </is>
      </c>
      <c r="K50" t="inlineStr">
        <is>
          <t>UAE</t>
        </is>
      </c>
      <c r="L50" t="inlineStr">
        <is>
          <t>Landing</t>
        </is>
      </c>
      <c r="M50">
        <f>IFERROR(VLOOKUP($A50,'Semrush Import'!$A:$D,2,FALSE),"")</f>
        <v/>
      </c>
      <c r="N50">
        <f>IFERROR(VLOOKUP($A50,'Semrush Import'!$A:$D,3,FALSE),"")</f>
        <v/>
      </c>
      <c r="O50">
        <f>IFERROR(VLOOKUP($A50,'Semrush Import'!$A:$D,4,FALSE),"")</f>
        <v/>
      </c>
      <c r="P50">
        <f>IFERROR(VLOOKUP($A50,'KP Import'!$A:$B,2,FALSE),"")</f>
        <v/>
      </c>
      <c r="Q50">
        <f>IF(M50="","",ROUND(M50/(N50+10),1))</f>
        <v/>
      </c>
      <c r="R50">
        <f>IF(Q50="","",IF(Q50&gt;=20,"A - Go first",IF(Q50&gt;=5,"B - Next","C - Later")))</f>
        <v/>
      </c>
      <c r="S50" t="inlineStr">
        <is>
          <t>To do</t>
        </is>
      </c>
      <c r="T50" t="inlineStr"/>
    </row>
    <row r="51">
      <c r="A51" t="inlineStr">
        <is>
          <t>pakistani basmati rice</t>
        </is>
      </c>
      <c r="B51" t="inlineStr">
        <is>
          <t>Phase 1 - B2B now</t>
        </is>
      </c>
      <c r="C51" t="inlineStr">
        <is>
          <t>Wholesalers / bulk buyers</t>
        </is>
      </c>
      <c r="D51" t="inlineStr">
        <is>
          <t>Basmati Rice (category)</t>
        </is>
      </c>
      <c r="E51" t="inlineStr">
        <is>
          <t>Secondary (short)</t>
        </is>
      </c>
      <c r="F51" t="inlineStr">
        <is>
          <t>H2 heading + 1st paragraph under it</t>
        </is>
      </c>
      <c r="G51" t="inlineStr">
        <is>
          <t>Core product</t>
        </is>
      </c>
      <c r="H51" t="inlineStr">
        <is>
          <t>Basmati</t>
        </is>
      </c>
      <c r="I51" t="inlineStr">
        <is>
          <t>Informational/Commercial</t>
        </is>
      </c>
      <c r="J51" t="inlineStr">
        <is>
          <t>TOFU</t>
        </is>
      </c>
      <c r="K51" t="inlineStr">
        <is>
          <t>UAE (generic)</t>
        </is>
      </c>
      <c r="L51" t="inlineStr">
        <is>
          <t>Landing/Blog</t>
        </is>
      </c>
      <c r="M51">
        <f>IFERROR(VLOOKUP($A51,'Semrush Import'!$A:$D,2,FALSE),"")</f>
        <v/>
      </c>
      <c r="N51">
        <f>IFERROR(VLOOKUP($A51,'Semrush Import'!$A:$D,3,FALSE),"")</f>
        <v/>
      </c>
      <c r="O51">
        <f>IFERROR(VLOOKUP($A51,'Semrush Import'!$A:$D,4,FALSE),"")</f>
        <v/>
      </c>
      <c r="P51">
        <f>IFERROR(VLOOKUP($A51,'KP Import'!$A:$B,2,FALSE),"")</f>
        <v/>
      </c>
      <c r="Q51">
        <f>IF(M51="","",ROUND(M51/(N51+10),1))</f>
        <v/>
      </c>
      <c r="R51">
        <f>IF(Q51="","",IF(Q51&gt;=20,"A - Go first",IF(Q51&gt;=5,"B - Next","C - Later")))</f>
        <v/>
      </c>
      <c r="S51" t="inlineStr">
        <is>
          <t>To do</t>
        </is>
      </c>
      <c r="T51" t="inlineStr"/>
    </row>
    <row r="52">
      <c r="A52" t="inlineStr">
        <is>
          <t>buy pakistani basmati rice online</t>
        </is>
      </c>
      <c r="B52" t="inlineStr">
        <is>
          <t>Phase 2 - B2C (later)</t>
        </is>
      </c>
      <c r="C52" t="inlineStr">
        <is>
          <t>Consumer / household</t>
        </is>
      </c>
      <c r="D52" t="inlineStr">
        <is>
          <t>Shop (B2C)</t>
        </is>
      </c>
      <c r="E52" t="inlineStr">
        <is>
          <t>Secondary (long-tail)</t>
        </is>
      </c>
      <c r="F52" t="inlineStr">
        <is>
          <t>H3 / body paragraph / table row / image alt</t>
        </is>
      </c>
      <c r="G52" t="inlineStr">
        <is>
          <t>Transactional</t>
        </is>
      </c>
      <c r="H52" t="inlineStr">
        <is>
          <t>Basmati</t>
        </is>
      </c>
      <c r="I52" t="inlineStr">
        <is>
          <t>Transactional</t>
        </is>
      </c>
      <c r="J52" t="inlineStr">
        <is>
          <t>BOFU</t>
        </is>
      </c>
      <c r="K52" t="inlineStr">
        <is>
          <t>UAE (generic)</t>
        </is>
      </c>
      <c r="L52" t="inlineStr">
        <is>
          <t>Landing/Blog</t>
        </is>
      </c>
      <c r="M52">
        <f>IFERROR(VLOOKUP($A52,'Semrush Import'!$A:$D,2,FALSE),"")</f>
        <v/>
      </c>
      <c r="N52">
        <f>IFERROR(VLOOKUP($A52,'Semrush Import'!$A:$D,3,FALSE),"")</f>
        <v/>
      </c>
      <c r="O52">
        <f>IFERROR(VLOOKUP($A52,'Semrush Import'!$A:$D,4,FALSE),"")</f>
        <v/>
      </c>
      <c r="P52">
        <f>IFERROR(VLOOKUP($A52,'KP Import'!$A:$B,2,FALSE),"")</f>
        <v/>
      </c>
      <c r="Q52">
        <f>IF(M52="","",ROUND(M52/(N52+10),1))</f>
        <v/>
      </c>
      <c r="R52">
        <f>IF(Q52="","",IF(Q52&gt;=20,"A - Go first",IF(Q52&gt;=5,"B - Next","C - Later")))</f>
        <v/>
      </c>
      <c r="S52" t="inlineStr">
        <is>
          <t>To do</t>
        </is>
      </c>
      <c r="T52" t="inlineStr"/>
    </row>
    <row r="53">
      <c r="A53" t="inlineStr">
        <is>
          <t>pakistani basmati rice price in uae</t>
        </is>
      </c>
      <c r="B53" t="inlineStr">
        <is>
          <t>Phase 1 - B2B now</t>
        </is>
      </c>
      <c r="C53" t="inlineStr">
        <is>
          <t>Wholesalers / bulk buyers</t>
        </is>
      </c>
      <c r="D53" t="inlineStr">
        <is>
          <t>Basmati Rice (category)</t>
        </is>
      </c>
      <c r="E53" t="inlineStr">
        <is>
          <t>Secondary (long-tail)</t>
        </is>
      </c>
      <c r="F53" t="inlineStr">
        <is>
          <t>H3 / body paragraph / table row / image alt</t>
        </is>
      </c>
      <c r="G53" t="inlineStr">
        <is>
          <t>Price</t>
        </is>
      </c>
      <c r="H53" t="inlineStr">
        <is>
          <t>Basmati</t>
        </is>
      </c>
      <c r="I53" t="inlineStr">
        <is>
          <t>Commercial/Transactional</t>
        </is>
      </c>
      <c r="J53" t="inlineStr">
        <is>
          <t>MOFU</t>
        </is>
      </c>
      <c r="K53" t="inlineStr">
        <is>
          <t>UAE</t>
        </is>
      </c>
      <c r="L53" t="inlineStr">
        <is>
          <t>Landing/Blog</t>
        </is>
      </c>
      <c r="M53">
        <f>IFERROR(VLOOKUP($A53,'Semrush Import'!$A:$D,2,FALSE),"")</f>
        <v/>
      </c>
      <c r="N53">
        <f>IFERROR(VLOOKUP($A53,'Semrush Import'!$A:$D,3,FALSE),"")</f>
        <v/>
      </c>
      <c r="O53">
        <f>IFERROR(VLOOKUP($A53,'Semrush Import'!$A:$D,4,FALSE),"")</f>
        <v/>
      </c>
      <c r="P53">
        <f>IFERROR(VLOOKUP($A53,'KP Import'!$A:$B,2,FALSE),"")</f>
        <v/>
      </c>
      <c r="Q53">
        <f>IF(M53="","",ROUND(M53/(N53+10),1))</f>
        <v/>
      </c>
      <c r="R53">
        <f>IF(Q53="","",IF(Q53&gt;=20,"A - Go first",IF(Q53&gt;=5,"B - Next","C - Later")))</f>
        <v/>
      </c>
      <c r="S53" t="inlineStr">
        <is>
          <t>To do</t>
        </is>
      </c>
      <c r="T53" t="inlineStr"/>
    </row>
    <row r="54">
      <c r="A54" t="inlineStr">
        <is>
          <t>pakistani basmati rice price in dubai</t>
        </is>
      </c>
      <c r="B54" t="inlineStr">
        <is>
          <t>Phase 1 - B2B now</t>
        </is>
      </c>
      <c r="C54" t="inlineStr">
        <is>
          <t>Wholesalers / bulk buyers</t>
        </is>
      </c>
      <c r="D54" t="inlineStr">
        <is>
          <t>Basmati Rice (category)</t>
        </is>
      </c>
      <c r="E54" t="inlineStr">
        <is>
          <t>Secondary (long-tail)</t>
        </is>
      </c>
      <c r="F54" t="inlineStr">
        <is>
          <t>H3 / body paragraph / table row / image alt</t>
        </is>
      </c>
      <c r="G54" t="inlineStr">
        <is>
          <t>Price</t>
        </is>
      </c>
      <c r="H54" t="inlineStr">
        <is>
          <t>Basmati</t>
        </is>
      </c>
      <c r="I54" t="inlineStr">
        <is>
          <t>Commercial/Transactional</t>
        </is>
      </c>
      <c r="J54" t="inlineStr">
        <is>
          <t>MOFU</t>
        </is>
      </c>
      <c r="K54" t="inlineStr">
        <is>
          <t>Dubai</t>
        </is>
      </c>
      <c r="L54" t="inlineStr">
        <is>
          <t>Landing/Blog</t>
        </is>
      </c>
      <c r="M54">
        <f>IFERROR(VLOOKUP($A54,'Semrush Import'!$A:$D,2,FALSE),"")</f>
        <v/>
      </c>
      <c r="N54">
        <f>IFERROR(VLOOKUP($A54,'Semrush Import'!$A:$D,3,FALSE),"")</f>
        <v/>
      </c>
      <c r="O54">
        <f>IFERROR(VLOOKUP($A54,'Semrush Import'!$A:$D,4,FALSE),"")</f>
        <v/>
      </c>
      <c r="P54">
        <f>IFERROR(VLOOKUP($A54,'KP Import'!$A:$B,2,FALSE),"")</f>
        <v/>
      </c>
      <c r="Q54">
        <f>IF(M54="","",ROUND(M54/(N54+10),1))</f>
        <v/>
      </c>
      <c r="R54">
        <f>IF(Q54="","",IF(Q54&gt;=20,"A - Go first",IF(Q54&gt;=5,"B - Next","C - Later")))</f>
        <v/>
      </c>
      <c r="S54" t="inlineStr">
        <is>
          <t>To do</t>
        </is>
      </c>
      <c r="T54" t="inlineStr"/>
    </row>
    <row r="55">
      <c r="A55" t="inlineStr">
        <is>
          <t>pakistani basmati rice online dubai</t>
        </is>
      </c>
      <c r="B55" t="inlineStr">
        <is>
          <t>Phase 2 - B2C (later)</t>
        </is>
      </c>
      <c r="C55" t="inlineStr">
        <is>
          <t>Consumer / household</t>
        </is>
      </c>
      <c r="D55" t="inlineStr">
        <is>
          <t>Shop (B2C)</t>
        </is>
      </c>
      <c r="E55" t="inlineStr">
        <is>
          <t>Secondary (long-tail)</t>
        </is>
      </c>
      <c r="F55" t="inlineStr">
        <is>
          <t>H3 / body paragraph / table row / image alt</t>
        </is>
      </c>
      <c r="G55" t="inlineStr">
        <is>
          <t>Transactional</t>
        </is>
      </c>
      <c r="H55" t="inlineStr">
        <is>
          <t>Basmati</t>
        </is>
      </c>
      <c r="I55" t="inlineStr">
        <is>
          <t>Transactional</t>
        </is>
      </c>
      <c r="J55" t="inlineStr">
        <is>
          <t>BOFU</t>
        </is>
      </c>
      <c r="K55" t="inlineStr">
        <is>
          <t>Dubai</t>
        </is>
      </c>
      <c r="L55" t="inlineStr">
        <is>
          <t>Landing/Blog</t>
        </is>
      </c>
      <c r="M55">
        <f>IFERROR(VLOOKUP($A55,'Semrush Import'!$A:$D,2,FALSE),"")</f>
        <v/>
      </c>
      <c r="N55">
        <f>IFERROR(VLOOKUP($A55,'Semrush Import'!$A:$D,3,FALSE),"")</f>
        <v/>
      </c>
      <c r="O55">
        <f>IFERROR(VLOOKUP($A55,'Semrush Import'!$A:$D,4,FALSE),"")</f>
        <v/>
      </c>
      <c r="P55">
        <f>IFERROR(VLOOKUP($A55,'KP Import'!$A:$B,2,FALSE),"")</f>
        <v/>
      </c>
      <c r="Q55">
        <f>IF(M55="","",ROUND(M55/(N55+10),1))</f>
        <v/>
      </c>
      <c r="R55">
        <f>IF(Q55="","",IF(Q55&gt;=20,"A - Go first",IF(Q55&gt;=5,"B - Next","C - Later")))</f>
        <v/>
      </c>
      <c r="S55" t="inlineStr">
        <is>
          <t>To do</t>
        </is>
      </c>
      <c r="T55" t="inlineStr"/>
    </row>
    <row r="56">
      <c r="A56" t="inlineStr">
        <is>
          <t>pakistani basmati rice wholesale dubai</t>
        </is>
      </c>
      <c r="B56" t="inlineStr">
        <is>
          <t>Phase 1 - B2B now</t>
        </is>
      </c>
      <c r="C56" t="inlineStr">
        <is>
          <t>Wholesalers / bulk buyers</t>
        </is>
      </c>
      <c r="D56" t="inlineStr">
        <is>
          <t>Basmati Rice (category)</t>
        </is>
      </c>
      <c r="E56" t="inlineStr">
        <is>
          <t>Secondary (long-tail)</t>
        </is>
      </c>
      <c r="F56" t="inlineStr">
        <is>
          <t>H3 / body paragraph / table row / image alt</t>
        </is>
      </c>
      <c r="G56" t="inlineStr">
        <is>
          <t>Wholesale/B2B</t>
        </is>
      </c>
      <c r="H56" t="inlineStr">
        <is>
          <t>Basmati</t>
        </is>
      </c>
      <c r="I56" t="inlineStr">
        <is>
          <t>Transactional (B2B)</t>
        </is>
      </c>
      <c r="J56" t="inlineStr">
        <is>
          <t>BOFU</t>
        </is>
      </c>
      <c r="K56" t="inlineStr">
        <is>
          <t>Dubai</t>
        </is>
      </c>
      <c r="L56" t="inlineStr">
        <is>
          <t>Landing</t>
        </is>
      </c>
      <c r="M56">
        <f>IFERROR(VLOOKUP($A56,'Semrush Import'!$A:$D,2,FALSE),"")</f>
        <v/>
      </c>
      <c r="N56">
        <f>IFERROR(VLOOKUP($A56,'Semrush Import'!$A:$D,3,FALSE),"")</f>
        <v/>
      </c>
      <c r="O56">
        <f>IFERROR(VLOOKUP($A56,'Semrush Import'!$A:$D,4,FALSE),"")</f>
        <v/>
      </c>
      <c r="P56">
        <f>IFERROR(VLOOKUP($A56,'KP Import'!$A:$B,2,FALSE),"")</f>
        <v/>
      </c>
      <c r="Q56">
        <f>IF(M56="","",ROUND(M56/(N56+10),1))</f>
        <v/>
      </c>
      <c r="R56">
        <f>IF(Q56="","",IF(Q56&gt;=20,"A - Go first",IF(Q56&gt;=5,"B - Next","C - Later")))</f>
        <v/>
      </c>
      <c r="S56" t="inlineStr">
        <is>
          <t>To do</t>
        </is>
      </c>
      <c r="T56" t="inlineStr"/>
    </row>
    <row r="57">
      <c r="A57" t="inlineStr">
        <is>
          <t>pakistani basmati rice supplier uae</t>
        </is>
      </c>
      <c r="B57" t="inlineStr">
        <is>
          <t>Phase 1 - B2B now</t>
        </is>
      </c>
      <c r="C57" t="inlineStr">
        <is>
          <t>Wholesalers / bulk buyers</t>
        </is>
      </c>
      <c r="D57" t="inlineStr">
        <is>
          <t>Basmati Rice (category)</t>
        </is>
      </c>
      <c r="E57" t="inlineStr">
        <is>
          <t>Secondary (long-tail)</t>
        </is>
      </c>
      <c r="F57" t="inlineStr">
        <is>
          <t>H3 / body paragraph / table row / image alt</t>
        </is>
      </c>
      <c r="G57" t="inlineStr">
        <is>
          <t>Wholesale/B2B</t>
        </is>
      </c>
      <c r="H57" t="inlineStr">
        <is>
          <t>Basmati</t>
        </is>
      </c>
      <c r="I57" t="inlineStr">
        <is>
          <t>Transactional (B2B)</t>
        </is>
      </c>
      <c r="J57" t="inlineStr">
        <is>
          <t>BOFU</t>
        </is>
      </c>
      <c r="K57" t="inlineStr">
        <is>
          <t>UAE</t>
        </is>
      </c>
      <c r="L57" t="inlineStr">
        <is>
          <t>Landing</t>
        </is>
      </c>
      <c r="M57">
        <f>IFERROR(VLOOKUP($A57,'Semrush Import'!$A:$D,2,FALSE),"")</f>
        <v/>
      </c>
      <c r="N57">
        <f>IFERROR(VLOOKUP($A57,'Semrush Import'!$A:$D,3,FALSE),"")</f>
        <v/>
      </c>
      <c r="O57">
        <f>IFERROR(VLOOKUP($A57,'Semrush Import'!$A:$D,4,FALSE),"")</f>
        <v/>
      </c>
      <c r="P57">
        <f>IFERROR(VLOOKUP($A57,'KP Import'!$A:$B,2,FALSE),"")</f>
        <v/>
      </c>
      <c r="Q57">
        <f>IF(M57="","",ROUND(M57/(N57+10),1))</f>
        <v/>
      </c>
      <c r="R57">
        <f>IF(Q57="","",IF(Q57&gt;=20,"A - Go first",IF(Q57&gt;=5,"B - Next","C - Later")))</f>
        <v/>
      </c>
      <c r="S57" t="inlineStr">
        <is>
          <t>To do</t>
        </is>
      </c>
      <c r="T57" t="inlineStr"/>
    </row>
    <row r="58">
      <c r="A58" t="inlineStr">
        <is>
          <t>aged basmati rice</t>
        </is>
      </c>
      <c r="B58" t="inlineStr">
        <is>
          <t>Phase 1 - B2B now</t>
        </is>
      </c>
      <c r="C58" t="inlineStr">
        <is>
          <t>Wholesalers / bulk buyers</t>
        </is>
      </c>
      <c r="D58" t="inlineStr">
        <is>
          <t>Basmati Rice (category)</t>
        </is>
      </c>
      <c r="E58" t="inlineStr">
        <is>
          <t>Secondary (short)</t>
        </is>
      </c>
      <c r="F58" t="inlineStr">
        <is>
          <t>H2 heading + 1st paragraph under it</t>
        </is>
      </c>
      <c r="G58" t="inlineStr">
        <is>
          <t>Core product</t>
        </is>
      </c>
      <c r="H58" t="inlineStr">
        <is>
          <t>Basmati</t>
        </is>
      </c>
      <c r="I58" t="inlineStr">
        <is>
          <t>Informational/Commercial</t>
        </is>
      </c>
      <c r="J58" t="inlineStr">
        <is>
          <t>TOFU</t>
        </is>
      </c>
      <c r="K58" t="inlineStr">
        <is>
          <t>UAE (generic)</t>
        </is>
      </c>
      <c r="L58" t="inlineStr">
        <is>
          <t>Category</t>
        </is>
      </c>
      <c r="M58">
        <f>IFERROR(VLOOKUP($A58,'Semrush Import'!$A:$D,2,FALSE),"")</f>
        <v/>
      </c>
      <c r="N58">
        <f>IFERROR(VLOOKUP($A58,'Semrush Import'!$A:$D,3,FALSE),"")</f>
        <v/>
      </c>
      <c r="O58">
        <f>IFERROR(VLOOKUP($A58,'Semrush Import'!$A:$D,4,FALSE),"")</f>
        <v/>
      </c>
      <c r="P58">
        <f>IFERROR(VLOOKUP($A58,'KP Import'!$A:$B,2,FALSE),"")</f>
        <v/>
      </c>
      <c r="Q58">
        <f>IF(M58="","",ROUND(M58/(N58+10),1))</f>
        <v/>
      </c>
      <c r="R58">
        <f>IF(Q58="","",IF(Q58&gt;=20,"A - Go first",IF(Q58&gt;=5,"B - Next","C - Later")))</f>
        <v/>
      </c>
      <c r="S58" t="inlineStr">
        <is>
          <t>To do</t>
        </is>
      </c>
      <c r="T58" t="inlineStr"/>
    </row>
    <row r="59">
      <c r="A59" t="inlineStr">
        <is>
          <t>buy aged basmati rice online</t>
        </is>
      </c>
      <c r="B59" t="inlineStr">
        <is>
          <t>Phase 2 - B2C (later)</t>
        </is>
      </c>
      <c r="C59" t="inlineStr">
        <is>
          <t>Consumer / household</t>
        </is>
      </c>
      <c r="D59" t="inlineStr">
        <is>
          <t>Shop (B2C)</t>
        </is>
      </c>
      <c r="E59" t="inlineStr">
        <is>
          <t>Secondary (long-tail)</t>
        </is>
      </c>
      <c r="F59" t="inlineStr">
        <is>
          <t>H3 / body paragraph / table row / image alt</t>
        </is>
      </c>
      <c r="G59" t="inlineStr">
        <is>
          <t>Transactional</t>
        </is>
      </c>
      <c r="H59" t="inlineStr">
        <is>
          <t>Basmati</t>
        </is>
      </c>
      <c r="I59" t="inlineStr">
        <is>
          <t>Transactional</t>
        </is>
      </c>
      <c r="J59" t="inlineStr">
        <is>
          <t>BOFU</t>
        </is>
      </c>
      <c r="K59" t="inlineStr">
        <is>
          <t>UAE (generic)</t>
        </is>
      </c>
      <c r="L59" t="inlineStr">
        <is>
          <t>Category</t>
        </is>
      </c>
      <c r="M59">
        <f>IFERROR(VLOOKUP($A59,'Semrush Import'!$A:$D,2,FALSE),"")</f>
        <v/>
      </c>
      <c r="N59">
        <f>IFERROR(VLOOKUP($A59,'Semrush Import'!$A:$D,3,FALSE),"")</f>
        <v/>
      </c>
      <c r="O59">
        <f>IFERROR(VLOOKUP($A59,'Semrush Import'!$A:$D,4,FALSE),"")</f>
        <v/>
      </c>
      <c r="P59">
        <f>IFERROR(VLOOKUP($A59,'KP Import'!$A:$B,2,FALSE),"")</f>
        <v/>
      </c>
      <c r="Q59">
        <f>IF(M59="","",ROUND(M59/(N59+10),1))</f>
        <v/>
      </c>
      <c r="R59">
        <f>IF(Q59="","",IF(Q59&gt;=20,"A - Go first",IF(Q59&gt;=5,"B - Next","C - Later")))</f>
        <v/>
      </c>
      <c r="S59" t="inlineStr">
        <is>
          <t>To do</t>
        </is>
      </c>
      <c r="T59" t="inlineStr"/>
    </row>
    <row r="60">
      <c r="A60" t="inlineStr">
        <is>
          <t>aged basmati rice price in uae</t>
        </is>
      </c>
      <c r="B60" t="inlineStr">
        <is>
          <t>Phase 1 - B2B now</t>
        </is>
      </c>
      <c r="C60" t="inlineStr">
        <is>
          <t>Wholesalers / bulk buyers</t>
        </is>
      </c>
      <c r="D60" t="inlineStr">
        <is>
          <t>Basmati Rice (category)</t>
        </is>
      </c>
      <c r="E60" t="inlineStr">
        <is>
          <t>Secondary (long-tail)</t>
        </is>
      </c>
      <c r="F60" t="inlineStr">
        <is>
          <t>H3 / body paragraph / table row / image alt</t>
        </is>
      </c>
      <c r="G60" t="inlineStr">
        <is>
          <t>Price</t>
        </is>
      </c>
      <c r="H60" t="inlineStr">
        <is>
          <t>Basmati</t>
        </is>
      </c>
      <c r="I60" t="inlineStr">
        <is>
          <t>Commercial/Transactional</t>
        </is>
      </c>
      <c r="J60" t="inlineStr">
        <is>
          <t>MOFU</t>
        </is>
      </c>
      <c r="K60" t="inlineStr">
        <is>
          <t>UAE</t>
        </is>
      </c>
      <c r="L60" t="inlineStr">
        <is>
          <t>Category</t>
        </is>
      </c>
      <c r="M60">
        <f>IFERROR(VLOOKUP($A60,'Semrush Import'!$A:$D,2,FALSE),"")</f>
        <v/>
      </c>
      <c r="N60">
        <f>IFERROR(VLOOKUP($A60,'Semrush Import'!$A:$D,3,FALSE),"")</f>
        <v/>
      </c>
      <c r="O60">
        <f>IFERROR(VLOOKUP($A60,'Semrush Import'!$A:$D,4,FALSE),"")</f>
        <v/>
      </c>
      <c r="P60">
        <f>IFERROR(VLOOKUP($A60,'KP Import'!$A:$B,2,FALSE),"")</f>
        <v/>
      </c>
      <c r="Q60">
        <f>IF(M60="","",ROUND(M60/(N60+10),1))</f>
        <v/>
      </c>
      <c r="R60">
        <f>IF(Q60="","",IF(Q60&gt;=20,"A - Go first",IF(Q60&gt;=5,"B - Next","C - Later")))</f>
        <v/>
      </c>
      <c r="S60" t="inlineStr">
        <is>
          <t>To do</t>
        </is>
      </c>
      <c r="T60" t="inlineStr"/>
    </row>
    <row r="61">
      <c r="A61" t="inlineStr">
        <is>
          <t>aged basmati rice price in dubai</t>
        </is>
      </c>
      <c r="B61" t="inlineStr">
        <is>
          <t>Phase 1 - B2B now</t>
        </is>
      </c>
      <c r="C61" t="inlineStr">
        <is>
          <t>Wholesalers / bulk buyers</t>
        </is>
      </c>
      <c r="D61" t="inlineStr">
        <is>
          <t>Basmati Rice (category)</t>
        </is>
      </c>
      <c r="E61" t="inlineStr">
        <is>
          <t>Secondary (long-tail)</t>
        </is>
      </c>
      <c r="F61" t="inlineStr">
        <is>
          <t>H3 / body paragraph / table row / image alt</t>
        </is>
      </c>
      <c r="G61" t="inlineStr">
        <is>
          <t>Price</t>
        </is>
      </c>
      <c r="H61" t="inlineStr">
        <is>
          <t>Basmati</t>
        </is>
      </c>
      <c r="I61" t="inlineStr">
        <is>
          <t>Commercial/Transactional</t>
        </is>
      </c>
      <c r="J61" t="inlineStr">
        <is>
          <t>MOFU</t>
        </is>
      </c>
      <c r="K61" t="inlineStr">
        <is>
          <t>Dubai</t>
        </is>
      </c>
      <c r="L61" t="inlineStr">
        <is>
          <t>Category</t>
        </is>
      </c>
      <c r="M61">
        <f>IFERROR(VLOOKUP($A61,'Semrush Import'!$A:$D,2,FALSE),"")</f>
        <v/>
      </c>
      <c r="N61">
        <f>IFERROR(VLOOKUP($A61,'Semrush Import'!$A:$D,3,FALSE),"")</f>
        <v/>
      </c>
      <c r="O61">
        <f>IFERROR(VLOOKUP($A61,'Semrush Import'!$A:$D,4,FALSE),"")</f>
        <v/>
      </c>
      <c r="P61">
        <f>IFERROR(VLOOKUP($A61,'KP Import'!$A:$B,2,FALSE),"")</f>
        <v/>
      </c>
      <c r="Q61">
        <f>IF(M61="","",ROUND(M61/(N61+10),1))</f>
        <v/>
      </c>
      <c r="R61">
        <f>IF(Q61="","",IF(Q61&gt;=20,"A - Go first",IF(Q61&gt;=5,"B - Next","C - Later")))</f>
        <v/>
      </c>
      <c r="S61" t="inlineStr">
        <is>
          <t>To do</t>
        </is>
      </c>
      <c r="T61" t="inlineStr"/>
    </row>
    <row r="62">
      <c r="A62" t="inlineStr">
        <is>
          <t>aged basmati rice online dubai</t>
        </is>
      </c>
      <c r="B62" t="inlineStr">
        <is>
          <t>Phase 2 - B2C (later)</t>
        </is>
      </c>
      <c r="C62" t="inlineStr">
        <is>
          <t>Consumer / household</t>
        </is>
      </c>
      <c r="D62" t="inlineStr">
        <is>
          <t>Shop (B2C)</t>
        </is>
      </c>
      <c r="E62" t="inlineStr">
        <is>
          <t>Secondary (long-tail)</t>
        </is>
      </c>
      <c r="F62" t="inlineStr">
        <is>
          <t>H3 / body paragraph / table row / image alt</t>
        </is>
      </c>
      <c r="G62" t="inlineStr">
        <is>
          <t>Transactional</t>
        </is>
      </c>
      <c r="H62" t="inlineStr">
        <is>
          <t>Basmati</t>
        </is>
      </c>
      <c r="I62" t="inlineStr">
        <is>
          <t>Transactional</t>
        </is>
      </c>
      <c r="J62" t="inlineStr">
        <is>
          <t>BOFU</t>
        </is>
      </c>
      <c r="K62" t="inlineStr">
        <is>
          <t>Dubai</t>
        </is>
      </c>
      <c r="L62" t="inlineStr">
        <is>
          <t>Category</t>
        </is>
      </c>
      <c r="M62">
        <f>IFERROR(VLOOKUP($A62,'Semrush Import'!$A:$D,2,FALSE),"")</f>
        <v/>
      </c>
      <c r="N62">
        <f>IFERROR(VLOOKUP($A62,'Semrush Import'!$A:$D,3,FALSE),"")</f>
        <v/>
      </c>
      <c r="O62">
        <f>IFERROR(VLOOKUP($A62,'Semrush Import'!$A:$D,4,FALSE),"")</f>
        <v/>
      </c>
      <c r="P62">
        <f>IFERROR(VLOOKUP($A62,'KP Import'!$A:$B,2,FALSE),"")</f>
        <v/>
      </c>
      <c r="Q62">
        <f>IF(M62="","",ROUND(M62/(N62+10),1))</f>
        <v/>
      </c>
      <c r="R62">
        <f>IF(Q62="","",IF(Q62&gt;=20,"A - Go first",IF(Q62&gt;=5,"B - Next","C - Later")))</f>
        <v/>
      </c>
      <c r="S62" t="inlineStr">
        <is>
          <t>To do</t>
        </is>
      </c>
      <c r="T62" t="inlineStr"/>
    </row>
    <row r="63">
      <c r="A63" t="inlineStr">
        <is>
          <t>aged basmati rice wholesale dubai</t>
        </is>
      </c>
      <c r="B63" t="inlineStr">
        <is>
          <t>Phase 1 - B2B now</t>
        </is>
      </c>
      <c r="C63" t="inlineStr">
        <is>
          <t>Wholesalers / bulk buyers</t>
        </is>
      </c>
      <c r="D63" t="inlineStr">
        <is>
          <t>Basmati Rice (category)</t>
        </is>
      </c>
      <c r="E63" t="inlineStr">
        <is>
          <t>Secondary (long-tail)</t>
        </is>
      </c>
      <c r="F63" t="inlineStr">
        <is>
          <t>H3 / body paragraph / table row / image alt</t>
        </is>
      </c>
      <c r="G63" t="inlineStr">
        <is>
          <t>Wholesale/B2B</t>
        </is>
      </c>
      <c r="H63" t="inlineStr">
        <is>
          <t>Basmati</t>
        </is>
      </c>
      <c r="I63" t="inlineStr">
        <is>
          <t>Transactional (B2B)</t>
        </is>
      </c>
      <c r="J63" t="inlineStr">
        <is>
          <t>BOFU</t>
        </is>
      </c>
      <c r="K63" t="inlineStr">
        <is>
          <t>Dubai</t>
        </is>
      </c>
      <c r="L63" t="inlineStr">
        <is>
          <t>Landing</t>
        </is>
      </c>
      <c r="M63">
        <f>IFERROR(VLOOKUP($A63,'Semrush Import'!$A:$D,2,FALSE),"")</f>
        <v/>
      </c>
      <c r="N63">
        <f>IFERROR(VLOOKUP($A63,'Semrush Import'!$A:$D,3,FALSE),"")</f>
        <v/>
      </c>
      <c r="O63">
        <f>IFERROR(VLOOKUP($A63,'Semrush Import'!$A:$D,4,FALSE),"")</f>
        <v/>
      </c>
      <c r="P63">
        <f>IFERROR(VLOOKUP($A63,'KP Import'!$A:$B,2,FALSE),"")</f>
        <v/>
      </c>
      <c r="Q63">
        <f>IF(M63="","",ROUND(M63/(N63+10),1))</f>
        <v/>
      </c>
      <c r="R63">
        <f>IF(Q63="","",IF(Q63&gt;=20,"A - Go first",IF(Q63&gt;=5,"B - Next","C - Later")))</f>
        <v/>
      </c>
      <c r="S63" t="inlineStr">
        <is>
          <t>To do</t>
        </is>
      </c>
      <c r="T63" t="inlineStr"/>
    </row>
    <row r="64">
      <c r="A64" t="inlineStr">
        <is>
          <t>aged basmati rice supplier uae</t>
        </is>
      </c>
      <c r="B64" t="inlineStr">
        <is>
          <t>Phase 1 - B2B now</t>
        </is>
      </c>
      <c r="C64" t="inlineStr">
        <is>
          <t>Wholesalers / bulk buyers</t>
        </is>
      </c>
      <c r="D64" t="inlineStr">
        <is>
          <t>Basmati Rice (category)</t>
        </is>
      </c>
      <c r="E64" t="inlineStr">
        <is>
          <t>Secondary (long-tail)</t>
        </is>
      </c>
      <c r="F64" t="inlineStr">
        <is>
          <t>H3 / body paragraph / table row / image alt</t>
        </is>
      </c>
      <c r="G64" t="inlineStr">
        <is>
          <t>Wholesale/B2B</t>
        </is>
      </c>
      <c r="H64" t="inlineStr">
        <is>
          <t>Basmati</t>
        </is>
      </c>
      <c r="I64" t="inlineStr">
        <is>
          <t>Transactional (B2B)</t>
        </is>
      </c>
      <c r="J64" t="inlineStr">
        <is>
          <t>BOFU</t>
        </is>
      </c>
      <c r="K64" t="inlineStr">
        <is>
          <t>UAE</t>
        </is>
      </c>
      <c r="L64" t="inlineStr">
        <is>
          <t>Landing</t>
        </is>
      </c>
      <c r="M64">
        <f>IFERROR(VLOOKUP($A64,'Semrush Import'!$A:$D,2,FALSE),"")</f>
        <v/>
      </c>
      <c r="N64">
        <f>IFERROR(VLOOKUP($A64,'Semrush Import'!$A:$D,3,FALSE),"")</f>
        <v/>
      </c>
      <c r="O64">
        <f>IFERROR(VLOOKUP($A64,'Semrush Import'!$A:$D,4,FALSE),"")</f>
        <v/>
      </c>
      <c r="P64">
        <f>IFERROR(VLOOKUP($A64,'KP Import'!$A:$B,2,FALSE),"")</f>
        <v/>
      </c>
      <c r="Q64">
        <f>IF(M64="","",ROUND(M64/(N64+10),1))</f>
        <v/>
      </c>
      <c r="R64">
        <f>IF(Q64="","",IF(Q64&gt;=20,"A - Go first",IF(Q64&gt;=5,"B - Next","C - Later")))</f>
        <v/>
      </c>
      <c r="S64" t="inlineStr">
        <is>
          <t>To do</t>
        </is>
      </c>
      <c r="T64" t="inlineStr"/>
    </row>
    <row r="65">
      <c r="A65" t="inlineStr">
        <is>
          <t>extra long grain basmati rice</t>
        </is>
      </c>
      <c r="B65" t="inlineStr">
        <is>
          <t>Phase 1 - B2B now</t>
        </is>
      </c>
      <c r="C65" t="inlineStr">
        <is>
          <t>Wholesalers / bulk buyers</t>
        </is>
      </c>
      <c r="D65" t="inlineStr">
        <is>
          <t>Basmati Rice (category)</t>
        </is>
      </c>
      <c r="E65" t="inlineStr">
        <is>
          <t>Secondary (long-tail)</t>
        </is>
      </c>
      <c r="F65" t="inlineStr">
        <is>
          <t>H3 / body paragraph / table row / image alt</t>
        </is>
      </c>
      <c r="G65" t="inlineStr">
        <is>
          <t>Core product</t>
        </is>
      </c>
      <c r="H65" t="inlineStr">
        <is>
          <t>Basmati</t>
        </is>
      </c>
      <c r="I65" t="inlineStr">
        <is>
          <t>Informational/Commercial</t>
        </is>
      </c>
      <c r="J65" t="inlineStr">
        <is>
          <t>TOFU</t>
        </is>
      </c>
      <c r="K65" t="inlineStr">
        <is>
          <t>UAE (generic)</t>
        </is>
      </c>
      <c r="L65" t="inlineStr">
        <is>
          <t>Category</t>
        </is>
      </c>
      <c r="M65">
        <f>IFERROR(VLOOKUP($A65,'Semrush Import'!$A:$D,2,FALSE),"")</f>
        <v/>
      </c>
      <c r="N65">
        <f>IFERROR(VLOOKUP($A65,'Semrush Import'!$A:$D,3,FALSE),"")</f>
        <v/>
      </c>
      <c r="O65">
        <f>IFERROR(VLOOKUP($A65,'Semrush Import'!$A:$D,4,FALSE),"")</f>
        <v/>
      </c>
      <c r="P65">
        <f>IFERROR(VLOOKUP($A65,'KP Import'!$A:$B,2,FALSE),"")</f>
        <v/>
      </c>
      <c r="Q65">
        <f>IF(M65="","",ROUND(M65/(N65+10),1))</f>
        <v/>
      </c>
      <c r="R65">
        <f>IF(Q65="","",IF(Q65&gt;=20,"A - Go first",IF(Q65&gt;=5,"B - Next","C - Later")))</f>
        <v/>
      </c>
      <c r="S65" t="inlineStr">
        <is>
          <t>To do</t>
        </is>
      </c>
      <c r="T65" t="inlineStr"/>
    </row>
    <row r="66">
      <c r="A66" t="inlineStr">
        <is>
          <t>buy extra long grain basmati rice online</t>
        </is>
      </c>
      <c r="B66" t="inlineStr">
        <is>
          <t>Phase 2 - B2C (later)</t>
        </is>
      </c>
      <c r="C66" t="inlineStr">
        <is>
          <t>Consumer / household</t>
        </is>
      </c>
      <c r="D66" t="inlineStr">
        <is>
          <t>Shop (B2C)</t>
        </is>
      </c>
      <c r="E66" t="inlineStr">
        <is>
          <t>Secondary (long-tail)</t>
        </is>
      </c>
      <c r="F66" t="inlineStr">
        <is>
          <t>H3 / body paragraph / table row / image alt</t>
        </is>
      </c>
      <c r="G66" t="inlineStr">
        <is>
          <t>Transactional</t>
        </is>
      </c>
      <c r="H66" t="inlineStr">
        <is>
          <t>Basmati</t>
        </is>
      </c>
      <c r="I66" t="inlineStr">
        <is>
          <t>Transactional</t>
        </is>
      </c>
      <c r="J66" t="inlineStr">
        <is>
          <t>BOFU</t>
        </is>
      </c>
      <c r="K66" t="inlineStr">
        <is>
          <t>UAE (generic)</t>
        </is>
      </c>
      <c r="L66" t="inlineStr">
        <is>
          <t>Category</t>
        </is>
      </c>
      <c r="M66">
        <f>IFERROR(VLOOKUP($A66,'Semrush Import'!$A:$D,2,FALSE),"")</f>
        <v/>
      </c>
      <c r="N66">
        <f>IFERROR(VLOOKUP($A66,'Semrush Import'!$A:$D,3,FALSE),"")</f>
        <v/>
      </c>
      <c r="O66">
        <f>IFERROR(VLOOKUP($A66,'Semrush Import'!$A:$D,4,FALSE),"")</f>
        <v/>
      </c>
      <c r="P66">
        <f>IFERROR(VLOOKUP($A66,'KP Import'!$A:$B,2,FALSE),"")</f>
        <v/>
      </c>
      <c r="Q66">
        <f>IF(M66="","",ROUND(M66/(N66+10),1))</f>
        <v/>
      </c>
      <c r="R66">
        <f>IF(Q66="","",IF(Q66&gt;=20,"A - Go first",IF(Q66&gt;=5,"B - Next","C - Later")))</f>
        <v/>
      </c>
      <c r="S66" t="inlineStr">
        <is>
          <t>To do</t>
        </is>
      </c>
      <c r="T66" t="inlineStr"/>
    </row>
    <row r="67">
      <c r="A67" t="inlineStr">
        <is>
          <t>extra long grain basmati rice price in uae</t>
        </is>
      </c>
      <c r="B67" t="inlineStr">
        <is>
          <t>Phase 1 - B2B now</t>
        </is>
      </c>
      <c r="C67" t="inlineStr">
        <is>
          <t>Wholesalers / bulk buyers</t>
        </is>
      </c>
      <c r="D67" t="inlineStr">
        <is>
          <t>Basmati Rice (category)</t>
        </is>
      </c>
      <c r="E67" t="inlineStr">
        <is>
          <t>Secondary (long-tail)</t>
        </is>
      </c>
      <c r="F67" t="inlineStr">
        <is>
          <t>H3 / body paragraph / table row / image alt</t>
        </is>
      </c>
      <c r="G67" t="inlineStr">
        <is>
          <t>Price</t>
        </is>
      </c>
      <c r="H67" t="inlineStr">
        <is>
          <t>Basmati</t>
        </is>
      </c>
      <c r="I67" t="inlineStr">
        <is>
          <t>Commercial/Transactional</t>
        </is>
      </c>
      <c r="J67" t="inlineStr">
        <is>
          <t>MOFU</t>
        </is>
      </c>
      <c r="K67" t="inlineStr">
        <is>
          <t>UAE</t>
        </is>
      </c>
      <c r="L67" t="inlineStr">
        <is>
          <t>Category</t>
        </is>
      </c>
      <c r="M67">
        <f>IFERROR(VLOOKUP($A67,'Semrush Import'!$A:$D,2,FALSE),"")</f>
        <v/>
      </c>
      <c r="N67">
        <f>IFERROR(VLOOKUP($A67,'Semrush Import'!$A:$D,3,FALSE),"")</f>
        <v/>
      </c>
      <c r="O67">
        <f>IFERROR(VLOOKUP($A67,'Semrush Import'!$A:$D,4,FALSE),"")</f>
        <v/>
      </c>
      <c r="P67">
        <f>IFERROR(VLOOKUP($A67,'KP Import'!$A:$B,2,FALSE),"")</f>
        <v/>
      </c>
      <c r="Q67">
        <f>IF(M67="","",ROUND(M67/(N67+10),1))</f>
        <v/>
      </c>
      <c r="R67">
        <f>IF(Q67="","",IF(Q67&gt;=20,"A - Go first",IF(Q67&gt;=5,"B - Next","C - Later")))</f>
        <v/>
      </c>
      <c r="S67" t="inlineStr">
        <is>
          <t>To do</t>
        </is>
      </c>
      <c r="T67" t="inlineStr"/>
    </row>
    <row r="68">
      <c r="A68" t="inlineStr">
        <is>
          <t>extra long grain basmati rice price in dubai</t>
        </is>
      </c>
      <c r="B68" t="inlineStr">
        <is>
          <t>Phase 1 - B2B now</t>
        </is>
      </c>
      <c r="C68" t="inlineStr">
        <is>
          <t>Wholesalers / bulk buyers</t>
        </is>
      </c>
      <c r="D68" t="inlineStr">
        <is>
          <t>Basmati Rice (category)</t>
        </is>
      </c>
      <c r="E68" t="inlineStr">
        <is>
          <t>Secondary (long-tail)</t>
        </is>
      </c>
      <c r="F68" t="inlineStr">
        <is>
          <t>H3 / body paragraph / table row / image alt</t>
        </is>
      </c>
      <c r="G68" t="inlineStr">
        <is>
          <t>Price</t>
        </is>
      </c>
      <c r="H68" t="inlineStr">
        <is>
          <t>Basmati</t>
        </is>
      </c>
      <c r="I68" t="inlineStr">
        <is>
          <t>Commercial/Transactional</t>
        </is>
      </c>
      <c r="J68" t="inlineStr">
        <is>
          <t>MOFU</t>
        </is>
      </c>
      <c r="K68" t="inlineStr">
        <is>
          <t>Dubai</t>
        </is>
      </c>
      <c r="L68" t="inlineStr">
        <is>
          <t>Category</t>
        </is>
      </c>
      <c r="M68">
        <f>IFERROR(VLOOKUP($A68,'Semrush Import'!$A:$D,2,FALSE),"")</f>
        <v/>
      </c>
      <c r="N68">
        <f>IFERROR(VLOOKUP($A68,'Semrush Import'!$A:$D,3,FALSE),"")</f>
        <v/>
      </c>
      <c r="O68">
        <f>IFERROR(VLOOKUP($A68,'Semrush Import'!$A:$D,4,FALSE),"")</f>
        <v/>
      </c>
      <c r="P68">
        <f>IFERROR(VLOOKUP($A68,'KP Import'!$A:$B,2,FALSE),"")</f>
        <v/>
      </c>
      <c r="Q68">
        <f>IF(M68="","",ROUND(M68/(N68+10),1))</f>
        <v/>
      </c>
      <c r="R68">
        <f>IF(Q68="","",IF(Q68&gt;=20,"A - Go first",IF(Q68&gt;=5,"B - Next","C - Later")))</f>
        <v/>
      </c>
      <c r="S68" t="inlineStr">
        <is>
          <t>To do</t>
        </is>
      </c>
      <c r="T68" t="inlineStr"/>
    </row>
    <row r="69">
      <c r="A69" t="inlineStr">
        <is>
          <t>extra long grain basmati rice online dubai</t>
        </is>
      </c>
      <c r="B69" t="inlineStr">
        <is>
          <t>Phase 2 - B2C (later)</t>
        </is>
      </c>
      <c r="C69" t="inlineStr">
        <is>
          <t>Consumer / household</t>
        </is>
      </c>
      <c r="D69" t="inlineStr">
        <is>
          <t>Shop (B2C)</t>
        </is>
      </c>
      <c r="E69" t="inlineStr">
        <is>
          <t>Secondary (long-tail)</t>
        </is>
      </c>
      <c r="F69" t="inlineStr">
        <is>
          <t>H3 / body paragraph / table row / image alt</t>
        </is>
      </c>
      <c r="G69" t="inlineStr">
        <is>
          <t>Transactional</t>
        </is>
      </c>
      <c r="H69" t="inlineStr">
        <is>
          <t>Basmati</t>
        </is>
      </c>
      <c r="I69" t="inlineStr">
        <is>
          <t>Transactional</t>
        </is>
      </c>
      <c r="J69" t="inlineStr">
        <is>
          <t>BOFU</t>
        </is>
      </c>
      <c r="K69" t="inlineStr">
        <is>
          <t>Dubai</t>
        </is>
      </c>
      <c r="L69" t="inlineStr">
        <is>
          <t>Category</t>
        </is>
      </c>
      <c r="M69">
        <f>IFERROR(VLOOKUP($A69,'Semrush Import'!$A:$D,2,FALSE),"")</f>
        <v/>
      </c>
      <c r="N69">
        <f>IFERROR(VLOOKUP($A69,'Semrush Import'!$A:$D,3,FALSE),"")</f>
        <v/>
      </c>
      <c r="O69">
        <f>IFERROR(VLOOKUP($A69,'Semrush Import'!$A:$D,4,FALSE),"")</f>
        <v/>
      </c>
      <c r="P69">
        <f>IFERROR(VLOOKUP($A69,'KP Import'!$A:$B,2,FALSE),"")</f>
        <v/>
      </c>
      <c r="Q69">
        <f>IF(M69="","",ROUND(M69/(N69+10),1))</f>
        <v/>
      </c>
      <c r="R69">
        <f>IF(Q69="","",IF(Q69&gt;=20,"A - Go first",IF(Q69&gt;=5,"B - Next","C - Later")))</f>
        <v/>
      </c>
      <c r="S69" t="inlineStr">
        <is>
          <t>To do</t>
        </is>
      </c>
      <c r="T69" t="inlineStr"/>
    </row>
    <row r="70">
      <c r="A70" t="inlineStr">
        <is>
          <t>extra long grain basmati rice wholesale dubai</t>
        </is>
      </c>
      <c r="B70" t="inlineStr">
        <is>
          <t>Phase 1 - B2B now</t>
        </is>
      </c>
      <c r="C70" t="inlineStr">
        <is>
          <t>Wholesalers / bulk buyers</t>
        </is>
      </c>
      <c r="D70" t="inlineStr">
        <is>
          <t>Basmati Rice (category)</t>
        </is>
      </c>
      <c r="E70" t="inlineStr">
        <is>
          <t>Secondary (long-tail)</t>
        </is>
      </c>
      <c r="F70" t="inlineStr">
        <is>
          <t>H3 / body paragraph / table row / image alt</t>
        </is>
      </c>
      <c r="G70" t="inlineStr">
        <is>
          <t>Wholesale/B2B</t>
        </is>
      </c>
      <c r="H70" t="inlineStr">
        <is>
          <t>Basmati</t>
        </is>
      </c>
      <c r="I70" t="inlineStr">
        <is>
          <t>Transactional (B2B)</t>
        </is>
      </c>
      <c r="J70" t="inlineStr">
        <is>
          <t>BOFU</t>
        </is>
      </c>
      <c r="K70" t="inlineStr">
        <is>
          <t>Dubai</t>
        </is>
      </c>
      <c r="L70" t="inlineStr">
        <is>
          <t>Landing</t>
        </is>
      </c>
      <c r="M70">
        <f>IFERROR(VLOOKUP($A70,'Semrush Import'!$A:$D,2,FALSE),"")</f>
        <v/>
      </c>
      <c r="N70">
        <f>IFERROR(VLOOKUP($A70,'Semrush Import'!$A:$D,3,FALSE),"")</f>
        <v/>
      </c>
      <c r="O70">
        <f>IFERROR(VLOOKUP($A70,'Semrush Import'!$A:$D,4,FALSE),"")</f>
        <v/>
      </c>
      <c r="P70">
        <f>IFERROR(VLOOKUP($A70,'KP Import'!$A:$B,2,FALSE),"")</f>
        <v/>
      </c>
      <c r="Q70">
        <f>IF(M70="","",ROUND(M70/(N70+10),1))</f>
        <v/>
      </c>
      <c r="R70">
        <f>IF(Q70="","",IF(Q70&gt;=20,"A - Go first",IF(Q70&gt;=5,"B - Next","C - Later")))</f>
        <v/>
      </c>
      <c r="S70" t="inlineStr">
        <is>
          <t>To do</t>
        </is>
      </c>
      <c r="T70" t="inlineStr"/>
    </row>
    <row r="71">
      <c r="A71" t="inlineStr">
        <is>
          <t>extra long grain basmati rice supplier uae</t>
        </is>
      </c>
      <c r="B71" t="inlineStr">
        <is>
          <t>Phase 1 - B2B now</t>
        </is>
      </c>
      <c r="C71" t="inlineStr">
        <is>
          <t>Wholesalers / bulk buyers</t>
        </is>
      </c>
      <c r="D71" t="inlineStr">
        <is>
          <t>Basmati Rice (category)</t>
        </is>
      </c>
      <c r="E71" t="inlineStr">
        <is>
          <t>Secondary (long-tail)</t>
        </is>
      </c>
      <c r="F71" t="inlineStr">
        <is>
          <t>H3 / body paragraph / table row / image alt</t>
        </is>
      </c>
      <c r="G71" t="inlineStr">
        <is>
          <t>Wholesale/B2B</t>
        </is>
      </c>
      <c r="H71" t="inlineStr">
        <is>
          <t>Basmati</t>
        </is>
      </c>
      <c r="I71" t="inlineStr">
        <is>
          <t>Transactional (B2B)</t>
        </is>
      </c>
      <c r="J71" t="inlineStr">
        <is>
          <t>BOFU</t>
        </is>
      </c>
      <c r="K71" t="inlineStr">
        <is>
          <t>UAE</t>
        </is>
      </c>
      <c r="L71" t="inlineStr">
        <is>
          <t>Landing</t>
        </is>
      </c>
      <c r="M71">
        <f>IFERROR(VLOOKUP($A71,'Semrush Import'!$A:$D,2,FALSE),"")</f>
        <v/>
      </c>
      <c r="N71">
        <f>IFERROR(VLOOKUP($A71,'Semrush Import'!$A:$D,3,FALSE),"")</f>
        <v/>
      </c>
      <c r="O71">
        <f>IFERROR(VLOOKUP($A71,'Semrush Import'!$A:$D,4,FALSE),"")</f>
        <v/>
      </c>
      <c r="P71">
        <f>IFERROR(VLOOKUP($A71,'KP Import'!$A:$B,2,FALSE),"")</f>
        <v/>
      </c>
      <c r="Q71">
        <f>IF(M71="","",ROUND(M71/(N71+10),1))</f>
        <v/>
      </c>
      <c r="R71">
        <f>IF(Q71="","",IF(Q71&gt;=20,"A - Go first",IF(Q71&gt;=5,"B - Next","C - Later")))</f>
        <v/>
      </c>
      <c r="S71" t="inlineStr">
        <is>
          <t>To do</t>
        </is>
      </c>
      <c r="T71" t="inlineStr"/>
    </row>
    <row r="72">
      <c r="A72" t="inlineStr">
        <is>
          <t>brown basmati rice</t>
        </is>
      </c>
      <c r="B72" t="inlineStr">
        <is>
          <t>Phase 1 - B2B now</t>
        </is>
      </c>
      <c r="C72" t="inlineStr">
        <is>
          <t>Wholesalers / bulk buyers</t>
        </is>
      </c>
      <c r="D72" t="inlineStr">
        <is>
          <t>Specialty &amp; South Indian Rice</t>
        </is>
      </c>
      <c r="E72" t="inlineStr">
        <is>
          <t>Secondary (short)</t>
        </is>
      </c>
      <c r="F72" t="inlineStr">
        <is>
          <t>H2 heading + 1st paragraph under it</t>
        </is>
      </c>
      <c r="G72" t="inlineStr">
        <is>
          <t>Core product</t>
        </is>
      </c>
      <c r="H72" t="inlineStr">
        <is>
          <t>Basmati</t>
        </is>
      </c>
      <c r="I72" t="inlineStr">
        <is>
          <t>Informational/Commercial</t>
        </is>
      </c>
      <c r="J72" t="inlineStr">
        <is>
          <t>TOFU</t>
        </is>
      </c>
      <c r="K72" t="inlineStr">
        <is>
          <t>UAE (generic)</t>
        </is>
      </c>
      <c r="L72" t="inlineStr">
        <is>
          <t>Category</t>
        </is>
      </c>
      <c r="M72">
        <f>IFERROR(VLOOKUP($A72,'Semrush Import'!$A:$D,2,FALSE),"")</f>
        <v/>
      </c>
      <c r="N72">
        <f>IFERROR(VLOOKUP($A72,'Semrush Import'!$A:$D,3,FALSE),"")</f>
        <v/>
      </c>
      <c r="O72">
        <f>IFERROR(VLOOKUP($A72,'Semrush Import'!$A:$D,4,FALSE),"")</f>
        <v/>
      </c>
      <c r="P72">
        <f>IFERROR(VLOOKUP($A72,'KP Import'!$A:$B,2,FALSE),"")</f>
        <v/>
      </c>
      <c r="Q72">
        <f>IF(M72="","",ROUND(M72/(N72+10),1))</f>
        <v/>
      </c>
      <c r="R72">
        <f>IF(Q72="","",IF(Q72&gt;=20,"A - Go first",IF(Q72&gt;=5,"B - Next","C - Later")))</f>
        <v/>
      </c>
      <c r="S72" t="inlineStr">
        <is>
          <t>To do</t>
        </is>
      </c>
      <c r="T72" t="inlineStr"/>
    </row>
    <row r="73">
      <c r="A73" t="inlineStr">
        <is>
          <t>buy brown basmati rice online</t>
        </is>
      </c>
      <c r="B73" t="inlineStr">
        <is>
          <t>Phase 2 - B2C (later)</t>
        </is>
      </c>
      <c r="C73" t="inlineStr">
        <is>
          <t>Consumer / household</t>
        </is>
      </c>
      <c r="D73" t="inlineStr">
        <is>
          <t>Shop (B2C)</t>
        </is>
      </c>
      <c r="E73" t="inlineStr">
        <is>
          <t>Secondary (long-tail)</t>
        </is>
      </c>
      <c r="F73" t="inlineStr">
        <is>
          <t>H3 / body paragraph / table row / image alt</t>
        </is>
      </c>
      <c r="G73" t="inlineStr">
        <is>
          <t>Transactional</t>
        </is>
      </c>
      <c r="H73" t="inlineStr">
        <is>
          <t>Basmati</t>
        </is>
      </c>
      <c r="I73" t="inlineStr">
        <is>
          <t>Transactional</t>
        </is>
      </c>
      <c r="J73" t="inlineStr">
        <is>
          <t>BOFU</t>
        </is>
      </c>
      <c r="K73" t="inlineStr">
        <is>
          <t>UAE (generic)</t>
        </is>
      </c>
      <c r="L73" t="inlineStr">
        <is>
          <t>Category</t>
        </is>
      </c>
      <c r="M73">
        <f>IFERROR(VLOOKUP($A73,'Semrush Import'!$A:$D,2,FALSE),"")</f>
        <v/>
      </c>
      <c r="N73">
        <f>IFERROR(VLOOKUP($A73,'Semrush Import'!$A:$D,3,FALSE),"")</f>
        <v/>
      </c>
      <c r="O73">
        <f>IFERROR(VLOOKUP($A73,'Semrush Import'!$A:$D,4,FALSE),"")</f>
        <v/>
      </c>
      <c r="P73">
        <f>IFERROR(VLOOKUP($A73,'KP Import'!$A:$B,2,FALSE),"")</f>
        <v/>
      </c>
      <c r="Q73">
        <f>IF(M73="","",ROUND(M73/(N73+10),1))</f>
        <v/>
      </c>
      <c r="R73">
        <f>IF(Q73="","",IF(Q73&gt;=20,"A - Go first",IF(Q73&gt;=5,"B - Next","C - Later")))</f>
        <v/>
      </c>
      <c r="S73" t="inlineStr">
        <is>
          <t>To do</t>
        </is>
      </c>
      <c r="T73" t="inlineStr"/>
    </row>
    <row r="74">
      <c r="A74" t="inlineStr">
        <is>
          <t>brown basmati rice price in uae</t>
        </is>
      </c>
      <c r="B74" t="inlineStr">
        <is>
          <t>Phase 1 - B2B now</t>
        </is>
      </c>
      <c r="C74" t="inlineStr">
        <is>
          <t>Wholesalers / bulk buyers</t>
        </is>
      </c>
      <c r="D74" t="inlineStr">
        <is>
          <t>Specialty &amp; South Indian Rice</t>
        </is>
      </c>
      <c r="E74" t="inlineStr">
        <is>
          <t>Secondary (long-tail)</t>
        </is>
      </c>
      <c r="F74" t="inlineStr">
        <is>
          <t>H3 / body paragraph / table row / image alt</t>
        </is>
      </c>
      <c r="G74" t="inlineStr">
        <is>
          <t>Price</t>
        </is>
      </c>
      <c r="H74" t="inlineStr">
        <is>
          <t>Basmati</t>
        </is>
      </c>
      <c r="I74" t="inlineStr">
        <is>
          <t>Commercial/Transactional</t>
        </is>
      </c>
      <c r="J74" t="inlineStr">
        <is>
          <t>MOFU</t>
        </is>
      </c>
      <c r="K74" t="inlineStr">
        <is>
          <t>UAE</t>
        </is>
      </c>
      <c r="L74" t="inlineStr">
        <is>
          <t>Category</t>
        </is>
      </c>
      <c r="M74">
        <f>IFERROR(VLOOKUP($A74,'Semrush Import'!$A:$D,2,FALSE),"")</f>
        <v/>
      </c>
      <c r="N74">
        <f>IFERROR(VLOOKUP($A74,'Semrush Import'!$A:$D,3,FALSE),"")</f>
        <v/>
      </c>
      <c r="O74">
        <f>IFERROR(VLOOKUP($A74,'Semrush Import'!$A:$D,4,FALSE),"")</f>
        <v/>
      </c>
      <c r="P74">
        <f>IFERROR(VLOOKUP($A74,'KP Import'!$A:$B,2,FALSE),"")</f>
        <v/>
      </c>
      <c r="Q74">
        <f>IF(M74="","",ROUND(M74/(N74+10),1))</f>
        <v/>
      </c>
      <c r="R74">
        <f>IF(Q74="","",IF(Q74&gt;=20,"A - Go first",IF(Q74&gt;=5,"B - Next","C - Later")))</f>
        <v/>
      </c>
      <c r="S74" t="inlineStr">
        <is>
          <t>To do</t>
        </is>
      </c>
      <c r="T74" t="inlineStr"/>
    </row>
    <row r="75">
      <c r="A75" t="inlineStr">
        <is>
          <t>brown basmati rice price in dubai</t>
        </is>
      </c>
      <c r="B75" t="inlineStr">
        <is>
          <t>Phase 1 - B2B now</t>
        </is>
      </c>
      <c r="C75" t="inlineStr">
        <is>
          <t>Wholesalers / bulk buyers</t>
        </is>
      </c>
      <c r="D75" t="inlineStr">
        <is>
          <t>Specialty &amp; South Indian Rice</t>
        </is>
      </c>
      <c r="E75" t="inlineStr">
        <is>
          <t>Secondary (long-tail)</t>
        </is>
      </c>
      <c r="F75" t="inlineStr">
        <is>
          <t>H3 / body paragraph / table row / image alt</t>
        </is>
      </c>
      <c r="G75" t="inlineStr">
        <is>
          <t>Price</t>
        </is>
      </c>
      <c r="H75" t="inlineStr">
        <is>
          <t>Basmati</t>
        </is>
      </c>
      <c r="I75" t="inlineStr">
        <is>
          <t>Commercial/Transactional</t>
        </is>
      </c>
      <c r="J75" t="inlineStr">
        <is>
          <t>MOFU</t>
        </is>
      </c>
      <c r="K75" t="inlineStr">
        <is>
          <t>Dubai</t>
        </is>
      </c>
      <c r="L75" t="inlineStr">
        <is>
          <t>Category</t>
        </is>
      </c>
      <c r="M75">
        <f>IFERROR(VLOOKUP($A75,'Semrush Import'!$A:$D,2,FALSE),"")</f>
        <v/>
      </c>
      <c r="N75">
        <f>IFERROR(VLOOKUP($A75,'Semrush Import'!$A:$D,3,FALSE),"")</f>
        <v/>
      </c>
      <c r="O75">
        <f>IFERROR(VLOOKUP($A75,'Semrush Import'!$A:$D,4,FALSE),"")</f>
        <v/>
      </c>
      <c r="P75">
        <f>IFERROR(VLOOKUP($A75,'KP Import'!$A:$B,2,FALSE),"")</f>
        <v/>
      </c>
      <c r="Q75">
        <f>IF(M75="","",ROUND(M75/(N75+10),1))</f>
        <v/>
      </c>
      <c r="R75">
        <f>IF(Q75="","",IF(Q75&gt;=20,"A - Go first",IF(Q75&gt;=5,"B - Next","C - Later")))</f>
        <v/>
      </c>
      <c r="S75" t="inlineStr">
        <is>
          <t>To do</t>
        </is>
      </c>
      <c r="T75" t="inlineStr"/>
    </row>
    <row r="76">
      <c r="A76" t="inlineStr">
        <is>
          <t>brown basmati rice online dubai</t>
        </is>
      </c>
      <c r="B76" t="inlineStr">
        <is>
          <t>Phase 2 - B2C (later)</t>
        </is>
      </c>
      <c r="C76" t="inlineStr">
        <is>
          <t>Consumer / household</t>
        </is>
      </c>
      <c r="D76" t="inlineStr">
        <is>
          <t>Shop (B2C)</t>
        </is>
      </c>
      <c r="E76" t="inlineStr">
        <is>
          <t>Secondary (long-tail)</t>
        </is>
      </c>
      <c r="F76" t="inlineStr">
        <is>
          <t>H3 / body paragraph / table row / image alt</t>
        </is>
      </c>
      <c r="G76" t="inlineStr">
        <is>
          <t>Transactional</t>
        </is>
      </c>
      <c r="H76" t="inlineStr">
        <is>
          <t>Basmati</t>
        </is>
      </c>
      <c r="I76" t="inlineStr">
        <is>
          <t>Transactional</t>
        </is>
      </c>
      <c r="J76" t="inlineStr">
        <is>
          <t>BOFU</t>
        </is>
      </c>
      <c r="K76" t="inlineStr">
        <is>
          <t>Dubai</t>
        </is>
      </c>
      <c r="L76" t="inlineStr">
        <is>
          <t>Category</t>
        </is>
      </c>
      <c r="M76">
        <f>IFERROR(VLOOKUP($A76,'Semrush Import'!$A:$D,2,FALSE),"")</f>
        <v/>
      </c>
      <c r="N76">
        <f>IFERROR(VLOOKUP($A76,'Semrush Import'!$A:$D,3,FALSE),"")</f>
        <v/>
      </c>
      <c r="O76">
        <f>IFERROR(VLOOKUP($A76,'Semrush Import'!$A:$D,4,FALSE),"")</f>
        <v/>
      </c>
      <c r="P76">
        <f>IFERROR(VLOOKUP($A76,'KP Import'!$A:$B,2,FALSE),"")</f>
        <v/>
      </c>
      <c r="Q76">
        <f>IF(M76="","",ROUND(M76/(N76+10),1))</f>
        <v/>
      </c>
      <c r="R76">
        <f>IF(Q76="","",IF(Q76&gt;=20,"A - Go first",IF(Q76&gt;=5,"B - Next","C - Later")))</f>
        <v/>
      </c>
      <c r="S76" t="inlineStr">
        <is>
          <t>To do</t>
        </is>
      </c>
      <c r="T76" t="inlineStr"/>
    </row>
    <row r="77">
      <c r="A77" t="inlineStr">
        <is>
          <t>brown basmati rice wholesale dubai</t>
        </is>
      </c>
      <c r="B77" t="inlineStr">
        <is>
          <t>Phase 1 - B2B now</t>
        </is>
      </c>
      <c r="C77" t="inlineStr">
        <is>
          <t>Wholesalers / bulk buyers</t>
        </is>
      </c>
      <c r="D77" t="inlineStr">
        <is>
          <t>Specialty &amp; South Indian Rice</t>
        </is>
      </c>
      <c r="E77" t="inlineStr">
        <is>
          <t>Secondary (long-tail)</t>
        </is>
      </c>
      <c r="F77" t="inlineStr">
        <is>
          <t>H3 / body paragraph / table row / image alt</t>
        </is>
      </c>
      <c r="G77" t="inlineStr">
        <is>
          <t>Wholesale/B2B</t>
        </is>
      </c>
      <c r="H77" t="inlineStr">
        <is>
          <t>Basmati</t>
        </is>
      </c>
      <c r="I77" t="inlineStr">
        <is>
          <t>Transactional (B2B)</t>
        </is>
      </c>
      <c r="J77" t="inlineStr">
        <is>
          <t>BOFU</t>
        </is>
      </c>
      <c r="K77" t="inlineStr">
        <is>
          <t>Dubai</t>
        </is>
      </c>
      <c r="L77" t="inlineStr">
        <is>
          <t>Landing</t>
        </is>
      </c>
      <c r="M77">
        <f>IFERROR(VLOOKUP($A77,'Semrush Import'!$A:$D,2,FALSE),"")</f>
        <v/>
      </c>
      <c r="N77">
        <f>IFERROR(VLOOKUP($A77,'Semrush Import'!$A:$D,3,FALSE),"")</f>
        <v/>
      </c>
      <c r="O77">
        <f>IFERROR(VLOOKUP($A77,'Semrush Import'!$A:$D,4,FALSE),"")</f>
        <v/>
      </c>
      <c r="P77">
        <f>IFERROR(VLOOKUP($A77,'KP Import'!$A:$B,2,FALSE),"")</f>
        <v/>
      </c>
      <c r="Q77">
        <f>IF(M77="","",ROUND(M77/(N77+10),1))</f>
        <v/>
      </c>
      <c r="R77">
        <f>IF(Q77="","",IF(Q77&gt;=20,"A - Go first",IF(Q77&gt;=5,"B - Next","C - Later")))</f>
        <v/>
      </c>
      <c r="S77" t="inlineStr">
        <is>
          <t>To do</t>
        </is>
      </c>
      <c r="T77" t="inlineStr"/>
    </row>
    <row r="78">
      <c r="A78" t="inlineStr">
        <is>
          <t>brown basmati rice supplier uae</t>
        </is>
      </c>
      <c r="B78" t="inlineStr">
        <is>
          <t>Phase 1 - B2B now</t>
        </is>
      </c>
      <c r="C78" t="inlineStr">
        <is>
          <t>Wholesalers / bulk buyers</t>
        </is>
      </c>
      <c r="D78" t="inlineStr">
        <is>
          <t>Specialty &amp; South Indian Rice</t>
        </is>
      </c>
      <c r="E78" t="inlineStr">
        <is>
          <t>Secondary (long-tail)</t>
        </is>
      </c>
      <c r="F78" t="inlineStr">
        <is>
          <t>H3 / body paragraph / table row / image alt</t>
        </is>
      </c>
      <c r="G78" t="inlineStr">
        <is>
          <t>Wholesale/B2B</t>
        </is>
      </c>
      <c r="H78" t="inlineStr">
        <is>
          <t>Basmati</t>
        </is>
      </c>
      <c r="I78" t="inlineStr">
        <is>
          <t>Transactional (B2B)</t>
        </is>
      </c>
      <c r="J78" t="inlineStr">
        <is>
          <t>BOFU</t>
        </is>
      </c>
      <c r="K78" t="inlineStr">
        <is>
          <t>UAE</t>
        </is>
      </c>
      <c r="L78" t="inlineStr">
        <is>
          <t>Landing</t>
        </is>
      </c>
      <c r="M78">
        <f>IFERROR(VLOOKUP($A78,'Semrush Import'!$A:$D,2,FALSE),"")</f>
        <v/>
      </c>
      <c r="N78">
        <f>IFERROR(VLOOKUP($A78,'Semrush Import'!$A:$D,3,FALSE),"")</f>
        <v/>
      </c>
      <c r="O78">
        <f>IFERROR(VLOOKUP($A78,'Semrush Import'!$A:$D,4,FALSE),"")</f>
        <v/>
      </c>
      <c r="P78">
        <f>IFERROR(VLOOKUP($A78,'KP Import'!$A:$B,2,FALSE),"")</f>
        <v/>
      </c>
      <c r="Q78">
        <f>IF(M78="","",ROUND(M78/(N78+10),1))</f>
        <v/>
      </c>
      <c r="R78">
        <f>IF(Q78="","",IF(Q78&gt;=20,"A - Go first",IF(Q78&gt;=5,"B - Next","C - Later")))</f>
        <v/>
      </c>
      <c r="S78" t="inlineStr">
        <is>
          <t>To do</t>
        </is>
      </c>
      <c r="T78" t="inlineStr"/>
    </row>
    <row r="79">
      <c r="A79" t="inlineStr">
        <is>
          <t>jasmine rice</t>
        </is>
      </c>
      <c r="B79" t="inlineStr">
        <is>
          <t>Phase 1 - B2B now</t>
        </is>
      </c>
      <c r="C79" t="inlineStr">
        <is>
          <t>Wholesalers / bulk buyers</t>
        </is>
      </c>
      <c r="D79" t="inlineStr">
        <is>
          <t>Specialty &amp; South Indian Rice</t>
        </is>
      </c>
      <c r="E79" t="inlineStr">
        <is>
          <t>Secondary (short)</t>
        </is>
      </c>
      <c r="F79" t="inlineStr">
        <is>
          <t>H2 heading + 1st paragraph under it</t>
        </is>
      </c>
      <c r="G79" t="inlineStr">
        <is>
          <t>Core product</t>
        </is>
      </c>
      <c r="H79" t="inlineStr">
        <is>
          <t>Specialty</t>
        </is>
      </c>
      <c r="I79" t="inlineStr">
        <is>
          <t>Informational/Commercial</t>
        </is>
      </c>
      <c r="J79" t="inlineStr">
        <is>
          <t>TOFU</t>
        </is>
      </c>
      <c r="K79" t="inlineStr">
        <is>
          <t>UAE (generic)</t>
        </is>
      </c>
      <c r="L79" t="inlineStr">
        <is>
          <t>Product</t>
        </is>
      </c>
      <c r="M79">
        <f>IFERROR(VLOOKUP($A79,'Semrush Import'!$A:$D,2,FALSE),"")</f>
        <v/>
      </c>
      <c r="N79">
        <f>IFERROR(VLOOKUP($A79,'Semrush Import'!$A:$D,3,FALSE),"")</f>
        <v/>
      </c>
      <c r="O79">
        <f>IFERROR(VLOOKUP($A79,'Semrush Import'!$A:$D,4,FALSE),"")</f>
        <v/>
      </c>
      <c r="P79">
        <f>IFERROR(VLOOKUP($A79,'KP Import'!$A:$B,2,FALSE),"")</f>
        <v/>
      </c>
      <c r="Q79">
        <f>IF(M79="","",ROUND(M79/(N79+10),1))</f>
        <v/>
      </c>
      <c r="R79">
        <f>IF(Q79="","",IF(Q79&gt;=20,"A - Go first",IF(Q79&gt;=5,"B - Next","C - Later")))</f>
        <v/>
      </c>
      <c r="S79" t="inlineStr">
        <is>
          <t>To do</t>
        </is>
      </c>
      <c r="T79" t="inlineStr"/>
    </row>
    <row r="80">
      <c r="A80" t="inlineStr">
        <is>
          <t>buy jasmine rice online</t>
        </is>
      </c>
      <c r="B80" t="inlineStr">
        <is>
          <t>Phase 2 - B2C (later)</t>
        </is>
      </c>
      <c r="C80" t="inlineStr">
        <is>
          <t>Consumer / household</t>
        </is>
      </c>
      <c r="D80" t="inlineStr">
        <is>
          <t>Shop (B2C)</t>
        </is>
      </c>
      <c r="E80" t="inlineStr">
        <is>
          <t>Secondary (long-tail)</t>
        </is>
      </c>
      <c r="F80" t="inlineStr">
        <is>
          <t>H3 / body paragraph / table row / image alt</t>
        </is>
      </c>
      <c r="G80" t="inlineStr">
        <is>
          <t>Transactional</t>
        </is>
      </c>
      <c r="H80" t="inlineStr">
        <is>
          <t>Specialty</t>
        </is>
      </c>
      <c r="I80" t="inlineStr">
        <is>
          <t>Transactional</t>
        </is>
      </c>
      <c r="J80" t="inlineStr">
        <is>
          <t>BOFU</t>
        </is>
      </c>
      <c r="K80" t="inlineStr">
        <is>
          <t>UAE (generic)</t>
        </is>
      </c>
      <c r="L80" t="inlineStr">
        <is>
          <t>Product</t>
        </is>
      </c>
      <c r="M80">
        <f>IFERROR(VLOOKUP($A80,'Semrush Import'!$A:$D,2,FALSE),"")</f>
        <v/>
      </c>
      <c r="N80">
        <f>IFERROR(VLOOKUP($A80,'Semrush Import'!$A:$D,3,FALSE),"")</f>
        <v/>
      </c>
      <c r="O80">
        <f>IFERROR(VLOOKUP($A80,'Semrush Import'!$A:$D,4,FALSE),"")</f>
        <v/>
      </c>
      <c r="P80">
        <f>IFERROR(VLOOKUP($A80,'KP Import'!$A:$B,2,FALSE),"")</f>
        <v/>
      </c>
      <c r="Q80">
        <f>IF(M80="","",ROUND(M80/(N80+10),1))</f>
        <v/>
      </c>
      <c r="R80">
        <f>IF(Q80="","",IF(Q80&gt;=20,"A - Go first",IF(Q80&gt;=5,"B - Next","C - Later")))</f>
        <v/>
      </c>
      <c r="S80" t="inlineStr">
        <is>
          <t>To do</t>
        </is>
      </c>
      <c r="T80" t="inlineStr"/>
    </row>
    <row r="81">
      <c r="A81" t="inlineStr">
        <is>
          <t>jasmine rice price in uae</t>
        </is>
      </c>
      <c r="B81" t="inlineStr">
        <is>
          <t>Phase 1 - B2B now</t>
        </is>
      </c>
      <c r="C81" t="inlineStr">
        <is>
          <t>Wholesalers / bulk buyers</t>
        </is>
      </c>
      <c r="D81" t="inlineStr">
        <is>
          <t>Specialty &amp; South Indian Rice</t>
        </is>
      </c>
      <c r="E81" t="inlineStr">
        <is>
          <t>Secondary (long-tail)</t>
        </is>
      </c>
      <c r="F81" t="inlineStr">
        <is>
          <t>H3 / body paragraph / table row / image alt</t>
        </is>
      </c>
      <c r="G81" t="inlineStr">
        <is>
          <t>Price</t>
        </is>
      </c>
      <c r="H81" t="inlineStr">
        <is>
          <t>Specialty</t>
        </is>
      </c>
      <c r="I81" t="inlineStr">
        <is>
          <t>Commercial/Transactional</t>
        </is>
      </c>
      <c r="J81" t="inlineStr">
        <is>
          <t>MOFU</t>
        </is>
      </c>
      <c r="K81" t="inlineStr">
        <is>
          <t>UAE</t>
        </is>
      </c>
      <c r="L81" t="inlineStr">
        <is>
          <t>Product</t>
        </is>
      </c>
      <c r="M81">
        <f>IFERROR(VLOOKUP($A81,'Semrush Import'!$A:$D,2,FALSE),"")</f>
        <v/>
      </c>
      <c r="N81">
        <f>IFERROR(VLOOKUP($A81,'Semrush Import'!$A:$D,3,FALSE),"")</f>
        <v/>
      </c>
      <c r="O81">
        <f>IFERROR(VLOOKUP($A81,'Semrush Import'!$A:$D,4,FALSE),"")</f>
        <v/>
      </c>
      <c r="P81">
        <f>IFERROR(VLOOKUP($A81,'KP Import'!$A:$B,2,FALSE),"")</f>
        <v/>
      </c>
      <c r="Q81">
        <f>IF(M81="","",ROUND(M81/(N81+10),1))</f>
        <v/>
      </c>
      <c r="R81">
        <f>IF(Q81="","",IF(Q81&gt;=20,"A - Go first",IF(Q81&gt;=5,"B - Next","C - Later")))</f>
        <v/>
      </c>
      <c r="S81" t="inlineStr">
        <is>
          <t>To do</t>
        </is>
      </c>
      <c r="T81" t="inlineStr"/>
    </row>
    <row r="82">
      <c r="A82" t="inlineStr">
        <is>
          <t>jasmine rice price in dubai</t>
        </is>
      </c>
      <c r="B82" t="inlineStr">
        <is>
          <t>Phase 1 - B2B now</t>
        </is>
      </c>
      <c r="C82" t="inlineStr">
        <is>
          <t>Wholesalers / bulk buyers</t>
        </is>
      </c>
      <c r="D82" t="inlineStr">
        <is>
          <t>Specialty &amp; South Indian Rice</t>
        </is>
      </c>
      <c r="E82" t="inlineStr">
        <is>
          <t>Secondary (long-tail)</t>
        </is>
      </c>
      <c r="F82" t="inlineStr">
        <is>
          <t>H3 / body paragraph / table row / image alt</t>
        </is>
      </c>
      <c r="G82" t="inlineStr">
        <is>
          <t>Price</t>
        </is>
      </c>
      <c r="H82" t="inlineStr">
        <is>
          <t>Specialty</t>
        </is>
      </c>
      <c r="I82" t="inlineStr">
        <is>
          <t>Commercial/Transactional</t>
        </is>
      </c>
      <c r="J82" t="inlineStr">
        <is>
          <t>MOFU</t>
        </is>
      </c>
      <c r="K82" t="inlineStr">
        <is>
          <t>Dubai</t>
        </is>
      </c>
      <c r="L82" t="inlineStr">
        <is>
          <t>Product</t>
        </is>
      </c>
      <c r="M82">
        <f>IFERROR(VLOOKUP($A82,'Semrush Import'!$A:$D,2,FALSE),"")</f>
        <v/>
      </c>
      <c r="N82">
        <f>IFERROR(VLOOKUP($A82,'Semrush Import'!$A:$D,3,FALSE),"")</f>
        <v/>
      </c>
      <c r="O82">
        <f>IFERROR(VLOOKUP($A82,'Semrush Import'!$A:$D,4,FALSE),"")</f>
        <v/>
      </c>
      <c r="P82">
        <f>IFERROR(VLOOKUP($A82,'KP Import'!$A:$B,2,FALSE),"")</f>
        <v/>
      </c>
      <c r="Q82">
        <f>IF(M82="","",ROUND(M82/(N82+10),1))</f>
        <v/>
      </c>
      <c r="R82">
        <f>IF(Q82="","",IF(Q82&gt;=20,"A - Go first",IF(Q82&gt;=5,"B - Next","C - Later")))</f>
        <v/>
      </c>
      <c r="S82" t="inlineStr">
        <is>
          <t>To do</t>
        </is>
      </c>
      <c r="T82" t="inlineStr"/>
    </row>
    <row r="83">
      <c r="A83" t="inlineStr">
        <is>
          <t>jasmine rice online dubai</t>
        </is>
      </c>
      <c r="B83" t="inlineStr">
        <is>
          <t>Phase 2 - B2C (later)</t>
        </is>
      </c>
      <c r="C83" t="inlineStr">
        <is>
          <t>Consumer / household</t>
        </is>
      </c>
      <c r="D83" t="inlineStr">
        <is>
          <t>Shop (B2C)</t>
        </is>
      </c>
      <c r="E83" t="inlineStr">
        <is>
          <t>Secondary (long-tail)</t>
        </is>
      </c>
      <c r="F83" t="inlineStr">
        <is>
          <t>H3 / body paragraph / table row / image alt</t>
        </is>
      </c>
      <c r="G83" t="inlineStr">
        <is>
          <t>Transactional</t>
        </is>
      </c>
      <c r="H83" t="inlineStr">
        <is>
          <t>Specialty</t>
        </is>
      </c>
      <c r="I83" t="inlineStr">
        <is>
          <t>Transactional</t>
        </is>
      </c>
      <c r="J83" t="inlineStr">
        <is>
          <t>BOFU</t>
        </is>
      </c>
      <c r="K83" t="inlineStr">
        <is>
          <t>Dubai</t>
        </is>
      </c>
      <c r="L83" t="inlineStr">
        <is>
          <t>Product</t>
        </is>
      </c>
      <c r="M83">
        <f>IFERROR(VLOOKUP($A83,'Semrush Import'!$A:$D,2,FALSE),"")</f>
        <v/>
      </c>
      <c r="N83">
        <f>IFERROR(VLOOKUP($A83,'Semrush Import'!$A:$D,3,FALSE),"")</f>
        <v/>
      </c>
      <c r="O83">
        <f>IFERROR(VLOOKUP($A83,'Semrush Import'!$A:$D,4,FALSE),"")</f>
        <v/>
      </c>
      <c r="P83">
        <f>IFERROR(VLOOKUP($A83,'KP Import'!$A:$B,2,FALSE),"")</f>
        <v/>
      </c>
      <c r="Q83">
        <f>IF(M83="","",ROUND(M83/(N83+10),1))</f>
        <v/>
      </c>
      <c r="R83">
        <f>IF(Q83="","",IF(Q83&gt;=20,"A - Go first",IF(Q83&gt;=5,"B - Next","C - Later")))</f>
        <v/>
      </c>
      <c r="S83" t="inlineStr">
        <is>
          <t>To do</t>
        </is>
      </c>
      <c r="T83" t="inlineStr"/>
    </row>
    <row r="84">
      <c r="A84" t="inlineStr">
        <is>
          <t>jasmine rice wholesale dubai</t>
        </is>
      </c>
      <c r="B84" t="inlineStr">
        <is>
          <t>Phase 1 - B2B now</t>
        </is>
      </c>
      <c r="C84" t="inlineStr">
        <is>
          <t>Wholesalers / bulk buyers</t>
        </is>
      </c>
      <c r="D84" t="inlineStr">
        <is>
          <t>Specialty &amp; South Indian Rice</t>
        </is>
      </c>
      <c r="E84" t="inlineStr">
        <is>
          <t>Secondary (long-tail)</t>
        </is>
      </c>
      <c r="F84" t="inlineStr">
        <is>
          <t>H3 / body paragraph / table row / image alt</t>
        </is>
      </c>
      <c r="G84" t="inlineStr">
        <is>
          <t>Wholesale/B2B</t>
        </is>
      </c>
      <c r="H84" t="inlineStr">
        <is>
          <t>Specialty</t>
        </is>
      </c>
      <c r="I84" t="inlineStr">
        <is>
          <t>Transactional (B2B)</t>
        </is>
      </c>
      <c r="J84" t="inlineStr">
        <is>
          <t>BOFU</t>
        </is>
      </c>
      <c r="K84" t="inlineStr">
        <is>
          <t>Dubai</t>
        </is>
      </c>
      <c r="L84" t="inlineStr">
        <is>
          <t>Landing</t>
        </is>
      </c>
      <c r="M84">
        <f>IFERROR(VLOOKUP($A84,'Semrush Import'!$A:$D,2,FALSE),"")</f>
        <v/>
      </c>
      <c r="N84">
        <f>IFERROR(VLOOKUP($A84,'Semrush Import'!$A:$D,3,FALSE),"")</f>
        <v/>
      </c>
      <c r="O84">
        <f>IFERROR(VLOOKUP($A84,'Semrush Import'!$A:$D,4,FALSE),"")</f>
        <v/>
      </c>
      <c r="P84">
        <f>IFERROR(VLOOKUP($A84,'KP Import'!$A:$B,2,FALSE),"")</f>
        <v/>
      </c>
      <c r="Q84">
        <f>IF(M84="","",ROUND(M84/(N84+10),1))</f>
        <v/>
      </c>
      <c r="R84">
        <f>IF(Q84="","",IF(Q84&gt;=20,"A - Go first",IF(Q84&gt;=5,"B - Next","C - Later")))</f>
        <v/>
      </c>
      <c r="S84" t="inlineStr">
        <is>
          <t>To do</t>
        </is>
      </c>
      <c r="T84" t="inlineStr"/>
    </row>
    <row r="85">
      <c r="A85" t="inlineStr">
        <is>
          <t>jasmine rice supplier uae</t>
        </is>
      </c>
      <c r="B85" t="inlineStr">
        <is>
          <t>Phase 1 - B2B now</t>
        </is>
      </c>
      <c r="C85" t="inlineStr">
        <is>
          <t>Wholesalers / bulk buyers</t>
        </is>
      </c>
      <c r="D85" t="inlineStr">
        <is>
          <t>Specialty &amp; South Indian Rice</t>
        </is>
      </c>
      <c r="E85" t="inlineStr">
        <is>
          <t>Secondary (long-tail)</t>
        </is>
      </c>
      <c r="F85" t="inlineStr">
        <is>
          <t>H3 / body paragraph / table row / image alt</t>
        </is>
      </c>
      <c r="G85" t="inlineStr">
        <is>
          <t>Wholesale/B2B</t>
        </is>
      </c>
      <c r="H85" t="inlineStr">
        <is>
          <t>Specialty</t>
        </is>
      </c>
      <c r="I85" t="inlineStr">
        <is>
          <t>Transactional (B2B)</t>
        </is>
      </c>
      <c r="J85" t="inlineStr">
        <is>
          <t>BOFU</t>
        </is>
      </c>
      <c r="K85" t="inlineStr">
        <is>
          <t>UAE</t>
        </is>
      </c>
      <c r="L85" t="inlineStr">
        <is>
          <t>Landing</t>
        </is>
      </c>
      <c r="M85">
        <f>IFERROR(VLOOKUP($A85,'Semrush Import'!$A:$D,2,FALSE),"")</f>
        <v/>
      </c>
      <c r="N85">
        <f>IFERROR(VLOOKUP($A85,'Semrush Import'!$A:$D,3,FALSE),"")</f>
        <v/>
      </c>
      <c r="O85">
        <f>IFERROR(VLOOKUP($A85,'Semrush Import'!$A:$D,4,FALSE),"")</f>
        <v/>
      </c>
      <c r="P85">
        <f>IFERROR(VLOOKUP($A85,'KP Import'!$A:$B,2,FALSE),"")</f>
        <v/>
      </c>
      <c r="Q85">
        <f>IF(M85="","",ROUND(M85/(N85+10),1))</f>
        <v/>
      </c>
      <c r="R85">
        <f>IF(Q85="","",IF(Q85&gt;=20,"A - Go first",IF(Q85&gt;=5,"B - Next","C - Later")))</f>
        <v/>
      </c>
      <c r="S85" t="inlineStr">
        <is>
          <t>To do</t>
        </is>
      </c>
      <c r="T85" t="inlineStr"/>
    </row>
    <row r="86">
      <c r="A86" t="inlineStr">
        <is>
          <t>thai jasmine rice</t>
        </is>
      </c>
      <c r="B86" t="inlineStr">
        <is>
          <t>Phase 1 - B2B now</t>
        </is>
      </c>
      <c r="C86" t="inlineStr">
        <is>
          <t>Wholesalers / bulk buyers</t>
        </is>
      </c>
      <c r="D86" t="inlineStr">
        <is>
          <t>Specialty &amp; South Indian Rice</t>
        </is>
      </c>
      <c r="E86" t="inlineStr">
        <is>
          <t>Secondary (short)</t>
        </is>
      </c>
      <c r="F86" t="inlineStr">
        <is>
          <t>H2 heading + 1st paragraph under it</t>
        </is>
      </c>
      <c r="G86" t="inlineStr">
        <is>
          <t>Core product</t>
        </is>
      </c>
      <c r="H86" t="inlineStr">
        <is>
          <t>Specialty</t>
        </is>
      </c>
      <c r="I86" t="inlineStr">
        <is>
          <t>Informational/Commercial</t>
        </is>
      </c>
      <c r="J86" t="inlineStr">
        <is>
          <t>TOFU</t>
        </is>
      </c>
      <c r="K86" t="inlineStr">
        <is>
          <t>UAE (generic)</t>
        </is>
      </c>
      <c r="L86" t="inlineStr">
        <is>
          <t>Product</t>
        </is>
      </c>
      <c r="M86">
        <f>IFERROR(VLOOKUP($A86,'Semrush Import'!$A:$D,2,FALSE),"")</f>
        <v/>
      </c>
      <c r="N86">
        <f>IFERROR(VLOOKUP($A86,'Semrush Import'!$A:$D,3,FALSE),"")</f>
        <v/>
      </c>
      <c r="O86">
        <f>IFERROR(VLOOKUP($A86,'Semrush Import'!$A:$D,4,FALSE),"")</f>
        <v/>
      </c>
      <c r="P86">
        <f>IFERROR(VLOOKUP($A86,'KP Import'!$A:$B,2,FALSE),"")</f>
        <v/>
      </c>
      <c r="Q86">
        <f>IF(M86="","",ROUND(M86/(N86+10),1))</f>
        <v/>
      </c>
      <c r="R86">
        <f>IF(Q86="","",IF(Q86&gt;=20,"A - Go first",IF(Q86&gt;=5,"B - Next","C - Later")))</f>
        <v/>
      </c>
      <c r="S86" t="inlineStr">
        <is>
          <t>To do</t>
        </is>
      </c>
      <c r="T86" t="inlineStr"/>
    </row>
    <row r="87">
      <c r="A87" t="inlineStr">
        <is>
          <t>buy thai jasmine rice online</t>
        </is>
      </c>
      <c r="B87" t="inlineStr">
        <is>
          <t>Phase 2 - B2C (later)</t>
        </is>
      </c>
      <c r="C87" t="inlineStr">
        <is>
          <t>Consumer / household</t>
        </is>
      </c>
      <c r="D87" t="inlineStr">
        <is>
          <t>Shop (B2C)</t>
        </is>
      </c>
      <c r="E87" t="inlineStr">
        <is>
          <t>Secondary (long-tail)</t>
        </is>
      </c>
      <c r="F87" t="inlineStr">
        <is>
          <t>H3 / body paragraph / table row / image alt</t>
        </is>
      </c>
      <c r="G87" t="inlineStr">
        <is>
          <t>Transactional</t>
        </is>
      </c>
      <c r="H87" t="inlineStr">
        <is>
          <t>Specialty</t>
        </is>
      </c>
      <c r="I87" t="inlineStr">
        <is>
          <t>Transactional</t>
        </is>
      </c>
      <c r="J87" t="inlineStr">
        <is>
          <t>BOFU</t>
        </is>
      </c>
      <c r="K87" t="inlineStr">
        <is>
          <t>UAE (generic)</t>
        </is>
      </c>
      <c r="L87" t="inlineStr">
        <is>
          <t>Product</t>
        </is>
      </c>
      <c r="M87">
        <f>IFERROR(VLOOKUP($A87,'Semrush Import'!$A:$D,2,FALSE),"")</f>
        <v/>
      </c>
      <c r="N87">
        <f>IFERROR(VLOOKUP($A87,'Semrush Import'!$A:$D,3,FALSE),"")</f>
        <v/>
      </c>
      <c r="O87">
        <f>IFERROR(VLOOKUP($A87,'Semrush Import'!$A:$D,4,FALSE),"")</f>
        <v/>
      </c>
      <c r="P87">
        <f>IFERROR(VLOOKUP($A87,'KP Import'!$A:$B,2,FALSE),"")</f>
        <v/>
      </c>
      <c r="Q87">
        <f>IF(M87="","",ROUND(M87/(N87+10),1))</f>
        <v/>
      </c>
      <c r="R87">
        <f>IF(Q87="","",IF(Q87&gt;=20,"A - Go first",IF(Q87&gt;=5,"B - Next","C - Later")))</f>
        <v/>
      </c>
      <c r="S87" t="inlineStr">
        <is>
          <t>To do</t>
        </is>
      </c>
      <c r="T87" t="inlineStr"/>
    </row>
    <row r="88">
      <c r="A88" t="inlineStr">
        <is>
          <t>thai jasmine rice price in uae</t>
        </is>
      </c>
      <c r="B88" t="inlineStr">
        <is>
          <t>Phase 1 - B2B now</t>
        </is>
      </c>
      <c r="C88" t="inlineStr">
        <is>
          <t>Wholesalers / bulk buyers</t>
        </is>
      </c>
      <c r="D88" t="inlineStr">
        <is>
          <t>Specialty &amp; South Indian Rice</t>
        </is>
      </c>
      <c r="E88" t="inlineStr">
        <is>
          <t>Secondary (long-tail)</t>
        </is>
      </c>
      <c r="F88" t="inlineStr">
        <is>
          <t>H3 / body paragraph / table row / image alt</t>
        </is>
      </c>
      <c r="G88" t="inlineStr">
        <is>
          <t>Price</t>
        </is>
      </c>
      <c r="H88" t="inlineStr">
        <is>
          <t>Specialty</t>
        </is>
      </c>
      <c r="I88" t="inlineStr">
        <is>
          <t>Commercial/Transactional</t>
        </is>
      </c>
      <c r="J88" t="inlineStr">
        <is>
          <t>MOFU</t>
        </is>
      </c>
      <c r="K88" t="inlineStr">
        <is>
          <t>UAE</t>
        </is>
      </c>
      <c r="L88" t="inlineStr">
        <is>
          <t>Product</t>
        </is>
      </c>
      <c r="M88">
        <f>IFERROR(VLOOKUP($A88,'Semrush Import'!$A:$D,2,FALSE),"")</f>
        <v/>
      </c>
      <c r="N88">
        <f>IFERROR(VLOOKUP($A88,'Semrush Import'!$A:$D,3,FALSE),"")</f>
        <v/>
      </c>
      <c r="O88">
        <f>IFERROR(VLOOKUP($A88,'Semrush Import'!$A:$D,4,FALSE),"")</f>
        <v/>
      </c>
      <c r="P88">
        <f>IFERROR(VLOOKUP($A88,'KP Import'!$A:$B,2,FALSE),"")</f>
        <v/>
      </c>
      <c r="Q88">
        <f>IF(M88="","",ROUND(M88/(N88+10),1))</f>
        <v/>
      </c>
      <c r="R88">
        <f>IF(Q88="","",IF(Q88&gt;=20,"A - Go first",IF(Q88&gt;=5,"B - Next","C - Later")))</f>
        <v/>
      </c>
      <c r="S88" t="inlineStr">
        <is>
          <t>To do</t>
        </is>
      </c>
      <c r="T88" t="inlineStr"/>
    </row>
    <row r="89">
      <c r="A89" t="inlineStr">
        <is>
          <t>thai jasmine rice price in dubai</t>
        </is>
      </c>
      <c r="B89" t="inlineStr">
        <is>
          <t>Phase 1 - B2B now</t>
        </is>
      </c>
      <c r="C89" t="inlineStr">
        <is>
          <t>Wholesalers / bulk buyers</t>
        </is>
      </c>
      <c r="D89" t="inlineStr">
        <is>
          <t>Specialty &amp; South Indian Rice</t>
        </is>
      </c>
      <c r="E89" t="inlineStr">
        <is>
          <t>Secondary (long-tail)</t>
        </is>
      </c>
      <c r="F89" t="inlineStr">
        <is>
          <t>H3 / body paragraph / table row / image alt</t>
        </is>
      </c>
      <c r="G89" t="inlineStr">
        <is>
          <t>Price</t>
        </is>
      </c>
      <c r="H89" t="inlineStr">
        <is>
          <t>Specialty</t>
        </is>
      </c>
      <c r="I89" t="inlineStr">
        <is>
          <t>Commercial/Transactional</t>
        </is>
      </c>
      <c r="J89" t="inlineStr">
        <is>
          <t>MOFU</t>
        </is>
      </c>
      <c r="K89" t="inlineStr">
        <is>
          <t>Dubai</t>
        </is>
      </c>
      <c r="L89" t="inlineStr">
        <is>
          <t>Product</t>
        </is>
      </c>
      <c r="M89">
        <f>IFERROR(VLOOKUP($A89,'Semrush Import'!$A:$D,2,FALSE),"")</f>
        <v/>
      </c>
      <c r="N89">
        <f>IFERROR(VLOOKUP($A89,'Semrush Import'!$A:$D,3,FALSE),"")</f>
        <v/>
      </c>
      <c r="O89">
        <f>IFERROR(VLOOKUP($A89,'Semrush Import'!$A:$D,4,FALSE),"")</f>
        <v/>
      </c>
      <c r="P89">
        <f>IFERROR(VLOOKUP($A89,'KP Import'!$A:$B,2,FALSE),"")</f>
        <v/>
      </c>
      <c r="Q89">
        <f>IF(M89="","",ROUND(M89/(N89+10),1))</f>
        <v/>
      </c>
      <c r="R89">
        <f>IF(Q89="","",IF(Q89&gt;=20,"A - Go first",IF(Q89&gt;=5,"B - Next","C - Later")))</f>
        <v/>
      </c>
      <c r="S89" t="inlineStr">
        <is>
          <t>To do</t>
        </is>
      </c>
      <c r="T89" t="inlineStr"/>
    </row>
    <row r="90">
      <c r="A90" t="inlineStr">
        <is>
          <t>thai jasmine rice online dubai</t>
        </is>
      </c>
      <c r="B90" t="inlineStr">
        <is>
          <t>Phase 2 - B2C (later)</t>
        </is>
      </c>
      <c r="C90" t="inlineStr">
        <is>
          <t>Consumer / household</t>
        </is>
      </c>
      <c r="D90" t="inlineStr">
        <is>
          <t>Shop (B2C)</t>
        </is>
      </c>
      <c r="E90" t="inlineStr">
        <is>
          <t>Secondary (long-tail)</t>
        </is>
      </c>
      <c r="F90" t="inlineStr">
        <is>
          <t>H3 / body paragraph / table row / image alt</t>
        </is>
      </c>
      <c r="G90" t="inlineStr">
        <is>
          <t>Transactional</t>
        </is>
      </c>
      <c r="H90" t="inlineStr">
        <is>
          <t>Specialty</t>
        </is>
      </c>
      <c r="I90" t="inlineStr">
        <is>
          <t>Transactional</t>
        </is>
      </c>
      <c r="J90" t="inlineStr">
        <is>
          <t>BOFU</t>
        </is>
      </c>
      <c r="K90" t="inlineStr">
        <is>
          <t>Dubai</t>
        </is>
      </c>
      <c r="L90" t="inlineStr">
        <is>
          <t>Product</t>
        </is>
      </c>
      <c r="M90">
        <f>IFERROR(VLOOKUP($A90,'Semrush Import'!$A:$D,2,FALSE),"")</f>
        <v/>
      </c>
      <c r="N90">
        <f>IFERROR(VLOOKUP($A90,'Semrush Import'!$A:$D,3,FALSE),"")</f>
        <v/>
      </c>
      <c r="O90">
        <f>IFERROR(VLOOKUP($A90,'Semrush Import'!$A:$D,4,FALSE),"")</f>
        <v/>
      </c>
      <c r="P90">
        <f>IFERROR(VLOOKUP($A90,'KP Import'!$A:$B,2,FALSE),"")</f>
        <v/>
      </c>
      <c r="Q90">
        <f>IF(M90="","",ROUND(M90/(N90+10),1))</f>
        <v/>
      </c>
      <c r="R90">
        <f>IF(Q90="","",IF(Q90&gt;=20,"A - Go first",IF(Q90&gt;=5,"B - Next","C - Later")))</f>
        <v/>
      </c>
      <c r="S90" t="inlineStr">
        <is>
          <t>To do</t>
        </is>
      </c>
      <c r="T90" t="inlineStr"/>
    </row>
    <row r="91">
      <c r="A91" t="inlineStr">
        <is>
          <t>thai jasmine rice wholesale dubai</t>
        </is>
      </c>
      <c r="B91" t="inlineStr">
        <is>
          <t>Phase 1 - B2B now</t>
        </is>
      </c>
      <c r="C91" t="inlineStr">
        <is>
          <t>Wholesalers / bulk buyers</t>
        </is>
      </c>
      <c r="D91" t="inlineStr">
        <is>
          <t>Specialty &amp; South Indian Rice</t>
        </is>
      </c>
      <c r="E91" t="inlineStr">
        <is>
          <t>Secondary (long-tail)</t>
        </is>
      </c>
      <c r="F91" t="inlineStr">
        <is>
          <t>H3 / body paragraph / table row / image alt</t>
        </is>
      </c>
      <c r="G91" t="inlineStr">
        <is>
          <t>Wholesale/B2B</t>
        </is>
      </c>
      <c r="H91" t="inlineStr">
        <is>
          <t>Specialty</t>
        </is>
      </c>
      <c r="I91" t="inlineStr">
        <is>
          <t>Transactional (B2B)</t>
        </is>
      </c>
      <c r="J91" t="inlineStr">
        <is>
          <t>BOFU</t>
        </is>
      </c>
      <c r="K91" t="inlineStr">
        <is>
          <t>Dubai</t>
        </is>
      </c>
      <c r="L91" t="inlineStr">
        <is>
          <t>Landing</t>
        </is>
      </c>
      <c r="M91">
        <f>IFERROR(VLOOKUP($A91,'Semrush Import'!$A:$D,2,FALSE),"")</f>
        <v/>
      </c>
      <c r="N91">
        <f>IFERROR(VLOOKUP($A91,'Semrush Import'!$A:$D,3,FALSE),"")</f>
        <v/>
      </c>
      <c r="O91">
        <f>IFERROR(VLOOKUP($A91,'Semrush Import'!$A:$D,4,FALSE),"")</f>
        <v/>
      </c>
      <c r="P91">
        <f>IFERROR(VLOOKUP($A91,'KP Import'!$A:$B,2,FALSE),"")</f>
        <v/>
      </c>
      <c r="Q91">
        <f>IF(M91="","",ROUND(M91/(N91+10),1))</f>
        <v/>
      </c>
      <c r="R91">
        <f>IF(Q91="","",IF(Q91&gt;=20,"A - Go first",IF(Q91&gt;=5,"B - Next","C - Later")))</f>
        <v/>
      </c>
      <c r="S91" t="inlineStr">
        <is>
          <t>To do</t>
        </is>
      </c>
      <c r="T91" t="inlineStr"/>
    </row>
    <row r="92">
      <c r="A92" t="inlineStr">
        <is>
          <t>thai jasmine rice supplier uae</t>
        </is>
      </c>
      <c r="B92" t="inlineStr">
        <is>
          <t>Phase 1 - B2B now</t>
        </is>
      </c>
      <c r="C92" t="inlineStr">
        <is>
          <t>Wholesalers / bulk buyers</t>
        </is>
      </c>
      <c r="D92" t="inlineStr">
        <is>
          <t>Specialty &amp; South Indian Rice</t>
        </is>
      </c>
      <c r="E92" t="inlineStr">
        <is>
          <t>Secondary (long-tail)</t>
        </is>
      </c>
      <c r="F92" t="inlineStr">
        <is>
          <t>H3 / body paragraph / table row / image alt</t>
        </is>
      </c>
      <c r="G92" t="inlineStr">
        <is>
          <t>Wholesale/B2B</t>
        </is>
      </c>
      <c r="H92" t="inlineStr">
        <is>
          <t>Specialty</t>
        </is>
      </c>
      <c r="I92" t="inlineStr">
        <is>
          <t>Transactional (B2B)</t>
        </is>
      </c>
      <c r="J92" t="inlineStr">
        <is>
          <t>BOFU</t>
        </is>
      </c>
      <c r="K92" t="inlineStr">
        <is>
          <t>UAE</t>
        </is>
      </c>
      <c r="L92" t="inlineStr">
        <is>
          <t>Landing</t>
        </is>
      </c>
      <c r="M92">
        <f>IFERROR(VLOOKUP($A92,'Semrush Import'!$A:$D,2,FALSE),"")</f>
        <v/>
      </c>
      <c r="N92">
        <f>IFERROR(VLOOKUP($A92,'Semrush Import'!$A:$D,3,FALSE),"")</f>
        <v/>
      </c>
      <c r="O92">
        <f>IFERROR(VLOOKUP($A92,'Semrush Import'!$A:$D,4,FALSE),"")</f>
        <v/>
      </c>
      <c r="P92">
        <f>IFERROR(VLOOKUP($A92,'KP Import'!$A:$B,2,FALSE),"")</f>
        <v/>
      </c>
      <c r="Q92">
        <f>IF(M92="","",ROUND(M92/(N92+10),1))</f>
        <v/>
      </c>
      <c r="R92">
        <f>IF(Q92="","",IF(Q92&gt;=20,"A - Go first",IF(Q92&gt;=5,"B - Next","C - Later")))</f>
        <v/>
      </c>
      <c r="S92" t="inlineStr">
        <is>
          <t>To do</t>
        </is>
      </c>
      <c r="T92" t="inlineStr"/>
    </row>
    <row r="93">
      <c r="A93" t="inlineStr">
        <is>
          <t>sona masoori rice</t>
        </is>
      </c>
      <c r="B93" t="inlineStr">
        <is>
          <t>Phase 1 - B2B now</t>
        </is>
      </c>
      <c r="C93" t="inlineStr">
        <is>
          <t>Wholesalers / bulk buyers</t>
        </is>
      </c>
      <c r="D93" t="inlineStr">
        <is>
          <t>Specialty &amp; South Indian Rice</t>
        </is>
      </c>
      <c r="E93" t="inlineStr">
        <is>
          <t>Secondary (short)</t>
        </is>
      </c>
      <c r="F93" t="inlineStr">
        <is>
          <t>H2 heading + 1st paragraph under it</t>
        </is>
      </c>
      <c r="G93" t="inlineStr">
        <is>
          <t>Core product</t>
        </is>
      </c>
      <c r="H93" t="inlineStr">
        <is>
          <t>South Indian</t>
        </is>
      </c>
      <c r="I93" t="inlineStr">
        <is>
          <t>Informational/Commercial</t>
        </is>
      </c>
      <c r="J93" t="inlineStr">
        <is>
          <t>TOFU</t>
        </is>
      </c>
      <c r="K93" t="inlineStr">
        <is>
          <t>UAE (generic)</t>
        </is>
      </c>
      <c r="L93" t="inlineStr">
        <is>
          <t>Product</t>
        </is>
      </c>
      <c r="M93">
        <f>IFERROR(VLOOKUP($A93,'Semrush Import'!$A:$D,2,FALSE),"")</f>
        <v/>
      </c>
      <c r="N93">
        <f>IFERROR(VLOOKUP($A93,'Semrush Import'!$A:$D,3,FALSE),"")</f>
        <v/>
      </c>
      <c r="O93">
        <f>IFERROR(VLOOKUP($A93,'Semrush Import'!$A:$D,4,FALSE),"")</f>
        <v/>
      </c>
      <c r="P93">
        <f>IFERROR(VLOOKUP($A93,'KP Import'!$A:$B,2,FALSE),"")</f>
        <v/>
      </c>
      <c r="Q93">
        <f>IF(M93="","",ROUND(M93/(N93+10),1))</f>
        <v/>
      </c>
      <c r="R93">
        <f>IF(Q93="","",IF(Q93&gt;=20,"A - Go first",IF(Q93&gt;=5,"B - Next","C - Later")))</f>
        <v/>
      </c>
      <c r="S93" t="inlineStr">
        <is>
          <t>To do</t>
        </is>
      </c>
      <c r="T93" t="inlineStr"/>
    </row>
    <row r="94">
      <c r="A94" t="inlineStr">
        <is>
          <t>buy sona masoori rice online</t>
        </is>
      </c>
      <c r="B94" t="inlineStr">
        <is>
          <t>Phase 2 - B2C (later)</t>
        </is>
      </c>
      <c r="C94" t="inlineStr">
        <is>
          <t>Consumer / household</t>
        </is>
      </c>
      <c r="D94" t="inlineStr">
        <is>
          <t>Shop (B2C)</t>
        </is>
      </c>
      <c r="E94" t="inlineStr">
        <is>
          <t>Secondary (long-tail)</t>
        </is>
      </c>
      <c r="F94" t="inlineStr">
        <is>
          <t>H3 / body paragraph / table row / image alt</t>
        </is>
      </c>
      <c r="G94" t="inlineStr">
        <is>
          <t>Transactional</t>
        </is>
      </c>
      <c r="H94" t="inlineStr">
        <is>
          <t>South Indian</t>
        </is>
      </c>
      <c r="I94" t="inlineStr">
        <is>
          <t>Transactional</t>
        </is>
      </c>
      <c r="J94" t="inlineStr">
        <is>
          <t>BOFU</t>
        </is>
      </c>
      <c r="K94" t="inlineStr">
        <is>
          <t>UAE (generic)</t>
        </is>
      </c>
      <c r="L94" t="inlineStr">
        <is>
          <t>Product</t>
        </is>
      </c>
      <c r="M94">
        <f>IFERROR(VLOOKUP($A94,'Semrush Import'!$A:$D,2,FALSE),"")</f>
        <v/>
      </c>
      <c r="N94">
        <f>IFERROR(VLOOKUP($A94,'Semrush Import'!$A:$D,3,FALSE),"")</f>
        <v/>
      </c>
      <c r="O94">
        <f>IFERROR(VLOOKUP($A94,'Semrush Import'!$A:$D,4,FALSE),"")</f>
        <v/>
      </c>
      <c r="P94">
        <f>IFERROR(VLOOKUP($A94,'KP Import'!$A:$B,2,FALSE),"")</f>
        <v/>
      </c>
      <c r="Q94">
        <f>IF(M94="","",ROUND(M94/(N94+10),1))</f>
        <v/>
      </c>
      <c r="R94">
        <f>IF(Q94="","",IF(Q94&gt;=20,"A - Go first",IF(Q94&gt;=5,"B - Next","C - Later")))</f>
        <v/>
      </c>
      <c r="S94" t="inlineStr">
        <is>
          <t>To do</t>
        </is>
      </c>
      <c r="T94" t="inlineStr"/>
    </row>
    <row r="95">
      <c r="A95" t="inlineStr">
        <is>
          <t>sona masoori rice price in uae</t>
        </is>
      </c>
      <c r="B95" t="inlineStr">
        <is>
          <t>Phase 1 - B2B now</t>
        </is>
      </c>
      <c r="C95" t="inlineStr">
        <is>
          <t>Wholesalers / bulk buyers</t>
        </is>
      </c>
      <c r="D95" t="inlineStr">
        <is>
          <t>Specialty &amp; South Indian Rice</t>
        </is>
      </c>
      <c r="E95" t="inlineStr">
        <is>
          <t>Secondary (long-tail)</t>
        </is>
      </c>
      <c r="F95" t="inlineStr">
        <is>
          <t>H3 / body paragraph / table row / image alt</t>
        </is>
      </c>
      <c r="G95" t="inlineStr">
        <is>
          <t>Price</t>
        </is>
      </c>
      <c r="H95" t="inlineStr">
        <is>
          <t>South Indian</t>
        </is>
      </c>
      <c r="I95" t="inlineStr">
        <is>
          <t>Commercial/Transactional</t>
        </is>
      </c>
      <c r="J95" t="inlineStr">
        <is>
          <t>MOFU</t>
        </is>
      </c>
      <c r="K95" t="inlineStr">
        <is>
          <t>UAE</t>
        </is>
      </c>
      <c r="L95" t="inlineStr">
        <is>
          <t>Product</t>
        </is>
      </c>
      <c r="M95">
        <f>IFERROR(VLOOKUP($A95,'Semrush Import'!$A:$D,2,FALSE),"")</f>
        <v/>
      </c>
      <c r="N95">
        <f>IFERROR(VLOOKUP($A95,'Semrush Import'!$A:$D,3,FALSE),"")</f>
        <v/>
      </c>
      <c r="O95">
        <f>IFERROR(VLOOKUP($A95,'Semrush Import'!$A:$D,4,FALSE),"")</f>
        <v/>
      </c>
      <c r="P95">
        <f>IFERROR(VLOOKUP($A95,'KP Import'!$A:$B,2,FALSE),"")</f>
        <v/>
      </c>
      <c r="Q95">
        <f>IF(M95="","",ROUND(M95/(N95+10),1))</f>
        <v/>
      </c>
      <c r="R95">
        <f>IF(Q95="","",IF(Q95&gt;=20,"A - Go first",IF(Q95&gt;=5,"B - Next","C - Later")))</f>
        <v/>
      </c>
      <c r="S95" t="inlineStr">
        <is>
          <t>To do</t>
        </is>
      </c>
      <c r="T95" t="inlineStr"/>
    </row>
    <row r="96">
      <c r="A96" t="inlineStr">
        <is>
          <t>sona masoori rice price in dubai</t>
        </is>
      </c>
      <c r="B96" t="inlineStr">
        <is>
          <t>Phase 1 - B2B now</t>
        </is>
      </c>
      <c r="C96" t="inlineStr">
        <is>
          <t>Wholesalers / bulk buyers</t>
        </is>
      </c>
      <c r="D96" t="inlineStr">
        <is>
          <t>Specialty &amp; South Indian Rice</t>
        </is>
      </c>
      <c r="E96" t="inlineStr">
        <is>
          <t>Secondary (long-tail)</t>
        </is>
      </c>
      <c r="F96" t="inlineStr">
        <is>
          <t>H3 / body paragraph / table row / image alt</t>
        </is>
      </c>
      <c r="G96" t="inlineStr">
        <is>
          <t>Price</t>
        </is>
      </c>
      <c r="H96" t="inlineStr">
        <is>
          <t>South Indian</t>
        </is>
      </c>
      <c r="I96" t="inlineStr">
        <is>
          <t>Commercial/Transactional</t>
        </is>
      </c>
      <c r="J96" t="inlineStr">
        <is>
          <t>MOFU</t>
        </is>
      </c>
      <c r="K96" t="inlineStr">
        <is>
          <t>Dubai</t>
        </is>
      </c>
      <c r="L96" t="inlineStr">
        <is>
          <t>Product</t>
        </is>
      </c>
      <c r="M96">
        <f>IFERROR(VLOOKUP($A96,'Semrush Import'!$A:$D,2,FALSE),"")</f>
        <v/>
      </c>
      <c r="N96">
        <f>IFERROR(VLOOKUP($A96,'Semrush Import'!$A:$D,3,FALSE),"")</f>
        <v/>
      </c>
      <c r="O96">
        <f>IFERROR(VLOOKUP($A96,'Semrush Import'!$A:$D,4,FALSE),"")</f>
        <v/>
      </c>
      <c r="P96">
        <f>IFERROR(VLOOKUP($A96,'KP Import'!$A:$B,2,FALSE),"")</f>
        <v/>
      </c>
      <c r="Q96">
        <f>IF(M96="","",ROUND(M96/(N96+10),1))</f>
        <v/>
      </c>
      <c r="R96">
        <f>IF(Q96="","",IF(Q96&gt;=20,"A - Go first",IF(Q96&gt;=5,"B - Next","C - Later")))</f>
        <v/>
      </c>
      <c r="S96" t="inlineStr">
        <is>
          <t>To do</t>
        </is>
      </c>
      <c r="T96" t="inlineStr"/>
    </row>
    <row r="97">
      <c r="A97" t="inlineStr">
        <is>
          <t>sona masoori rice online dubai</t>
        </is>
      </c>
      <c r="B97" t="inlineStr">
        <is>
          <t>Phase 2 - B2C (later)</t>
        </is>
      </c>
      <c r="C97" t="inlineStr">
        <is>
          <t>Consumer / household</t>
        </is>
      </c>
      <c r="D97" t="inlineStr">
        <is>
          <t>Shop (B2C)</t>
        </is>
      </c>
      <c r="E97" t="inlineStr">
        <is>
          <t>Secondary (long-tail)</t>
        </is>
      </c>
      <c r="F97" t="inlineStr">
        <is>
          <t>H3 / body paragraph / table row / image alt</t>
        </is>
      </c>
      <c r="G97" t="inlineStr">
        <is>
          <t>Transactional</t>
        </is>
      </c>
      <c r="H97" t="inlineStr">
        <is>
          <t>South Indian</t>
        </is>
      </c>
      <c r="I97" t="inlineStr">
        <is>
          <t>Transactional</t>
        </is>
      </c>
      <c r="J97" t="inlineStr">
        <is>
          <t>BOFU</t>
        </is>
      </c>
      <c r="K97" t="inlineStr">
        <is>
          <t>Dubai</t>
        </is>
      </c>
      <c r="L97" t="inlineStr">
        <is>
          <t>Product</t>
        </is>
      </c>
      <c r="M97">
        <f>IFERROR(VLOOKUP($A97,'Semrush Import'!$A:$D,2,FALSE),"")</f>
        <v/>
      </c>
      <c r="N97">
        <f>IFERROR(VLOOKUP($A97,'Semrush Import'!$A:$D,3,FALSE),"")</f>
        <v/>
      </c>
      <c r="O97">
        <f>IFERROR(VLOOKUP($A97,'Semrush Import'!$A:$D,4,FALSE),"")</f>
        <v/>
      </c>
      <c r="P97">
        <f>IFERROR(VLOOKUP($A97,'KP Import'!$A:$B,2,FALSE),"")</f>
        <v/>
      </c>
      <c r="Q97">
        <f>IF(M97="","",ROUND(M97/(N97+10),1))</f>
        <v/>
      </c>
      <c r="R97">
        <f>IF(Q97="","",IF(Q97&gt;=20,"A - Go first",IF(Q97&gt;=5,"B - Next","C - Later")))</f>
        <v/>
      </c>
      <c r="S97" t="inlineStr">
        <is>
          <t>To do</t>
        </is>
      </c>
      <c r="T97" t="inlineStr"/>
    </row>
    <row r="98">
      <c r="A98" t="inlineStr">
        <is>
          <t>sona masoori rice wholesale dubai</t>
        </is>
      </c>
      <c r="B98" t="inlineStr">
        <is>
          <t>Phase 1 - B2B now</t>
        </is>
      </c>
      <c r="C98" t="inlineStr">
        <is>
          <t>Wholesalers / bulk buyers</t>
        </is>
      </c>
      <c r="D98" t="inlineStr">
        <is>
          <t>Specialty &amp; South Indian Rice</t>
        </is>
      </c>
      <c r="E98" t="inlineStr">
        <is>
          <t>Secondary (long-tail)</t>
        </is>
      </c>
      <c r="F98" t="inlineStr">
        <is>
          <t>H3 / body paragraph / table row / image alt</t>
        </is>
      </c>
      <c r="G98" t="inlineStr">
        <is>
          <t>Wholesale/B2B</t>
        </is>
      </c>
      <c r="H98" t="inlineStr">
        <is>
          <t>South Indian</t>
        </is>
      </c>
      <c r="I98" t="inlineStr">
        <is>
          <t>Transactional (B2B)</t>
        </is>
      </c>
      <c r="J98" t="inlineStr">
        <is>
          <t>BOFU</t>
        </is>
      </c>
      <c r="K98" t="inlineStr">
        <is>
          <t>Dubai</t>
        </is>
      </c>
      <c r="L98" t="inlineStr">
        <is>
          <t>Landing</t>
        </is>
      </c>
      <c r="M98">
        <f>IFERROR(VLOOKUP($A98,'Semrush Import'!$A:$D,2,FALSE),"")</f>
        <v/>
      </c>
      <c r="N98">
        <f>IFERROR(VLOOKUP($A98,'Semrush Import'!$A:$D,3,FALSE),"")</f>
        <v/>
      </c>
      <c r="O98">
        <f>IFERROR(VLOOKUP($A98,'Semrush Import'!$A:$D,4,FALSE),"")</f>
        <v/>
      </c>
      <c r="P98">
        <f>IFERROR(VLOOKUP($A98,'KP Import'!$A:$B,2,FALSE),"")</f>
        <v/>
      </c>
      <c r="Q98">
        <f>IF(M98="","",ROUND(M98/(N98+10),1))</f>
        <v/>
      </c>
      <c r="R98">
        <f>IF(Q98="","",IF(Q98&gt;=20,"A - Go first",IF(Q98&gt;=5,"B - Next","C - Later")))</f>
        <v/>
      </c>
      <c r="S98" t="inlineStr">
        <is>
          <t>To do</t>
        </is>
      </c>
      <c r="T98" t="inlineStr"/>
    </row>
    <row r="99">
      <c r="A99" t="inlineStr">
        <is>
          <t>sona masoori rice supplier uae</t>
        </is>
      </c>
      <c r="B99" t="inlineStr">
        <is>
          <t>Phase 1 - B2B now</t>
        </is>
      </c>
      <c r="C99" t="inlineStr">
        <is>
          <t>Wholesalers / bulk buyers</t>
        </is>
      </c>
      <c r="D99" t="inlineStr">
        <is>
          <t>Specialty &amp; South Indian Rice</t>
        </is>
      </c>
      <c r="E99" t="inlineStr">
        <is>
          <t>PRIMARY</t>
        </is>
      </c>
      <c r="F99" t="inlineStr">
        <is>
          <t>URL slug + SEO title + H1 + meta description + first 100 words</t>
        </is>
      </c>
      <c r="G99" t="inlineStr">
        <is>
          <t>Wholesale/B2B</t>
        </is>
      </c>
      <c r="H99" t="inlineStr">
        <is>
          <t>South Indian</t>
        </is>
      </c>
      <c r="I99" t="inlineStr">
        <is>
          <t>Transactional (B2B)</t>
        </is>
      </c>
      <c r="J99" t="inlineStr">
        <is>
          <t>BOFU</t>
        </is>
      </c>
      <c r="K99" t="inlineStr">
        <is>
          <t>UAE</t>
        </is>
      </c>
      <c r="L99" t="inlineStr">
        <is>
          <t>Landing</t>
        </is>
      </c>
      <c r="M99">
        <f>IFERROR(VLOOKUP($A99,'Semrush Import'!$A:$D,2,FALSE),"")</f>
        <v/>
      </c>
      <c r="N99">
        <f>IFERROR(VLOOKUP($A99,'Semrush Import'!$A:$D,3,FALSE),"")</f>
        <v/>
      </c>
      <c r="O99">
        <f>IFERROR(VLOOKUP($A99,'Semrush Import'!$A:$D,4,FALSE),"")</f>
        <v/>
      </c>
      <c r="P99">
        <f>IFERROR(VLOOKUP($A99,'KP Import'!$A:$B,2,FALSE),"")</f>
        <v/>
      </c>
      <c r="Q99">
        <f>IF(M99="","",ROUND(M99/(N99+10),1))</f>
        <v/>
      </c>
      <c r="R99">
        <f>IF(Q99="","",IF(Q99&gt;=20,"A - Go first",IF(Q99&gt;=5,"B - Next","C - Later")))</f>
        <v/>
      </c>
      <c r="S99" t="inlineStr">
        <is>
          <t>To do</t>
        </is>
      </c>
      <c r="T99" t="inlineStr"/>
    </row>
    <row r="100">
      <c r="A100" t="inlineStr">
        <is>
          <t>ponni rice</t>
        </is>
      </c>
      <c r="B100" t="inlineStr">
        <is>
          <t>Phase 1 - B2B now</t>
        </is>
      </c>
      <c r="C100" t="inlineStr">
        <is>
          <t>Wholesalers / bulk buyers</t>
        </is>
      </c>
      <c r="D100" t="inlineStr">
        <is>
          <t>Specialty &amp; South Indian Rice</t>
        </is>
      </c>
      <c r="E100" t="inlineStr">
        <is>
          <t>Secondary (short)</t>
        </is>
      </c>
      <c r="F100" t="inlineStr">
        <is>
          <t>H2 heading + 1st paragraph under it</t>
        </is>
      </c>
      <c r="G100" t="inlineStr">
        <is>
          <t>Core product</t>
        </is>
      </c>
      <c r="H100" t="inlineStr">
        <is>
          <t>South Indian</t>
        </is>
      </c>
      <c r="I100" t="inlineStr">
        <is>
          <t>Informational/Commercial</t>
        </is>
      </c>
      <c r="J100" t="inlineStr">
        <is>
          <t>TOFU</t>
        </is>
      </c>
      <c r="K100" t="inlineStr">
        <is>
          <t>UAE (generic)</t>
        </is>
      </c>
      <c r="L100" t="inlineStr">
        <is>
          <t>Landing/Blog</t>
        </is>
      </c>
      <c r="M100">
        <f>IFERROR(VLOOKUP($A100,'Semrush Import'!$A:$D,2,FALSE),"")</f>
        <v/>
      </c>
      <c r="N100">
        <f>IFERROR(VLOOKUP($A100,'Semrush Import'!$A:$D,3,FALSE),"")</f>
        <v/>
      </c>
      <c r="O100">
        <f>IFERROR(VLOOKUP($A100,'Semrush Import'!$A:$D,4,FALSE),"")</f>
        <v/>
      </c>
      <c r="P100">
        <f>IFERROR(VLOOKUP($A100,'KP Import'!$A:$B,2,FALSE),"")</f>
        <v/>
      </c>
      <c r="Q100">
        <f>IF(M100="","",ROUND(M100/(N100+10),1))</f>
        <v/>
      </c>
      <c r="R100">
        <f>IF(Q100="","",IF(Q100&gt;=20,"A - Go first",IF(Q100&gt;=5,"B - Next","C - Later")))</f>
        <v/>
      </c>
      <c r="S100" t="inlineStr">
        <is>
          <t>To do</t>
        </is>
      </c>
      <c r="T100" t="inlineStr"/>
    </row>
    <row r="101">
      <c r="A101" t="inlineStr">
        <is>
          <t>buy ponni rice online</t>
        </is>
      </c>
      <c r="B101" t="inlineStr">
        <is>
          <t>Phase 2 - B2C (later)</t>
        </is>
      </c>
      <c r="C101" t="inlineStr">
        <is>
          <t>Consumer / household</t>
        </is>
      </c>
      <c r="D101" t="inlineStr">
        <is>
          <t>Shop (B2C)</t>
        </is>
      </c>
      <c r="E101" t="inlineStr">
        <is>
          <t>Secondary (long-tail)</t>
        </is>
      </c>
      <c r="F101" t="inlineStr">
        <is>
          <t>H3 / body paragraph / table row / image alt</t>
        </is>
      </c>
      <c r="G101" t="inlineStr">
        <is>
          <t>Transactional</t>
        </is>
      </c>
      <c r="H101" t="inlineStr">
        <is>
          <t>South Indian</t>
        </is>
      </c>
      <c r="I101" t="inlineStr">
        <is>
          <t>Transactional</t>
        </is>
      </c>
      <c r="J101" t="inlineStr">
        <is>
          <t>BOFU</t>
        </is>
      </c>
      <c r="K101" t="inlineStr">
        <is>
          <t>UAE (generic)</t>
        </is>
      </c>
      <c r="L101" t="inlineStr">
        <is>
          <t>Landing/Blog</t>
        </is>
      </c>
      <c r="M101">
        <f>IFERROR(VLOOKUP($A101,'Semrush Import'!$A:$D,2,FALSE),"")</f>
        <v/>
      </c>
      <c r="N101">
        <f>IFERROR(VLOOKUP($A101,'Semrush Import'!$A:$D,3,FALSE),"")</f>
        <v/>
      </c>
      <c r="O101">
        <f>IFERROR(VLOOKUP($A101,'Semrush Import'!$A:$D,4,FALSE),"")</f>
        <v/>
      </c>
      <c r="P101">
        <f>IFERROR(VLOOKUP($A101,'KP Import'!$A:$B,2,FALSE),"")</f>
        <v/>
      </c>
      <c r="Q101">
        <f>IF(M101="","",ROUND(M101/(N101+10),1))</f>
        <v/>
      </c>
      <c r="R101">
        <f>IF(Q101="","",IF(Q101&gt;=20,"A - Go first",IF(Q101&gt;=5,"B - Next","C - Later")))</f>
        <v/>
      </c>
      <c r="S101" t="inlineStr">
        <is>
          <t>To do</t>
        </is>
      </c>
      <c r="T101" t="inlineStr"/>
    </row>
    <row r="102">
      <c r="A102" t="inlineStr">
        <is>
          <t>ponni rice price in uae</t>
        </is>
      </c>
      <c r="B102" t="inlineStr">
        <is>
          <t>Phase 1 - B2B now</t>
        </is>
      </c>
      <c r="C102" t="inlineStr">
        <is>
          <t>Wholesalers / bulk buyers</t>
        </is>
      </c>
      <c r="D102" t="inlineStr">
        <is>
          <t>Specialty &amp; South Indian Rice</t>
        </is>
      </c>
      <c r="E102" t="inlineStr">
        <is>
          <t>Secondary (long-tail)</t>
        </is>
      </c>
      <c r="F102" t="inlineStr">
        <is>
          <t>H3 / body paragraph / table row / image alt</t>
        </is>
      </c>
      <c r="G102" t="inlineStr">
        <is>
          <t>Price</t>
        </is>
      </c>
      <c r="H102" t="inlineStr">
        <is>
          <t>South Indian</t>
        </is>
      </c>
      <c r="I102" t="inlineStr">
        <is>
          <t>Commercial/Transactional</t>
        </is>
      </c>
      <c r="J102" t="inlineStr">
        <is>
          <t>MOFU</t>
        </is>
      </c>
      <c r="K102" t="inlineStr">
        <is>
          <t>UAE</t>
        </is>
      </c>
      <c r="L102" t="inlineStr">
        <is>
          <t>Landing/Blog</t>
        </is>
      </c>
      <c r="M102">
        <f>IFERROR(VLOOKUP($A102,'Semrush Import'!$A:$D,2,FALSE),"")</f>
        <v/>
      </c>
      <c r="N102">
        <f>IFERROR(VLOOKUP($A102,'Semrush Import'!$A:$D,3,FALSE),"")</f>
        <v/>
      </c>
      <c r="O102">
        <f>IFERROR(VLOOKUP($A102,'Semrush Import'!$A:$D,4,FALSE),"")</f>
        <v/>
      </c>
      <c r="P102">
        <f>IFERROR(VLOOKUP($A102,'KP Import'!$A:$B,2,FALSE),"")</f>
        <v/>
      </c>
      <c r="Q102">
        <f>IF(M102="","",ROUND(M102/(N102+10),1))</f>
        <v/>
      </c>
      <c r="R102">
        <f>IF(Q102="","",IF(Q102&gt;=20,"A - Go first",IF(Q102&gt;=5,"B - Next","C - Later")))</f>
        <v/>
      </c>
      <c r="S102" t="inlineStr">
        <is>
          <t>To do</t>
        </is>
      </c>
      <c r="T102" t="inlineStr"/>
    </row>
    <row r="103">
      <c r="A103" t="inlineStr">
        <is>
          <t>ponni rice price in dubai</t>
        </is>
      </c>
      <c r="B103" t="inlineStr">
        <is>
          <t>Phase 1 - B2B now</t>
        </is>
      </c>
      <c r="C103" t="inlineStr">
        <is>
          <t>Wholesalers / bulk buyers</t>
        </is>
      </c>
      <c r="D103" t="inlineStr">
        <is>
          <t>Specialty &amp; South Indian Rice</t>
        </is>
      </c>
      <c r="E103" t="inlineStr">
        <is>
          <t>Secondary (long-tail)</t>
        </is>
      </c>
      <c r="F103" t="inlineStr">
        <is>
          <t>H3 / body paragraph / table row / image alt</t>
        </is>
      </c>
      <c r="G103" t="inlineStr">
        <is>
          <t>Price</t>
        </is>
      </c>
      <c r="H103" t="inlineStr">
        <is>
          <t>South Indian</t>
        </is>
      </c>
      <c r="I103" t="inlineStr">
        <is>
          <t>Commercial/Transactional</t>
        </is>
      </c>
      <c r="J103" t="inlineStr">
        <is>
          <t>MOFU</t>
        </is>
      </c>
      <c r="K103" t="inlineStr">
        <is>
          <t>Dubai</t>
        </is>
      </c>
      <c r="L103" t="inlineStr">
        <is>
          <t>Landing/Blog</t>
        </is>
      </c>
      <c r="M103">
        <f>IFERROR(VLOOKUP($A103,'Semrush Import'!$A:$D,2,FALSE),"")</f>
        <v/>
      </c>
      <c r="N103">
        <f>IFERROR(VLOOKUP($A103,'Semrush Import'!$A:$D,3,FALSE),"")</f>
        <v/>
      </c>
      <c r="O103">
        <f>IFERROR(VLOOKUP($A103,'Semrush Import'!$A:$D,4,FALSE),"")</f>
        <v/>
      </c>
      <c r="P103">
        <f>IFERROR(VLOOKUP($A103,'KP Import'!$A:$B,2,FALSE),"")</f>
        <v/>
      </c>
      <c r="Q103">
        <f>IF(M103="","",ROUND(M103/(N103+10),1))</f>
        <v/>
      </c>
      <c r="R103">
        <f>IF(Q103="","",IF(Q103&gt;=20,"A - Go first",IF(Q103&gt;=5,"B - Next","C - Later")))</f>
        <v/>
      </c>
      <c r="S103" t="inlineStr">
        <is>
          <t>To do</t>
        </is>
      </c>
      <c r="T103" t="inlineStr"/>
    </row>
    <row r="104">
      <c r="A104" t="inlineStr">
        <is>
          <t>ponni rice online dubai</t>
        </is>
      </c>
      <c r="B104" t="inlineStr">
        <is>
          <t>Phase 2 - B2C (later)</t>
        </is>
      </c>
      <c r="C104" t="inlineStr">
        <is>
          <t>Consumer / household</t>
        </is>
      </c>
      <c r="D104" t="inlineStr">
        <is>
          <t>Shop (B2C)</t>
        </is>
      </c>
      <c r="E104" t="inlineStr">
        <is>
          <t>Secondary (long-tail)</t>
        </is>
      </c>
      <c r="F104" t="inlineStr">
        <is>
          <t>H3 / body paragraph / table row / image alt</t>
        </is>
      </c>
      <c r="G104" t="inlineStr">
        <is>
          <t>Transactional</t>
        </is>
      </c>
      <c r="H104" t="inlineStr">
        <is>
          <t>South Indian</t>
        </is>
      </c>
      <c r="I104" t="inlineStr">
        <is>
          <t>Transactional</t>
        </is>
      </c>
      <c r="J104" t="inlineStr">
        <is>
          <t>BOFU</t>
        </is>
      </c>
      <c r="K104" t="inlineStr">
        <is>
          <t>Dubai</t>
        </is>
      </c>
      <c r="L104" t="inlineStr">
        <is>
          <t>Landing/Blog</t>
        </is>
      </c>
      <c r="M104">
        <f>IFERROR(VLOOKUP($A104,'Semrush Import'!$A:$D,2,FALSE),"")</f>
        <v/>
      </c>
      <c r="N104">
        <f>IFERROR(VLOOKUP($A104,'Semrush Import'!$A:$D,3,FALSE),"")</f>
        <v/>
      </c>
      <c r="O104">
        <f>IFERROR(VLOOKUP($A104,'Semrush Import'!$A:$D,4,FALSE),"")</f>
        <v/>
      </c>
      <c r="P104">
        <f>IFERROR(VLOOKUP($A104,'KP Import'!$A:$B,2,FALSE),"")</f>
        <v/>
      </c>
      <c r="Q104">
        <f>IF(M104="","",ROUND(M104/(N104+10),1))</f>
        <v/>
      </c>
      <c r="R104">
        <f>IF(Q104="","",IF(Q104&gt;=20,"A - Go first",IF(Q104&gt;=5,"B - Next","C - Later")))</f>
        <v/>
      </c>
      <c r="S104" t="inlineStr">
        <is>
          <t>To do</t>
        </is>
      </c>
      <c r="T104" t="inlineStr"/>
    </row>
    <row r="105">
      <c r="A105" t="inlineStr">
        <is>
          <t>ponni rice wholesale dubai</t>
        </is>
      </c>
      <c r="B105" t="inlineStr">
        <is>
          <t>Phase 1 - B2B now</t>
        </is>
      </c>
      <c r="C105" t="inlineStr">
        <is>
          <t>Wholesalers / bulk buyers</t>
        </is>
      </c>
      <c r="D105" t="inlineStr">
        <is>
          <t>Specialty &amp; South Indian Rice</t>
        </is>
      </c>
      <c r="E105" t="inlineStr">
        <is>
          <t>Secondary (long-tail)</t>
        </is>
      </c>
      <c r="F105" t="inlineStr">
        <is>
          <t>H3 / body paragraph / table row / image alt</t>
        </is>
      </c>
      <c r="G105" t="inlineStr">
        <is>
          <t>Wholesale/B2B</t>
        </is>
      </c>
      <c r="H105" t="inlineStr">
        <is>
          <t>South Indian</t>
        </is>
      </c>
      <c r="I105" t="inlineStr">
        <is>
          <t>Transactional (B2B)</t>
        </is>
      </c>
      <c r="J105" t="inlineStr">
        <is>
          <t>BOFU</t>
        </is>
      </c>
      <c r="K105" t="inlineStr">
        <is>
          <t>Dubai</t>
        </is>
      </c>
      <c r="L105" t="inlineStr">
        <is>
          <t>Landing</t>
        </is>
      </c>
      <c r="M105">
        <f>IFERROR(VLOOKUP($A105,'Semrush Import'!$A:$D,2,FALSE),"")</f>
        <v/>
      </c>
      <c r="N105">
        <f>IFERROR(VLOOKUP($A105,'Semrush Import'!$A:$D,3,FALSE),"")</f>
        <v/>
      </c>
      <c r="O105">
        <f>IFERROR(VLOOKUP($A105,'Semrush Import'!$A:$D,4,FALSE),"")</f>
        <v/>
      </c>
      <c r="P105">
        <f>IFERROR(VLOOKUP($A105,'KP Import'!$A:$B,2,FALSE),"")</f>
        <v/>
      </c>
      <c r="Q105">
        <f>IF(M105="","",ROUND(M105/(N105+10),1))</f>
        <v/>
      </c>
      <c r="R105">
        <f>IF(Q105="","",IF(Q105&gt;=20,"A - Go first",IF(Q105&gt;=5,"B - Next","C - Later")))</f>
        <v/>
      </c>
      <c r="S105" t="inlineStr">
        <is>
          <t>To do</t>
        </is>
      </c>
      <c r="T105" t="inlineStr"/>
    </row>
    <row r="106">
      <c r="A106" t="inlineStr">
        <is>
          <t>ponni rice supplier uae</t>
        </is>
      </c>
      <c r="B106" t="inlineStr">
        <is>
          <t>Phase 1 - B2B now</t>
        </is>
      </c>
      <c r="C106" t="inlineStr">
        <is>
          <t>Wholesalers / bulk buyers</t>
        </is>
      </c>
      <c r="D106" t="inlineStr">
        <is>
          <t>Specialty &amp; South Indian Rice</t>
        </is>
      </c>
      <c r="E106" t="inlineStr">
        <is>
          <t>Secondary (long-tail)</t>
        </is>
      </c>
      <c r="F106" t="inlineStr">
        <is>
          <t>H3 / body paragraph / table row / image alt</t>
        </is>
      </c>
      <c r="G106" t="inlineStr">
        <is>
          <t>Wholesale/B2B</t>
        </is>
      </c>
      <c r="H106" t="inlineStr">
        <is>
          <t>South Indian</t>
        </is>
      </c>
      <c r="I106" t="inlineStr">
        <is>
          <t>Transactional (B2B)</t>
        </is>
      </c>
      <c r="J106" t="inlineStr">
        <is>
          <t>BOFU</t>
        </is>
      </c>
      <c r="K106" t="inlineStr">
        <is>
          <t>UAE</t>
        </is>
      </c>
      <c r="L106" t="inlineStr">
        <is>
          <t>Landing</t>
        </is>
      </c>
      <c r="M106">
        <f>IFERROR(VLOOKUP($A106,'Semrush Import'!$A:$D,2,FALSE),"")</f>
        <v/>
      </c>
      <c r="N106">
        <f>IFERROR(VLOOKUP($A106,'Semrush Import'!$A:$D,3,FALSE),"")</f>
        <v/>
      </c>
      <c r="O106">
        <f>IFERROR(VLOOKUP($A106,'Semrush Import'!$A:$D,4,FALSE),"")</f>
        <v/>
      </c>
      <c r="P106">
        <f>IFERROR(VLOOKUP($A106,'KP Import'!$A:$B,2,FALSE),"")</f>
        <v/>
      </c>
      <c r="Q106">
        <f>IF(M106="","",ROUND(M106/(N106+10),1))</f>
        <v/>
      </c>
      <c r="R106">
        <f>IF(Q106="","",IF(Q106&gt;=20,"A - Go first",IF(Q106&gt;=5,"B - Next","C - Later")))</f>
        <v/>
      </c>
      <c r="S106" t="inlineStr">
        <is>
          <t>To do</t>
        </is>
      </c>
      <c r="T106" t="inlineStr"/>
    </row>
    <row r="107">
      <c r="A107" t="inlineStr">
        <is>
          <t>matta rice</t>
        </is>
      </c>
      <c r="B107" t="inlineStr">
        <is>
          <t>Phase 1 - B2B now</t>
        </is>
      </c>
      <c r="C107" t="inlineStr">
        <is>
          <t>Wholesalers / bulk buyers</t>
        </is>
      </c>
      <c r="D107" t="inlineStr">
        <is>
          <t>Specialty &amp; South Indian Rice</t>
        </is>
      </c>
      <c r="E107" t="inlineStr">
        <is>
          <t>Secondary (short)</t>
        </is>
      </c>
      <c r="F107" t="inlineStr">
        <is>
          <t>H2 heading + 1st paragraph under it</t>
        </is>
      </c>
      <c r="G107" t="inlineStr">
        <is>
          <t>Core product</t>
        </is>
      </c>
      <c r="H107" t="inlineStr">
        <is>
          <t>South Indian</t>
        </is>
      </c>
      <c r="I107" t="inlineStr">
        <is>
          <t>Informational/Commercial</t>
        </is>
      </c>
      <c r="J107" t="inlineStr">
        <is>
          <t>TOFU</t>
        </is>
      </c>
      <c r="K107" t="inlineStr">
        <is>
          <t>UAE (generic)</t>
        </is>
      </c>
      <c r="L107" t="inlineStr">
        <is>
          <t>Product</t>
        </is>
      </c>
      <c r="M107">
        <f>IFERROR(VLOOKUP($A107,'Semrush Import'!$A:$D,2,FALSE),"")</f>
        <v/>
      </c>
      <c r="N107">
        <f>IFERROR(VLOOKUP($A107,'Semrush Import'!$A:$D,3,FALSE),"")</f>
        <v/>
      </c>
      <c r="O107">
        <f>IFERROR(VLOOKUP($A107,'Semrush Import'!$A:$D,4,FALSE),"")</f>
        <v/>
      </c>
      <c r="P107">
        <f>IFERROR(VLOOKUP($A107,'KP Import'!$A:$B,2,FALSE),"")</f>
        <v/>
      </c>
      <c r="Q107">
        <f>IF(M107="","",ROUND(M107/(N107+10),1))</f>
        <v/>
      </c>
      <c r="R107">
        <f>IF(Q107="","",IF(Q107&gt;=20,"A - Go first",IF(Q107&gt;=5,"B - Next","C - Later")))</f>
        <v/>
      </c>
      <c r="S107" t="inlineStr">
        <is>
          <t>To do</t>
        </is>
      </c>
      <c r="T107" t="inlineStr"/>
    </row>
    <row r="108">
      <c r="A108" t="inlineStr">
        <is>
          <t>buy matta rice online</t>
        </is>
      </c>
      <c r="B108" t="inlineStr">
        <is>
          <t>Phase 2 - B2C (later)</t>
        </is>
      </c>
      <c r="C108" t="inlineStr">
        <is>
          <t>Consumer / household</t>
        </is>
      </c>
      <c r="D108" t="inlineStr">
        <is>
          <t>Shop (B2C)</t>
        </is>
      </c>
      <c r="E108" t="inlineStr">
        <is>
          <t>Secondary (long-tail)</t>
        </is>
      </c>
      <c r="F108" t="inlineStr">
        <is>
          <t>H3 / body paragraph / table row / image alt</t>
        </is>
      </c>
      <c r="G108" t="inlineStr">
        <is>
          <t>Transactional</t>
        </is>
      </c>
      <c r="H108" t="inlineStr">
        <is>
          <t>South Indian</t>
        </is>
      </c>
      <c r="I108" t="inlineStr">
        <is>
          <t>Transactional</t>
        </is>
      </c>
      <c r="J108" t="inlineStr">
        <is>
          <t>BOFU</t>
        </is>
      </c>
      <c r="K108" t="inlineStr">
        <is>
          <t>UAE (generic)</t>
        </is>
      </c>
      <c r="L108" t="inlineStr">
        <is>
          <t>Product</t>
        </is>
      </c>
      <c r="M108">
        <f>IFERROR(VLOOKUP($A108,'Semrush Import'!$A:$D,2,FALSE),"")</f>
        <v/>
      </c>
      <c r="N108">
        <f>IFERROR(VLOOKUP($A108,'Semrush Import'!$A:$D,3,FALSE),"")</f>
        <v/>
      </c>
      <c r="O108">
        <f>IFERROR(VLOOKUP($A108,'Semrush Import'!$A:$D,4,FALSE),"")</f>
        <v/>
      </c>
      <c r="P108">
        <f>IFERROR(VLOOKUP($A108,'KP Import'!$A:$B,2,FALSE),"")</f>
        <v/>
      </c>
      <c r="Q108">
        <f>IF(M108="","",ROUND(M108/(N108+10),1))</f>
        <v/>
      </c>
      <c r="R108">
        <f>IF(Q108="","",IF(Q108&gt;=20,"A - Go first",IF(Q108&gt;=5,"B - Next","C - Later")))</f>
        <v/>
      </c>
      <c r="S108" t="inlineStr">
        <is>
          <t>To do</t>
        </is>
      </c>
      <c r="T108" t="inlineStr"/>
    </row>
    <row r="109">
      <c r="A109" t="inlineStr">
        <is>
          <t>matta rice price in uae</t>
        </is>
      </c>
      <c r="B109" t="inlineStr">
        <is>
          <t>Phase 1 - B2B now</t>
        </is>
      </c>
      <c r="C109" t="inlineStr">
        <is>
          <t>Wholesalers / bulk buyers</t>
        </is>
      </c>
      <c r="D109" t="inlineStr">
        <is>
          <t>Specialty &amp; South Indian Rice</t>
        </is>
      </c>
      <c r="E109" t="inlineStr">
        <is>
          <t>Secondary (long-tail)</t>
        </is>
      </c>
      <c r="F109" t="inlineStr">
        <is>
          <t>H3 / body paragraph / table row / image alt</t>
        </is>
      </c>
      <c r="G109" t="inlineStr">
        <is>
          <t>Price</t>
        </is>
      </c>
      <c r="H109" t="inlineStr">
        <is>
          <t>South Indian</t>
        </is>
      </c>
      <c r="I109" t="inlineStr">
        <is>
          <t>Commercial/Transactional</t>
        </is>
      </c>
      <c r="J109" t="inlineStr">
        <is>
          <t>MOFU</t>
        </is>
      </c>
      <c r="K109" t="inlineStr">
        <is>
          <t>UAE</t>
        </is>
      </c>
      <c r="L109" t="inlineStr">
        <is>
          <t>Product</t>
        </is>
      </c>
      <c r="M109">
        <f>IFERROR(VLOOKUP($A109,'Semrush Import'!$A:$D,2,FALSE),"")</f>
        <v/>
      </c>
      <c r="N109">
        <f>IFERROR(VLOOKUP($A109,'Semrush Import'!$A:$D,3,FALSE),"")</f>
        <v/>
      </c>
      <c r="O109">
        <f>IFERROR(VLOOKUP($A109,'Semrush Import'!$A:$D,4,FALSE),"")</f>
        <v/>
      </c>
      <c r="P109">
        <f>IFERROR(VLOOKUP($A109,'KP Import'!$A:$B,2,FALSE),"")</f>
        <v/>
      </c>
      <c r="Q109">
        <f>IF(M109="","",ROUND(M109/(N109+10),1))</f>
        <v/>
      </c>
      <c r="R109">
        <f>IF(Q109="","",IF(Q109&gt;=20,"A - Go first",IF(Q109&gt;=5,"B - Next","C - Later")))</f>
        <v/>
      </c>
      <c r="S109" t="inlineStr">
        <is>
          <t>To do</t>
        </is>
      </c>
      <c r="T109" t="inlineStr"/>
    </row>
    <row r="110">
      <c r="A110" t="inlineStr">
        <is>
          <t>matta rice price in dubai</t>
        </is>
      </c>
      <c r="B110" t="inlineStr">
        <is>
          <t>Phase 1 - B2B now</t>
        </is>
      </c>
      <c r="C110" t="inlineStr">
        <is>
          <t>Wholesalers / bulk buyers</t>
        </is>
      </c>
      <c r="D110" t="inlineStr">
        <is>
          <t>Specialty &amp; South Indian Rice</t>
        </is>
      </c>
      <c r="E110" t="inlineStr">
        <is>
          <t>Secondary (long-tail)</t>
        </is>
      </c>
      <c r="F110" t="inlineStr">
        <is>
          <t>H3 / body paragraph / table row / image alt</t>
        </is>
      </c>
      <c r="G110" t="inlineStr">
        <is>
          <t>Price</t>
        </is>
      </c>
      <c r="H110" t="inlineStr">
        <is>
          <t>South Indian</t>
        </is>
      </c>
      <c r="I110" t="inlineStr">
        <is>
          <t>Commercial/Transactional</t>
        </is>
      </c>
      <c r="J110" t="inlineStr">
        <is>
          <t>MOFU</t>
        </is>
      </c>
      <c r="K110" t="inlineStr">
        <is>
          <t>Dubai</t>
        </is>
      </c>
      <c r="L110" t="inlineStr">
        <is>
          <t>Product</t>
        </is>
      </c>
      <c r="M110">
        <f>IFERROR(VLOOKUP($A110,'Semrush Import'!$A:$D,2,FALSE),"")</f>
        <v/>
      </c>
      <c r="N110">
        <f>IFERROR(VLOOKUP($A110,'Semrush Import'!$A:$D,3,FALSE),"")</f>
        <v/>
      </c>
      <c r="O110">
        <f>IFERROR(VLOOKUP($A110,'Semrush Import'!$A:$D,4,FALSE),"")</f>
        <v/>
      </c>
      <c r="P110">
        <f>IFERROR(VLOOKUP($A110,'KP Import'!$A:$B,2,FALSE),"")</f>
        <v/>
      </c>
      <c r="Q110">
        <f>IF(M110="","",ROUND(M110/(N110+10),1))</f>
        <v/>
      </c>
      <c r="R110">
        <f>IF(Q110="","",IF(Q110&gt;=20,"A - Go first",IF(Q110&gt;=5,"B - Next","C - Later")))</f>
        <v/>
      </c>
      <c r="S110" t="inlineStr">
        <is>
          <t>To do</t>
        </is>
      </c>
      <c r="T110" t="inlineStr"/>
    </row>
    <row r="111">
      <c r="A111" t="inlineStr">
        <is>
          <t>matta rice online dubai</t>
        </is>
      </c>
      <c r="B111" t="inlineStr">
        <is>
          <t>Phase 2 - B2C (later)</t>
        </is>
      </c>
      <c r="C111" t="inlineStr">
        <is>
          <t>Consumer / household</t>
        </is>
      </c>
      <c r="D111" t="inlineStr">
        <is>
          <t>Shop (B2C)</t>
        </is>
      </c>
      <c r="E111" t="inlineStr">
        <is>
          <t>Secondary (long-tail)</t>
        </is>
      </c>
      <c r="F111" t="inlineStr">
        <is>
          <t>H3 / body paragraph / table row / image alt</t>
        </is>
      </c>
      <c r="G111" t="inlineStr">
        <is>
          <t>Transactional</t>
        </is>
      </c>
      <c r="H111" t="inlineStr">
        <is>
          <t>South Indian</t>
        </is>
      </c>
      <c r="I111" t="inlineStr">
        <is>
          <t>Transactional</t>
        </is>
      </c>
      <c r="J111" t="inlineStr">
        <is>
          <t>BOFU</t>
        </is>
      </c>
      <c r="K111" t="inlineStr">
        <is>
          <t>Dubai</t>
        </is>
      </c>
      <c r="L111" t="inlineStr">
        <is>
          <t>Product</t>
        </is>
      </c>
      <c r="M111">
        <f>IFERROR(VLOOKUP($A111,'Semrush Import'!$A:$D,2,FALSE),"")</f>
        <v/>
      </c>
      <c r="N111">
        <f>IFERROR(VLOOKUP($A111,'Semrush Import'!$A:$D,3,FALSE),"")</f>
        <v/>
      </c>
      <c r="O111">
        <f>IFERROR(VLOOKUP($A111,'Semrush Import'!$A:$D,4,FALSE),"")</f>
        <v/>
      </c>
      <c r="P111">
        <f>IFERROR(VLOOKUP($A111,'KP Import'!$A:$B,2,FALSE),"")</f>
        <v/>
      </c>
      <c r="Q111">
        <f>IF(M111="","",ROUND(M111/(N111+10),1))</f>
        <v/>
      </c>
      <c r="R111">
        <f>IF(Q111="","",IF(Q111&gt;=20,"A - Go first",IF(Q111&gt;=5,"B - Next","C - Later")))</f>
        <v/>
      </c>
      <c r="S111" t="inlineStr">
        <is>
          <t>To do</t>
        </is>
      </c>
      <c r="T111" t="inlineStr"/>
    </row>
    <row r="112">
      <c r="A112" t="inlineStr">
        <is>
          <t>matta rice wholesale dubai</t>
        </is>
      </c>
      <c r="B112" t="inlineStr">
        <is>
          <t>Phase 1 - B2B now</t>
        </is>
      </c>
      <c r="C112" t="inlineStr">
        <is>
          <t>Wholesalers / bulk buyers</t>
        </is>
      </c>
      <c r="D112" t="inlineStr">
        <is>
          <t>Specialty &amp; South Indian Rice</t>
        </is>
      </c>
      <c r="E112" t="inlineStr">
        <is>
          <t>Secondary (long-tail)</t>
        </is>
      </c>
      <c r="F112" t="inlineStr">
        <is>
          <t>H3 / body paragraph / table row / image alt</t>
        </is>
      </c>
      <c r="G112" t="inlineStr">
        <is>
          <t>Wholesale/B2B</t>
        </is>
      </c>
      <c r="H112" t="inlineStr">
        <is>
          <t>South Indian</t>
        </is>
      </c>
      <c r="I112" t="inlineStr">
        <is>
          <t>Transactional (B2B)</t>
        </is>
      </c>
      <c r="J112" t="inlineStr">
        <is>
          <t>BOFU</t>
        </is>
      </c>
      <c r="K112" t="inlineStr">
        <is>
          <t>Dubai</t>
        </is>
      </c>
      <c r="L112" t="inlineStr">
        <is>
          <t>Landing</t>
        </is>
      </c>
      <c r="M112">
        <f>IFERROR(VLOOKUP($A112,'Semrush Import'!$A:$D,2,FALSE),"")</f>
        <v/>
      </c>
      <c r="N112">
        <f>IFERROR(VLOOKUP($A112,'Semrush Import'!$A:$D,3,FALSE),"")</f>
        <v/>
      </c>
      <c r="O112">
        <f>IFERROR(VLOOKUP($A112,'Semrush Import'!$A:$D,4,FALSE),"")</f>
        <v/>
      </c>
      <c r="P112">
        <f>IFERROR(VLOOKUP($A112,'KP Import'!$A:$B,2,FALSE),"")</f>
        <v/>
      </c>
      <c r="Q112">
        <f>IF(M112="","",ROUND(M112/(N112+10),1))</f>
        <v/>
      </c>
      <c r="R112">
        <f>IF(Q112="","",IF(Q112&gt;=20,"A - Go first",IF(Q112&gt;=5,"B - Next","C - Later")))</f>
        <v/>
      </c>
      <c r="S112" t="inlineStr">
        <is>
          <t>To do</t>
        </is>
      </c>
      <c r="T112" t="inlineStr"/>
    </row>
    <row r="113">
      <c r="A113" t="inlineStr">
        <is>
          <t>matta rice supplier uae</t>
        </is>
      </c>
      <c r="B113" t="inlineStr">
        <is>
          <t>Phase 1 - B2B now</t>
        </is>
      </c>
      <c r="C113" t="inlineStr">
        <is>
          <t>Wholesalers / bulk buyers</t>
        </is>
      </c>
      <c r="D113" t="inlineStr">
        <is>
          <t>Specialty &amp; South Indian Rice</t>
        </is>
      </c>
      <c r="E113" t="inlineStr">
        <is>
          <t>Secondary (long-tail)</t>
        </is>
      </c>
      <c r="F113" t="inlineStr">
        <is>
          <t>H3 / body paragraph / table row / image alt</t>
        </is>
      </c>
      <c r="G113" t="inlineStr">
        <is>
          <t>Wholesale/B2B</t>
        </is>
      </c>
      <c r="H113" t="inlineStr">
        <is>
          <t>South Indian</t>
        </is>
      </c>
      <c r="I113" t="inlineStr">
        <is>
          <t>Transactional (B2B)</t>
        </is>
      </c>
      <c r="J113" t="inlineStr">
        <is>
          <t>BOFU</t>
        </is>
      </c>
      <c r="K113" t="inlineStr">
        <is>
          <t>UAE</t>
        </is>
      </c>
      <c r="L113" t="inlineStr">
        <is>
          <t>Landing</t>
        </is>
      </c>
      <c r="M113">
        <f>IFERROR(VLOOKUP($A113,'Semrush Import'!$A:$D,2,FALSE),"")</f>
        <v/>
      </c>
      <c r="N113">
        <f>IFERROR(VLOOKUP($A113,'Semrush Import'!$A:$D,3,FALSE),"")</f>
        <v/>
      </c>
      <c r="O113">
        <f>IFERROR(VLOOKUP($A113,'Semrush Import'!$A:$D,4,FALSE),"")</f>
        <v/>
      </c>
      <c r="P113">
        <f>IFERROR(VLOOKUP($A113,'KP Import'!$A:$B,2,FALSE),"")</f>
        <v/>
      </c>
      <c r="Q113">
        <f>IF(M113="","",ROUND(M113/(N113+10),1))</f>
        <v/>
      </c>
      <c r="R113">
        <f>IF(Q113="","",IF(Q113&gt;=20,"A - Go first",IF(Q113&gt;=5,"B - Next","C - Later")))</f>
        <v/>
      </c>
      <c r="S113" t="inlineStr">
        <is>
          <t>To do</t>
        </is>
      </c>
      <c r="T113" t="inlineStr"/>
    </row>
    <row r="114">
      <c r="A114" t="inlineStr">
        <is>
          <t>kerala matta rice</t>
        </is>
      </c>
      <c r="B114" t="inlineStr">
        <is>
          <t>Phase 1 - B2B now</t>
        </is>
      </c>
      <c r="C114" t="inlineStr">
        <is>
          <t>Wholesalers / bulk buyers</t>
        </is>
      </c>
      <c r="D114" t="inlineStr">
        <is>
          <t>Specialty &amp; South Indian Rice</t>
        </is>
      </c>
      <c r="E114" t="inlineStr">
        <is>
          <t>Secondary (short)</t>
        </is>
      </c>
      <c r="F114" t="inlineStr">
        <is>
          <t>H2 heading + 1st paragraph under it</t>
        </is>
      </c>
      <c r="G114" t="inlineStr">
        <is>
          <t>Core product</t>
        </is>
      </c>
      <c r="H114" t="inlineStr">
        <is>
          <t>South Indian</t>
        </is>
      </c>
      <c r="I114" t="inlineStr">
        <is>
          <t>Informational/Commercial</t>
        </is>
      </c>
      <c r="J114" t="inlineStr">
        <is>
          <t>TOFU</t>
        </is>
      </c>
      <c r="K114" t="inlineStr">
        <is>
          <t>UAE (generic)</t>
        </is>
      </c>
      <c r="L114" t="inlineStr">
        <is>
          <t>Product</t>
        </is>
      </c>
      <c r="M114">
        <f>IFERROR(VLOOKUP($A114,'Semrush Import'!$A:$D,2,FALSE),"")</f>
        <v/>
      </c>
      <c r="N114">
        <f>IFERROR(VLOOKUP($A114,'Semrush Import'!$A:$D,3,FALSE),"")</f>
        <v/>
      </c>
      <c r="O114">
        <f>IFERROR(VLOOKUP($A114,'Semrush Import'!$A:$D,4,FALSE),"")</f>
        <v/>
      </c>
      <c r="P114">
        <f>IFERROR(VLOOKUP($A114,'KP Import'!$A:$B,2,FALSE),"")</f>
        <v/>
      </c>
      <c r="Q114">
        <f>IF(M114="","",ROUND(M114/(N114+10),1))</f>
        <v/>
      </c>
      <c r="R114">
        <f>IF(Q114="","",IF(Q114&gt;=20,"A - Go first",IF(Q114&gt;=5,"B - Next","C - Later")))</f>
        <v/>
      </c>
      <c r="S114" t="inlineStr">
        <is>
          <t>To do</t>
        </is>
      </c>
      <c r="T114" t="inlineStr"/>
    </row>
    <row r="115">
      <c r="A115" t="inlineStr">
        <is>
          <t>buy kerala matta rice online</t>
        </is>
      </c>
      <c r="B115" t="inlineStr">
        <is>
          <t>Phase 2 - B2C (later)</t>
        </is>
      </c>
      <c r="C115" t="inlineStr">
        <is>
          <t>Consumer / household</t>
        </is>
      </c>
      <c r="D115" t="inlineStr">
        <is>
          <t>Shop (B2C)</t>
        </is>
      </c>
      <c r="E115" t="inlineStr">
        <is>
          <t>Secondary (long-tail)</t>
        </is>
      </c>
      <c r="F115" t="inlineStr">
        <is>
          <t>H3 / body paragraph / table row / image alt</t>
        </is>
      </c>
      <c r="G115" t="inlineStr">
        <is>
          <t>Transactional</t>
        </is>
      </c>
      <c r="H115" t="inlineStr">
        <is>
          <t>South Indian</t>
        </is>
      </c>
      <c r="I115" t="inlineStr">
        <is>
          <t>Transactional</t>
        </is>
      </c>
      <c r="J115" t="inlineStr">
        <is>
          <t>BOFU</t>
        </is>
      </c>
      <c r="K115" t="inlineStr">
        <is>
          <t>UAE (generic)</t>
        </is>
      </c>
      <c r="L115" t="inlineStr">
        <is>
          <t>Product</t>
        </is>
      </c>
      <c r="M115">
        <f>IFERROR(VLOOKUP($A115,'Semrush Import'!$A:$D,2,FALSE),"")</f>
        <v/>
      </c>
      <c r="N115">
        <f>IFERROR(VLOOKUP($A115,'Semrush Import'!$A:$D,3,FALSE),"")</f>
        <v/>
      </c>
      <c r="O115">
        <f>IFERROR(VLOOKUP($A115,'Semrush Import'!$A:$D,4,FALSE),"")</f>
        <v/>
      </c>
      <c r="P115">
        <f>IFERROR(VLOOKUP($A115,'KP Import'!$A:$B,2,FALSE),"")</f>
        <v/>
      </c>
      <c r="Q115">
        <f>IF(M115="","",ROUND(M115/(N115+10),1))</f>
        <v/>
      </c>
      <c r="R115">
        <f>IF(Q115="","",IF(Q115&gt;=20,"A - Go first",IF(Q115&gt;=5,"B - Next","C - Later")))</f>
        <v/>
      </c>
      <c r="S115" t="inlineStr">
        <is>
          <t>To do</t>
        </is>
      </c>
      <c r="T115" t="inlineStr"/>
    </row>
    <row r="116">
      <c r="A116" t="inlineStr">
        <is>
          <t>kerala matta rice price in uae</t>
        </is>
      </c>
      <c r="B116" t="inlineStr">
        <is>
          <t>Phase 1 - B2B now</t>
        </is>
      </c>
      <c r="C116" t="inlineStr">
        <is>
          <t>Wholesalers / bulk buyers</t>
        </is>
      </c>
      <c r="D116" t="inlineStr">
        <is>
          <t>Specialty &amp; South Indian Rice</t>
        </is>
      </c>
      <c r="E116" t="inlineStr">
        <is>
          <t>Secondary (long-tail)</t>
        </is>
      </c>
      <c r="F116" t="inlineStr">
        <is>
          <t>H3 / body paragraph / table row / image alt</t>
        </is>
      </c>
      <c r="G116" t="inlineStr">
        <is>
          <t>Price</t>
        </is>
      </c>
      <c r="H116" t="inlineStr">
        <is>
          <t>South Indian</t>
        </is>
      </c>
      <c r="I116" t="inlineStr">
        <is>
          <t>Commercial/Transactional</t>
        </is>
      </c>
      <c r="J116" t="inlineStr">
        <is>
          <t>MOFU</t>
        </is>
      </c>
      <c r="K116" t="inlineStr">
        <is>
          <t>UAE</t>
        </is>
      </c>
      <c r="L116" t="inlineStr">
        <is>
          <t>Product</t>
        </is>
      </c>
      <c r="M116">
        <f>IFERROR(VLOOKUP($A116,'Semrush Import'!$A:$D,2,FALSE),"")</f>
        <v/>
      </c>
      <c r="N116">
        <f>IFERROR(VLOOKUP($A116,'Semrush Import'!$A:$D,3,FALSE),"")</f>
        <v/>
      </c>
      <c r="O116">
        <f>IFERROR(VLOOKUP($A116,'Semrush Import'!$A:$D,4,FALSE),"")</f>
        <v/>
      </c>
      <c r="P116">
        <f>IFERROR(VLOOKUP($A116,'KP Import'!$A:$B,2,FALSE),"")</f>
        <v/>
      </c>
      <c r="Q116">
        <f>IF(M116="","",ROUND(M116/(N116+10),1))</f>
        <v/>
      </c>
      <c r="R116">
        <f>IF(Q116="","",IF(Q116&gt;=20,"A - Go first",IF(Q116&gt;=5,"B - Next","C - Later")))</f>
        <v/>
      </c>
      <c r="S116" t="inlineStr">
        <is>
          <t>To do</t>
        </is>
      </c>
      <c r="T116" t="inlineStr"/>
    </row>
    <row r="117">
      <c r="A117" t="inlineStr">
        <is>
          <t>kerala matta rice price in dubai</t>
        </is>
      </c>
      <c r="B117" t="inlineStr">
        <is>
          <t>Phase 1 - B2B now</t>
        </is>
      </c>
      <c r="C117" t="inlineStr">
        <is>
          <t>Wholesalers / bulk buyers</t>
        </is>
      </c>
      <c r="D117" t="inlineStr">
        <is>
          <t>Specialty &amp; South Indian Rice</t>
        </is>
      </c>
      <c r="E117" t="inlineStr">
        <is>
          <t>Secondary (long-tail)</t>
        </is>
      </c>
      <c r="F117" t="inlineStr">
        <is>
          <t>H3 / body paragraph / table row / image alt</t>
        </is>
      </c>
      <c r="G117" t="inlineStr">
        <is>
          <t>Price</t>
        </is>
      </c>
      <c r="H117" t="inlineStr">
        <is>
          <t>South Indian</t>
        </is>
      </c>
      <c r="I117" t="inlineStr">
        <is>
          <t>Commercial/Transactional</t>
        </is>
      </c>
      <c r="J117" t="inlineStr">
        <is>
          <t>MOFU</t>
        </is>
      </c>
      <c r="K117" t="inlineStr">
        <is>
          <t>Dubai</t>
        </is>
      </c>
      <c r="L117" t="inlineStr">
        <is>
          <t>Product</t>
        </is>
      </c>
      <c r="M117">
        <f>IFERROR(VLOOKUP($A117,'Semrush Import'!$A:$D,2,FALSE),"")</f>
        <v/>
      </c>
      <c r="N117">
        <f>IFERROR(VLOOKUP($A117,'Semrush Import'!$A:$D,3,FALSE),"")</f>
        <v/>
      </c>
      <c r="O117">
        <f>IFERROR(VLOOKUP($A117,'Semrush Import'!$A:$D,4,FALSE),"")</f>
        <v/>
      </c>
      <c r="P117">
        <f>IFERROR(VLOOKUP($A117,'KP Import'!$A:$B,2,FALSE),"")</f>
        <v/>
      </c>
      <c r="Q117">
        <f>IF(M117="","",ROUND(M117/(N117+10),1))</f>
        <v/>
      </c>
      <c r="R117">
        <f>IF(Q117="","",IF(Q117&gt;=20,"A - Go first",IF(Q117&gt;=5,"B - Next","C - Later")))</f>
        <v/>
      </c>
      <c r="S117" t="inlineStr">
        <is>
          <t>To do</t>
        </is>
      </c>
      <c r="T117" t="inlineStr"/>
    </row>
    <row r="118">
      <c r="A118" t="inlineStr">
        <is>
          <t>kerala matta rice online dubai</t>
        </is>
      </c>
      <c r="B118" t="inlineStr">
        <is>
          <t>Phase 2 - B2C (later)</t>
        </is>
      </c>
      <c r="C118" t="inlineStr">
        <is>
          <t>Consumer / household</t>
        </is>
      </c>
      <c r="D118" t="inlineStr">
        <is>
          <t>Shop (B2C)</t>
        </is>
      </c>
      <c r="E118" t="inlineStr">
        <is>
          <t>Secondary (long-tail)</t>
        </is>
      </c>
      <c r="F118" t="inlineStr">
        <is>
          <t>H3 / body paragraph / table row / image alt</t>
        </is>
      </c>
      <c r="G118" t="inlineStr">
        <is>
          <t>Transactional</t>
        </is>
      </c>
      <c r="H118" t="inlineStr">
        <is>
          <t>South Indian</t>
        </is>
      </c>
      <c r="I118" t="inlineStr">
        <is>
          <t>Transactional</t>
        </is>
      </c>
      <c r="J118" t="inlineStr">
        <is>
          <t>BOFU</t>
        </is>
      </c>
      <c r="K118" t="inlineStr">
        <is>
          <t>Dubai</t>
        </is>
      </c>
      <c r="L118" t="inlineStr">
        <is>
          <t>Product</t>
        </is>
      </c>
      <c r="M118">
        <f>IFERROR(VLOOKUP($A118,'Semrush Import'!$A:$D,2,FALSE),"")</f>
        <v/>
      </c>
      <c r="N118">
        <f>IFERROR(VLOOKUP($A118,'Semrush Import'!$A:$D,3,FALSE),"")</f>
        <v/>
      </c>
      <c r="O118">
        <f>IFERROR(VLOOKUP($A118,'Semrush Import'!$A:$D,4,FALSE),"")</f>
        <v/>
      </c>
      <c r="P118">
        <f>IFERROR(VLOOKUP($A118,'KP Import'!$A:$B,2,FALSE),"")</f>
        <v/>
      </c>
      <c r="Q118">
        <f>IF(M118="","",ROUND(M118/(N118+10),1))</f>
        <v/>
      </c>
      <c r="R118">
        <f>IF(Q118="","",IF(Q118&gt;=20,"A - Go first",IF(Q118&gt;=5,"B - Next","C - Later")))</f>
        <v/>
      </c>
      <c r="S118" t="inlineStr">
        <is>
          <t>To do</t>
        </is>
      </c>
      <c r="T118" t="inlineStr"/>
    </row>
    <row r="119">
      <c r="A119" t="inlineStr">
        <is>
          <t>kerala matta rice wholesale dubai</t>
        </is>
      </c>
      <c r="B119" t="inlineStr">
        <is>
          <t>Phase 1 - B2B now</t>
        </is>
      </c>
      <c r="C119" t="inlineStr">
        <is>
          <t>Wholesalers / bulk buyers</t>
        </is>
      </c>
      <c r="D119" t="inlineStr">
        <is>
          <t>Specialty &amp; South Indian Rice</t>
        </is>
      </c>
      <c r="E119" t="inlineStr">
        <is>
          <t>Secondary (long-tail)</t>
        </is>
      </c>
      <c r="F119" t="inlineStr">
        <is>
          <t>H3 / body paragraph / table row / image alt</t>
        </is>
      </c>
      <c r="G119" t="inlineStr">
        <is>
          <t>Wholesale/B2B</t>
        </is>
      </c>
      <c r="H119" t="inlineStr">
        <is>
          <t>South Indian</t>
        </is>
      </c>
      <c r="I119" t="inlineStr">
        <is>
          <t>Transactional (B2B)</t>
        </is>
      </c>
      <c r="J119" t="inlineStr">
        <is>
          <t>BOFU</t>
        </is>
      </c>
      <c r="K119" t="inlineStr">
        <is>
          <t>Dubai</t>
        </is>
      </c>
      <c r="L119" t="inlineStr">
        <is>
          <t>Landing</t>
        </is>
      </c>
      <c r="M119">
        <f>IFERROR(VLOOKUP($A119,'Semrush Import'!$A:$D,2,FALSE),"")</f>
        <v/>
      </c>
      <c r="N119">
        <f>IFERROR(VLOOKUP($A119,'Semrush Import'!$A:$D,3,FALSE),"")</f>
        <v/>
      </c>
      <c r="O119">
        <f>IFERROR(VLOOKUP($A119,'Semrush Import'!$A:$D,4,FALSE),"")</f>
        <v/>
      </c>
      <c r="P119">
        <f>IFERROR(VLOOKUP($A119,'KP Import'!$A:$B,2,FALSE),"")</f>
        <v/>
      </c>
      <c r="Q119">
        <f>IF(M119="","",ROUND(M119/(N119+10),1))</f>
        <v/>
      </c>
      <c r="R119">
        <f>IF(Q119="","",IF(Q119&gt;=20,"A - Go first",IF(Q119&gt;=5,"B - Next","C - Later")))</f>
        <v/>
      </c>
      <c r="S119" t="inlineStr">
        <is>
          <t>To do</t>
        </is>
      </c>
      <c r="T119" t="inlineStr"/>
    </row>
    <row r="120">
      <c r="A120" t="inlineStr">
        <is>
          <t>kerala matta rice supplier uae</t>
        </is>
      </c>
      <c r="B120" t="inlineStr">
        <is>
          <t>Phase 1 - B2B now</t>
        </is>
      </c>
      <c r="C120" t="inlineStr">
        <is>
          <t>Wholesalers / bulk buyers</t>
        </is>
      </c>
      <c r="D120" t="inlineStr">
        <is>
          <t>Specialty &amp; South Indian Rice</t>
        </is>
      </c>
      <c r="E120" t="inlineStr">
        <is>
          <t>Secondary (long-tail)</t>
        </is>
      </c>
      <c r="F120" t="inlineStr">
        <is>
          <t>H3 / body paragraph / table row / image alt</t>
        </is>
      </c>
      <c r="G120" t="inlineStr">
        <is>
          <t>Wholesale/B2B</t>
        </is>
      </c>
      <c r="H120" t="inlineStr">
        <is>
          <t>South Indian</t>
        </is>
      </c>
      <c r="I120" t="inlineStr">
        <is>
          <t>Transactional (B2B)</t>
        </is>
      </c>
      <c r="J120" t="inlineStr">
        <is>
          <t>BOFU</t>
        </is>
      </c>
      <c r="K120" t="inlineStr">
        <is>
          <t>UAE</t>
        </is>
      </c>
      <c r="L120" t="inlineStr">
        <is>
          <t>Landing</t>
        </is>
      </c>
      <c r="M120">
        <f>IFERROR(VLOOKUP($A120,'Semrush Import'!$A:$D,2,FALSE),"")</f>
        <v/>
      </c>
      <c r="N120">
        <f>IFERROR(VLOOKUP($A120,'Semrush Import'!$A:$D,3,FALSE),"")</f>
        <v/>
      </c>
      <c r="O120">
        <f>IFERROR(VLOOKUP($A120,'Semrush Import'!$A:$D,4,FALSE),"")</f>
        <v/>
      </c>
      <c r="P120">
        <f>IFERROR(VLOOKUP($A120,'KP Import'!$A:$B,2,FALSE),"")</f>
        <v/>
      </c>
      <c r="Q120">
        <f>IF(M120="","",ROUND(M120/(N120+10),1))</f>
        <v/>
      </c>
      <c r="R120">
        <f>IF(Q120="","",IF(Q120&gt;=20,"A - Go first",IF(Q120&gt;=5,"B - Next","C - Later")))</f>
        <v/>
      </c>
      <c r="S120" t="inlineStr">
        <is>
          <t>To do</t>
        </is>
      </c>
      <c r="T120" t="inlineStr"/>
    </row>
    <row r="121">
      <c r="A121" t="inlineStr">
        <is>
          <t>idli rice</t>
        </is>
      </c>
      <c r="B121" t="inlineStr">
        <is>
          <t>Phase 1 - B2B now</t>
        </is>
      </c>
      <c r="C121" t="inlineStr">
        <is>
          <t>Wholesalers / bulk buyers</t>
        </is>
      </c>
      <c r="D121" t="inlineStr">
        <is>
          <t>Specialty &amp; South Indian Rice</t>
        </is>
      </c>
      <c r="E121" t="inlineStr">
        <is>
          <t>Secondary (short)</t>
        </is>
      </c>
      <c r="F121" t="inlineStr">
        <is>
          <t>H2 heading + 1st paragraph under it</t>
        </is>
      </c>
      <c r="G121" t="inlineStr">
        <is>
          <t>Core product</t>
        </is>
      </c>
      <c r="H121" t="inlineStr">
        <is>
          <t>South Indian</t>
        </is>
      </c>
      <c r="I121" t="inlineStr">
        <is>
          <t>Informational/Commercial</t>
        </is>
      </c>
      <c r="J121" t="inlineStr">
        <is>
          <t>TOFU</t>
        </is>
      </c>
      <c r="K121" t="inlineStr">
        <is>
          <t>UAE (generic)</t>
        </is>
      </c>
      <c r="L121" t="inlineStr">
        <is>
          <t>Product</t>
        </is>
      </c>
      <c r="M121">
        <f>IFERROR(VLOOKUP($A121,'Semrush Import'!$A:$D,2,FALSE),"")</f>
        <v/>
      </c>
      <c r="N121">
        <f>IFERROR(VLOOKUP($A121,'Semrush Import'!$A:$D,3,FALSE),"")</f>
        <v/>
      </c>
      <c r="O121">
        <f>IFERROR(VLOOKUP($A121,'Semrush Import'!$A:$D,4,FALSE),"")</f>
        <v/>
      </c>
      <c r="P121">
        <f>IFERROR(VLOOKUP($A121,'KP Import'!$A:$B,2,FALSE),"")</f>
        <v/>
      </c>
      <c r="Q121">
        <f>IF(M121="","",ROUND(M121/(N121+10),1))</f>
        <v/>
      </c>
      <c r="R121">
        <f>IF(Q121="","",IF(Q121&gt;=20,"A - Go first",IF(Q121&gt;=5,"B - Next","C - Later")))</f>
        <v/>
      </c>
      <c r="S121" t="inlineStr">
        <is>
          <t>To do</t>
        </is>
      </c>
      <c r="T121" t="inlineStr"/>
    </row>
    <row r="122">
      <c r="A122" t="inlineStr">
        <is>
          <t>buy idli rice online</t>
        </is>
      </c>
      <c r="B122" t="inlineStr">
        <is>
          <t>Phase 2 - B2C (later)</t>
        </is>
      </c>
      <c r="C122" t="inlineStr">
        <is>
          <t>Consumer / household</t>
        </is>
      </c>
      <c r="D122" t="inlineStr">
        <is>
          <t>Shop (B2C)</t>
        </is>
      </c>
      <c r="E122" t="inlineStr">
        <is>
          <t>Secondary (long-tail)</t>
        </is>
      </c>
      <c r="F122" t="inlineStr">
        <is>
          <t>H3 / body paragraph / table row / image alt</t>
        </is>
      </c>
      <c r="G122" t="inlineStr">
        <is>
          <t>Transactional</t>
        </is>
      </c>
      <c r="H122" t="inlineStr">
        <is>
          <t>South Indian</t>
        </is>
      </c>
      <c r="I122" t="inlineStr">
        <is>
          <t>Transactional</t>
        </is>
      </c>
      <c r="J122" t="inlineStr">
        <is>
          <t>BOFU</t>
        </is>
      </c>
      <c r="K122" t="inlineStr">
        <is>
          <t>UAE (generic)</t>
        </is>
      </c>
      <c r="L122" t="inlineStr">
        <is>
          <t>Product</t>
        </is>
      </c>
      <c r="M122">
        <f>IFERROR(VLOOKUP($A122,'Semrush Import'!$A:$D,2,FALSE),"")</f>
        <v/>
      </c>
      <c r="N122">
        <f>IFERROR(VLOOKUP($A122,'Semrush Import'!$A:$D,3,FALSE),"")</f>
        <v/>
      </c>
      <c r="O122">
        <f>IFERROR(VLOOKUP($A122,'Semrush Import'!$A:$D,4,FALSE),"")</f>
        <v/>
      </c>
      <c r="P122">
        <f>IFERROR(VLOOKUP($A122,'KP Import'!$A:$B,2,FALSE),"")</f>
        <v/>
      </c>
      <c r="Q122">
        <f>IF(M122="","",ROUND(M122/(N122+10),1))</f>
        <v/>
      </c>
      <c r="R122">
        <f>IF(Q122="","",IF(Q122&gt;=20,"A - Go first",IF(Q122&gt;=5,"B - Next","C - Later")))</f>
        <v/>
      </c>
      <c r="S122" t="inlineStr">
        <is>
          <t>To do</t>
        </is>
      </c>
      <c r="T122" t="inlineStr"/>
    </row>
    <row r="123">
      <c r="A123" t="inlineStr">
        <is>
          <t>idli rice price in uae</t>
        </is>
      </c>
      <c r="B123" t="inlineStr">
        <is>
          <t>Phase 1 - B2B now</t>
        </is>
      </c>
      <c r="C123" t="inlineStr">
        <is>
          <t>Wholesalers / bulk buyers</t>
        </is>
      </c>
      <c r="D123" t="inlineStr">
        <is>
          <t>Specialty &amp; South Indian Rice</t>
        </is>
      </c>
      <c r="E123" t="inlineStr">
        <is>
          <t>Secondary (long-tail)</t>
        </is>
      </c>
      <c r="F123" t="inlineStr">
        <is>
          <t>H3 / body paragraph / table row / image alt</t>
        </is>
      </c>
      <c r="G123" t="inlineStr">
        <is>
          <t>Price</t>
        </is>
      </c>
      <c r="H123" t="inlineStr">
        <is>
          <t>South Indian</t>
        </is>
      </c>
      <c r="I123" t="inlineStr">
        <is>
          <t>Commercial/Transactional</t>
        </is>
      </c>
      <c r="J123" t="inlineStr">
        <is>
          <t>MOFU</t>
        </is>
      </c>
      <c r="K123" t="inlineStr">
        <is>
          <t>UAE</t>
        </is>
      </c>
      <c r="L123" t="inlineStr">
        <is>
          <t>Product</t>
        </is>
      </c>
      <c r="M123">
        <f>IFERROR(VLOOKUP($A123,'Semrush Import'!$A:$D,2,FALSE),"")</f>
        <v/>
      </c>
      <c r="N123">
        <f>IFERROR(VLOOKUP($A123,'Semrush Import'!$A:$D,3,FALSE),"")</f>
        <v/>
      </c>
      <c r="O123">
        <f>IFERROR(VLOOKUP($A123,'Semrush Import'!$A:$D,4,FALSE),"")</f>
        <v/>
      </c>
      <c r="P123">
        <f>IFERROR(VLOOKUP($A123,'KP Import'!$A:$B,2,FALSE),"")</f>
        <v/>
      </c>
      <c r="Q123">
        <f>IF(M123="","",ROUND(M123/(N123+10),1))</f>
        <v/>
      </c>
      <c r="R123">
        <f>IF(Q123="","",IF(Q123&gt;=20,"A - Go first",IF(Q123&gt;=5,"B - Next","C - Later")))</f>
        <v/>
      </c>
      <c r="S123" t="inlineStr">
        <is>
          <t>To do</t>
        </is>
      </c>
      <c r="T123" t="inlineStr"/>
    </row>
    <row r="124">
      <c r="A124" t="inlineStr">
        <is>
          <t>idli rice price in dubai</t>
        </is>
      </c>
      <c r="B124" t="inlineStr">
        <is>
          <t>Phase 1 - B2B now</t>
        </is>
      </c>
      <c r="C124" t="inlineStr">
        <is>
          <t>Wholesalers / bulk buyers</t>
        </is>
      </c>
      <c r="D124" t="inlineStr">
        <is>
          <t>Specialty &amp; South Indian Rice</t>
        </is>
      </c>
      <c r="E124" t="inlineStr">
        <is>
          <t>Secondary (long-tail)</t>
        </is>
      </c>
      <c r="F124" t="inlineStr">
        <is>
          <t>H3 / body paragraph / table row / image alt</t>
        </is>
      </c>
      <c r="G124" t="inlineStr">
        <is>
          <t>Price</t>
        </is>
      </c>
      <c r="H124" t="inlineStr">
        <is>
          <t>South Indian</t>
        </is>
      </c>
      <c r="I124" t="inlineStr">
        <is>
          <t>Commercial/Transactional</t>
        </is>
      </c>
      <c r="J124" t="inlineStr">
        <is>
          <t>MOFU</t>
        </is>
      </c>
      <c r="K124" t="inlineStr">
        <is>
          <t>Dubai</t>
        </is>
      </c>
      <c r="L124" t="inlineStr">
        <is>
          <t>Product</t>
        </is>
      </c>
      <c r="M124">
        <f>IFERROR(VLOOKUP($A124,'Semrush Import'!$A:$D,2,FALSE),"")</f>
        <v/>
      </c>
      <c r="N124">
        <f>IFERROR(VLOOKUP($A124,'Semrush Import'!$A:$D,3,FALSE),"")</f>
        <v/>
      </c>
      <c r="O124">
        <f>IFERROR(VLOOKUP($A124,'Semrush Import'!$A:$D,4,FALSE),"")</f>
        <v/>
      </c>
      <c r="P124">
        <f>IFERROR(VLOOKUP($A124,'KP Import'!$A:$B,2,FALSE),"")</f>
        <v/>
      </c>
      <c r="Q124">
        <f>IF(M124="","",ROUND(M124/(N124+10),1))</f>
        <v/>
      </c>
      <c r="R124">
        <f>IF(Q124="","",IF(Q124&gt;=20,"A - Go first",IF(Q124&gt;=5,"B - Next","C - Later")))</f>
        <v/>
      </c>
      <c r="S124" t="inlineStr">
        <is>
          <t>To do</t>
        </is>
      </c>
      <c r="T124" t="inlineStr"/>
    </row>
    <row r="125">
      <c r="A125" t="inlineStr">
        <is>
          <t>idli rice online dubai</t>
        </is>
      </c>
      <c r="B125" t="inlineStr">
        <is>
          <t>Phase 2 - B2C (later)</t>
        </is>
      </c>
      <c r="C125" t="inlineStr">
        <is>
          <t>Consumer / household</t>
        </is>
      </c>
      <c r="D125" t="inlineStr">
        <is>
          <t>Shop (B2C)</t>
        </is>
      </c>
      <c r="E125" t="inlineStr">
        <is>
          <t>Secondary (long-tail)</t>
        </is>
      </c>
      <c r="F125" t="inlineStr">
        <is>
          <t>H3 / body paragraph / table row / image alt</t>
        </is>
      </c>
      <c r="G125" t="inlineStr">
        <is>
          <t>Transactional</t>
        </is>
      </c>
      <c r="H125" t="inlineStr">
        <is>
          <t>South Indian</t>
        </is>
      </c>
      <c r="I125" t="inlineStr">
        <is>
          <t>Transactional</t>
        </is>
      </c>
      <c r="J125" t="inlineStr">
        <is>
          <t>BOFU</t>
        </is>
      </c>
      <c r="K125" t="inlineStr">
        <is>
          <t>Dubai</t>
        </is>
      </c>
      <c r="L125" t="inlineStr">
        <is>
          <t>Product</t>
        </is>
      </c>
      <c r="M125">
        <f>IFERROR(VLOOKUP($A125,'Semrush Import'!$A:$D,2,FALSE),"")</f>
        <v/>
      </c>
      <c r="N125">
        <f>IFERROR(VLOOKUP($A125,'Semrush Import'!$A:$D,3,FALSE),"")</f>
        <v/>
      </c>
      <c r="O125">
        <f>IFERROR(VLOOKUP($A125,'Semrush Import'!$A:$D,4,FALSE),"")</f>
        <v/>
      </c>
      <c r="P125">
        <f>IFERROR(VLOOKUP($A125,'KP Import'!$A:$B,2,FALSE),"")</f>
        <v/>
      </c>
      <c r="Q125">
        <f>IF(M125="","",ROUND(M125/(N125+10),1))</f>
        <v/>
      </c>
      <c r="R125">
        <f>IF(Q125="","",IF(Q125&gt;=20,"A - Go first",IF(Q125&gt;=5,"B - Next","C - Later")))</f>
        <v/>
      </c>
      <c r="S125" t="inlineStr">
        <is>
          <t>To do</t>
        </is>
      </c>
      <c r="T125" t="inlineStr"/>
    </row>
    <row r="126">
      <c r="A126" t="inlineStr">
        <is>
          <t>idli rice wholesale dubai</t>
        </is>
      </c>
      <c r="B126" t="inlineStr">
        <is>
          <t>Phase 1 - B2B now</t>
        </is>
      </c>
      <c r="C126" t="inlineStr">
        <is>
          <t>Wholesalers / bulk buyers</t>
        </is>
      </c>
      <c r="D126" t="inlineStr">
        <is>
          <t>Specialty &amp; South Indian Rice</t>
        </is>
      </c>
      <c r="E126" t="inlineStr">
        <is>
          <t>Secondary (long-tail)</t>
        </is>
      </c>
      <c r="F126" t="inlineStr">
        <is>
          <t>H3 / body paragraph / table row / image alt</t>
        </is>
      </c>
      <c r="G126" t="inlineStr">
        <is>
          <t>Wholesale/B2B</t>
        </is>
      </c>
      <c r="H126" t="inlineStr">
        <is>
          <t>South Indian</t>
        </is>
      </c>
      <c r="I126" t="inlineStr">
        <is>
          <t>Transactional (B2B)</t>
        </is>
      </c>
      <c r="J126" t="inlineStr">
        <is>
          <t>BOFU</t>
        </is>
      </c>
      <c r="K126" t="inlineStr">
        <is>
          <t>Dubai</t>
        </is>
      </c>
      <c r="L126" t="inlineStr">
        <is>
          <t>Landing</t>
        </is>
      </c>
      <c r="M126">
        <f>IFERROR(VLOOKUP($A126,'Semrush Import'!$A:$D,2,FALSE),"")</f>
        <v/>
      </c>
      <c r="N126">
        <f>IFERROR(VLOOKUP($A126,'Semrush Import'!$A:$D,3,FALSE),"")</f>
        <v/>
      </c>
      <c r="O126">
        <f>IFERROR(VLOOKUP($A126,'Semrush Import'!$A:$D,4,FALSE),"")</f>
        <v/>
      </c>
      <c r="P126">
        <f>IFERROR(VLOOKUP($A126,'KP Import'!$A:$B,2,FALSE),"")</f>
        <v/>
      </c>
      <c r="Q126">
        <f>IF(M126="","",ROUND(M126/(N126+10),1))</f>
        <v/>
      </c>
      <c r="R126">
        <f>IF(Q126="","",IF(Q126&gt;=20,"A - Go first",IF(Q126&gt;=5,"B - Next","C - Later")))</f>
        <v/>
      </c>
      <c r="S126" t="inlineStr">
        <is>
          <t>To do</t>
        </is>
      </c>
      <c r="T126" t="inlineStr"/>
    </row>
    <row r="127">
      <c r="A127" t="inlineStr">
        <is>
          <t>idli rice supplier uae</t>
        </is>
      </c>
      <c r="B127" t="inlineStr">
        <is>
          <t>Phase 1 - B2B now</t>
        </is>
      </c>
      <c r="C127" t="inlineStr">
        <is>
          <t>Wholesalers / bulk buyers</t>
        </is>
      </c>
      <c r="D127" t="inlineStr">
        <is>
          <t>Specialty &amp; South Indian Rice</t>
        </is>
      </c>
      <c r="E127" t="inlineStr">
        <is>
          <t>Secondary (long-tail)</t>
        </is>
      </c>
      <c r="F127" t="inlineStr">
        <is>
          <t>H3 / body paragraph / table row / image alt</t>
        </is>
      </c>
      <c r="G127" t="inlineStr">
        <is>
          <t>Wholesale/B2B</t>
        </is>
      </c>
      <c r="H127" t="inlineStr">
        <is>
          <t>South Indian</t>
        </is>
      </c>
      <c r="I127" t="inlineStr">
        <is>
          <t>Transactional (B2B)</t>
        </is>
      </c>
      <c r="J127" t="inlineStr">
        <is>
          <t>BOFU</t>
        </is>
      </c>
      <c r="K127" t="inlineStr">
        <is>
          <t>UAE</t>
        </is>
      </c>
      <c r="L127" t="inlineStr">
        <is>
          <t>Landing</t>
        </is>
      </c>
      <c r="M127">
        <f>IFERROR(VLOOKUP($A127,'Semrush Import'!$A:$D,2,FALSE),"")</f>
        <v/>
      </c>
      <c r="N127">
        <f>IFERROR(VLOOKUP($A127,'Semrush Import'!$A:$D,3,FALSE),"")</f>
        <v/>
      </c>
      <c r="O127">
        <f>IFERROR(VLOOKUP($A127,'Semrush Import'!$A:$D,4,FALSE),"")</f>
        <v/>
      </c>
      <c r="P127">
        <f>IFERROR(VLOOKUP($A127,'KP Import'!$A:$B,2,FALSE),"")</f>
        <v/>
      </c>
      <c r="Q127">
        <f>IF(M127="","",ROUND(M127/(N127+10),1))</f>
        <v/>
      </c>
      <c r="R127">
        <f>IF(Q127="","",IF(Q127&gt;=20,"A - Go first",IF(Q127&gt;=5,"B - Next","C - Later")))</f>
        <v/>
      </c>
      <c r="S127" t="inlineStr">
        <is>
          <t>To do</t>
        </is>
      </c>
      <c r="T127" t="inlineStr"/>
    </row>
    <row r="128">
      <c r="A128" t="inlineStr">
        <is>
          <t>raw rice</t>
        </is>
      </c>
      <c r="B128" t="inlineStr">
        <is>
          <t>Phase 1 - B2B now</t>
        </is>
      </c>
      <c r="C128" t="inlineStr">
        <is>
          <t>Wholesalers / bulk buyers</t>
        </is>
      </c>
      <c r="D128" t="inlineStr">
        <is>
          <t>Non-Basmati Rice</t>
        </is>
      </c>
      <c r="E128" t="inlineStr">
        <is>
          <t>Secondary (short)</t>
        </is>
      </c>
      <c r="F128" t="inlineStr">
        <is>
          <t>H2 heading + 1st paragraph under it</t>
        </is>
      </c>
      <c r="G128" t="inlineStr">
        <is>
          <t>Core product</t>
        </is>
      </c>
      <c r="H128" t="inlineStr">
        <is>
          <t>Indian staple</t>
        </is>
      </c>
      <c r="I128" t="inlineStr">
        <is>
          <t>Informational/Commercial</t>
        </is>
      </c>
      <c r="J128" t="inlineStr">
        <is>
          <t>TOFU</t>
        </is>
      </c>
      <c r="K128" t="inlineStr">
        <is>
          <t>UAE (generic)</t>
        </is>
      </c>
      <c r="L128" t="inlineStr">
        <is>
          <t>Category</t>
        </is>
      </c>
      <c r="M128">
        <f>IFERROR(VLOOKUP($A128,'Semrush Import'!$A:$D,2,FALSE),"")</f>
        <v/>
      </c>
      <c r="N128">
        <f>IFERROR(VLOOKUP($A128,'Semrush Import'!$A:$D,3,FALSE),"")</f>
        <v/>
      </c>
      <c r="O128">
        <f>IFERROR(VLOOKUP($A128,'Semrush Import'!$A:$D,4,FALSE),"")</f>
        <v/>
      </c>
      <c r="P128">
        <f>IFERROR(VLOOKUP($A128,'KP Import'!$A:$B,2,FALSE),"")</f>
        <v/>
      </c>
      <c r="Q128">
        <f>IF(M128="","",ROUND(M128/(N128+10),1))</f>
        <v/>
      </c>
      <c r="R128">
        <f>IF(Q128="","",IF(Q128&gt;=20,"A - Go first",IF(Q128&gt;=5,"B - Next","C - Later")))</f>
        <v/>
      </c>
      <c r="S128" t="inlineStr">
        <is>
          <t>To do</t>
        </is>
      </c>
      <c r="T128" t="inlineStr"/>
    </row>
    <row r="129">
      <c r="A129" t="inlineStr">
        <is>
          <t>buy raw rice online</t>
        </is>
      </c>
      <c r="B129" t="inlineStr">
        <is>
          <t>Phase 2 - B2C (later)</t>
        </is>
      </c>
      <c r="C129" t="inlineStr">
        <is>
          <t>Consumer / household</t>
        </is>
      </c>
      <c r="D129" t="inlineStr">
        <is>
          <t>Shop (B2C)</t>
        </is>
      </c>
      <c r="E129" t="inlineStr">
        <is>
          <t>Secondary (long-tail)</t>
        </is>
      </c>
      <c r="F129" t="inlineStr">
        <is>
          <t>H3 / body paragraph / table row / image alt</t>
        </is>
      </c>
      <c r="G129" t="inlineStr">
        <is>
          <t>Transactional</t>
        </is>
      </c>
      <c r="H129" t="inlineStr">
        <is>
          <t>Indian staple</t>
        </is>
      </c>
      <c r="I129" t="inlineStr">
        <is>
          <t>Transactional</t>
        </is>
      </c>
      <c r="J129" t="inlineStr">
        <is>
          <t>BOFU</t>
        </is>
      </c>
      <c r="K129" t="inlineStr">
        <is>
          <t>UAE (generic)</t>
        </is>
      </c>
      <c r="L129" t="inlineStr">
        <is>
          <t>Category</t>
        </is>
      </c>
      <c r="M129">
        <f>IFERROR(VLOOKUP($A129,'Semrush Import'!$A:$D,2,FALSE),"")</f>
        <v/>
      </c>
      <c r="N129">
        <f>IFERROR(VLOOKUP($A129,'Semrush Import'!$A:$D,3,FALSE),"")</f>
        <v/>
      </c>
      <c r="O129">
        <f>IFERROR(VLOOKUP($A129,'Semrush Import'!$A:$D,4,FALSE),"")</f>
        <v/>
      </c>
      <c r="P129">
        <f>IFERROR(VLOOKUP($A129,'KP Import'!$A:$B,2,FALSE),"")</f>
        <v/>
      </c>
      <c r="Q129">
        <f>IF(M129="","",ROUND(M129/(N129+10),1))</f>
        <v/>
      </c>
      <c r="R129">
        <f>IF(Q129="","",IF(Q129&gt;=20,"A - Go first",IF(Q129&gt;=5,"B - Next","C - Later")))</f>
        <v/>
      </c>
      <c r="S129" t="inlineStr">
        <is>
          <t>To do</t>
        </is>
      </c>
      <c r="T129" t="inlineStr"/>
    </row>
    <row r="130">
      <c r="A130" t="inlineStr">
        <is>
          <t>raw rice price in uae</t>
        </is>
      </c>
      <c r="B130" t="inlineStr">
        <is>
          <t>Phase 1 - B2B now</t>
        </is>
      </c>
      <c r="C130" t="inlineStr">
        <is>
          <t>Wholesalers / bulk buyers</t>
        </is>
      </c>
      <c r="D130" t="inlineStr">
        <is>
          <t>Non-Basmati Rice</t>
        </is>
      </c>
      <c r="E130" t="inlineStr">
        <is>
          <t>Secondary (long-tail)</t>
        </is>
      </c>
      <c r="F130" t="inlineStr">
        <is>
          <t>H3 / body paragraph / table row / image alt</t>
        </is>
      </c>
      <c r="G130" t="inlineStr">
        <is>
          <t>Price</t>
        </is>
      </c>
      <c r="H130" t="inlineStr">
        <is>
          <t>Indian staple</t>
        </is>
      </c>
      <c r="I130" t="inlineStr">
        <is>
          <t>Commercial/Transactional</t>
        </is>
      </c>
      <c r="J130" t="inlineStr">
        <is>
          <t>MOFU</t>
        </is>
      </c>
      <c r="K130" t="inlineStr">
        <is>
          <t>UAE</t>
        </is>
      </c>
      <c r="L130" t="inlineStr">
        <is>
          <t>Category</t>
        </is>
      </c>
      <c r="M130">
        <f>IFERROR(VLOOKUP($A130,'Semrush Import'!$A:$D,2,FALSE),"")</f>
        <v/>
      </c>
      <c r="N130">
        <f>IFERROR(VLOOKUP($A130,'Semrush Import'!$A:$D,3,FALSE),"")</f>
        <v/>
      </c>
      <c r="O130">
        <f>IFERROR(VLOOKUP($A130,'Semrush Import'!$A:$D,4,FALSE),"")</f>
        <v/>
      </c>
      <c r="P130">
        <f>IFERROR(VLOOKUP($A130,'KP Import'!$A:$B,2,FALSE),"")</f>
        <v/>
      </c>
      <c r="Q130">
        <f>IF(M130="","",ROUND(M130/(N130+10),1))</f>
        <v/>
      </c>
      <c r="R130">
        <f>IF(Q130="","",IF(Q130&gt;=20,"A - Go first",IF(Q130&gt;=5,"B - Next","C - Later")))</f>
        <v/>
      </c>
      <c r="S130" t="inlineStr">
        <is>
          <t>To do</t>
        </is>
      </c>
      <c r="T130" t="inlineStr"/>
    </row>
    <row r="131">
      <c r="A131" t="inlineStr">
        <is>
          <t>raw rice price in dubai</t>
        </is>
      </c>
      <c r="B131" t="inlineStr">
        <is>
          <t>Phase 1 - B2B now</t>
        </is>
      </c>
      <c r="C131" t="inlineStr">
        <is>
          <t>Wholesalers / bulk buyers</t>
        </is>
      </c>
      <c r="D131" t="inlineStr">
        <is>
          <t>Non-Basmati Rice</t>
        </is>
      </c>
      <c r="E131" t="inlineStr">
        <is>
          <t>Secondary (long-tail)</t>
        </is>
      </c>
      <c r="F131" t="inlineStr">
        <is>
          <t>H3 / body paragraph / table row / image alt</t>
        </is>
      </c>
      <c r="G131" t="inlineStr">
        <is>
          <t>Price</t>
        </is>
      </c>
      <c r="H131" t="inlineStr">
        <is>
          <t>Indian staple</t>
        </is>
      </c>
      <c r="I131" t="inlineStr">
        <is>
          <t>Commercial/Transactional</t>
        </is>
      </c>
      <c r="J131" t="inlineStr">
        <is>
          <t>MOFU</t>
        </is>
      </c>
      <c r="K131" t="inlineStr">
        <is>
          <t>Dubai</t>
        </is>
      </c>
      <c r="L131" t="inlineStr">
        <is>
          <t>Category</t>
        </is>
      </c>
      <c r="M131">
        <f>IFERROR(VLOOKUP($A131,'Semrush Import'!$A:$D,2,FALSE),"")</f>
        <v/>
      </c>
      <c r="N131">
        <f>IFERROR(VLOOKUP($A131,'Semrush Import'!$A:$D,3,FALSE),"")</f>
        <v/>
      </c>
      <c r="O131">
        <f>IFERROR(VLOOKUP($A131,'Semrush Import'!$A:$D,4,FALSE),"")</f>
        <v/>
      </c>
      <c r="P131">
        <f>IFERROR(VLOOKUP($A131,'KP Import'!$A:$B,2,FALSE),"")</f>
        <v/>
      </c>
      <c r="Q131">
        <f>IF(M131="","",ROUND(M131/(N131+10),1))</f>
        <v/>
      </c>
      <c r="R131">
        <f>IF(Q131="","",IF(Q131&gt;=20,"A - Go first",IF(Q131&gt;=5,"B - Next","C - Later")))</f>
        <v/>
      </c>
      <c r="S131" t="inlineStr">
        <is>
          <t>To do</t>
        </is>
      </c>
      <c r="T131" t="inlineStr"/>
    </row>
    <row r="132">
      <c r="A132" t="inlineStr">
        <is>
          <t>raw rice online dubai</t>
        </is>
      </c>
      <c r="B132" t="inlineStr">
        <is>
          <t>Phase 2 - B2C (later)</t>
        </is>
      </c>
      <c r="C132" t="inlineStr">
        <is>
          <t>Consumer / household</t>
        </is>
      </c>
      <c r="D132" t="inlineStr">
        <is>
          <t>Shop (B2C)</t>
        </is>
      </c>
      <c r="E132" t="inlineStr">
        <is>
          <t>Secondary (long-tail)</t>
        </is>
      </c>
      <c r="F132" t="inlineStr">
        <is>
          <t>H3 / body paragraph / table row / image alt</t>
        </is>
      </c>
      <c r="G132" t="inlineStr">
        <is>
          <t>Transactional</t>
        </is>
      </c>
      <c r="H132" t="inlineStr">
        <is>
          <t>Indian staple</t>
        </is>
      </c>
      <c r="I132" t="inlineStr">
        <is>
          <t>Transactional</t>
        </is>
      </c>
      <c r="J132" t="inlineStr">
        <is>
          <t>BOFU</t>
        </is>
      </c>
      <c r="K132" t="inlineStr">
        <is>
          <t>Dubai</t>
        </is>
      </c>
      <c r="L132" t="inlineStr">
        <is>
          <t>Category</t>
        </is>
      </c>
      <c r="M132">
        <f>IFERROR(VLOOKUP($A132,'Semrush Import'!$A:$D,2,FALSE),"")</f>
        <v/>
      </c>
      <c r="N132">
        <f>IFERROR(VLOOKUP($A132,'Semrush Import'!$A:$D,3,FALSE),"")</f>
        <v/>
      </c>
      <c r="O132">
        <f>IFERROR(VLOOKUP($A132,'Semrush Import'!$A:$D,4,FALSE),"")</f>
        <v/>
      </c>
      <c r="P132">
        <f>IFERROR(VLOOKUP($A132,'KP Import'!$A:$B,2,FALSE),"")</f>
        <v/>
      </c>
      <c r="Q132">
        <f>IF(M132="","",ROUND(M132/(N132+10),1))</f>
        <v/>
      </c>
      <c r="R132">
        <f>IF(Q132="","",IF(Q132&gt;=20,"A - Go first",IF(Q132&gt;=5,"B - Next","C - Later")))</f>
        <v/>
      </c>
      <c r="S132" t="inlineStr">
        <is>
          <t>To do</t>
        </is>
      </c>
      <c r="T132" t="inlineStr"/>
    </row>
    <row r="133">
      <c r="A133" t="inlineStr">
        <is>
          <t>raw rice wholesale dubai</t>
        </is>
      </c>
      <c r="B133" t="inlineStr">
        <is>
          <t>Phase 1 - B2B now</t>
        </is>
      </c>
      <c r="C133" t="inlineStr">
        <is>
          <t>Wholesalers / bulk buyers</t>
        </is>
      </c>
      <c r="D133" t="inlineStr">
        <is>
          <t>Non-Basmati Rice</t>
        </is>
      </c>
      <c r="E133" t="inlineStr">
        <is>
          <t>Secondary (long-tail)</t>
        </is>
      </c>
      <c r="F133" t="inlineStr">
        <is>
          <t>H3 / body paragraph / table row / image alt</t>
        </is>
      </c>
      <c r="G133" t="inlineStr">
        <is>
          <t>Wholesale/B2B</t>
        </is>
      </c>
      <c r="H133" t="inlineStr">
        <is>
          <t>Indian staple</t>
        </is>
      </c>
      <c r="I133" t="inlineStr">
        <is>
          <t>Transactional (B2B)</t>
        </is>
      </c>
      <c r="J133" t="inlineStr">
        <is>
          <t>BOFU</t>
        </is>
      </c>
      <c r="K133" t="inlineStr">
        <is>
          <t>Dubai</t>
        </is>
      </c>
      <c r="L133" t="inlineStr">
        <is>
          <t>Landing</t>
        </is>
      </c>
      <c r="M133">
        <f>IFERROR(VLOOKUP($A133,'Semrush Import'!$A:$D,2,FALSE),"")</f>
        <v/>
      </c>
      <c r="N133">
        <f>IFERROR(VLOOKUP($A133,'Semrush Import'!$A:$D,3,FALSE),"")</f>
        <v/>
      </c>
      <c r="O133">
        <f>IFERROR(VLOOKUP($A133,'Semrush Import'!$A:$D,4,FALSE),"")</f>
        <v/>
      </c>
      <c r="P133">
        <f>IFERROR(VLOOKUP($A133,'KP Import'!$A:$B,2,FALSE),"")</f>
        <v/>
      </c>
      <c r="Q133">
        <f>IF(M133="","",ROUND(M133/(N133+10),1))</f>
        <v/>
      </c>
      <c r="R133">
        <f>IF(Q133="","",IF(Q133&gt;=20,"A - Go first",IF(Q133&gt;=5,"B - Next","C - Later")))</f>
        <v/>
      </c>
      <c r="S133" t="inlineStr">
        <is>
          <t>To do</t>
        </is>
      </c>
      <c r="T133" t="inlineStr"/>
    </row>
    <row r="134">
      <c r="A134" t="inlineStr">
        <is>
          <t>raw rice supplier uae</t>
        </is>
      </c>
      <c r="B134" t="inlineStr">
        <is>
          <t>Phase 1 - B2B now</t>
        </is>
      </c>
      <c r="C134" t="inlineStr">
        <is>
          <t>Wholesalers / bulk buyers</t>
        </is>
      </c>
      <c r="D134" t="inlineStr">
        <is>
          <t>Non-Basmati Rice</t>
        </is>
      </c>
      <c r="E134" t="inlineStr">
        <is>
          <t>Secondary (long-tail)</t>
        </is>
      </c>
      <c r="F134" t="inlineStr">
        <is>
          <t>H3 / body paragraph / table row / image alt</t>
        </is>
      </c>
      <c r="G134" t="inlineStr">
        <is>
          <t>Wholesale/B2B</t>
        </is>
      </c>
      <c r="H134" t="inlineStr">
        <is>
          <t>Indian staple</t>
        </is>
      </c>
      <c r="I134" t="inlineStr">
        <is>
          <t>Transactional (B2B)</t>
        </is>
      </c>
      <c r="J134" t="inlineStr">
        <is>
          <t>BOFU</t>
        </is>
      </c>
      <c r="K134" t="inlineStr">
        <is>
          <t>UAE</t>
        </is>
      </c>
      <c r="L134" t="inlineStr">
        <is>
          <t>Landing</t>
        </is>
      </c>
      <c r="M134">
        <f>IFERROR(VLOOKUP($A134,'Semrush Import'!$A:$D,2,FALSE),"")</f>
        <v/>
      </c>
      <c r="N134">
        <f>IFERROR(VLOOKUP($A134,'Semrush Import'!$A:$D,3,FALSE),"")</f>
        <v/>
      </c>
      <c r="O134">
        <f>IFERROR(VLOOKUP($A134,'Semrush Import'!$A:$D,4,FALSE),"")</f>
        <v/>
      </c>
      <c r="P134">
        <f>IFERROR(VLOOKUP($A134,'KP Import'!$A:$B,2,FALSE),"")</f>
        <v/>
      </c>
      <c r="Q134">
        <f>IF(M134="","",ROUND(M134/(N134+10),1))</f>
        <v/>
      </c>
      <c r="R134">
        <f>IF(Q134="","",IF(Q134&gt;=20,"A - Go first",IF(Q134&gt;=5,"B - Next","C - Later")))</f>
        <v/>
      </c>
      <c r="S134" t="inlineStr">
        <is>
          <t>To do</t>
        </is>
      </c>
      <c r="T134" t="inlineStr"/>
    </row>
    <row r="135">
      <c r="A135" t="inlineStr">
        <is>
          <t>parboiled rice</t>
        </is>
      </c>
      <c r="B135" t="inlineStr">
        <is>
          <t>Phase 1 - B2B now</t>
        </is>
      </c>
      <c r="C135" t="inlineStr">
        <is>
          <t>Wholesalers / bulk buyers</t>
        </is>
      </c>
      <c r="D135" t="inlineStr">
        <is>
          <t>Non-Basmati Rice</t>
        </is>
      </c>
      <c r="E135" t="inlineStr">
        <is>
          <t>Secondary (short)</t>
        </is>
      </c>
      <c r="F135" t="inlineStr">
        <is>
          <t>H2 heading + 1st paragraph under it</t>
        </is>
      </c>
      <c r="G135" t="inlineStr">
        <is>
          <t>Core product</t>
        </is>
      </c>
      <c r="H135" t="inlineStr">
        <is>
          <t>Indian staple</t>
        </is>
      </c>
      <c r="I135" t="inlineStr">
        <is>
          <t>Informational/Commercial</t>
        </is>
      </c>
      <c r="J135" t="inlineStr">
        <is>
          <t>TOFU</t>
        </is>
      </c>
      <c r="K135" t="inlineStr">
        <is>
          <t>UAE (generic)</t>
        </is>
      </c>
      <c r="L135" t="inlineStr">
        <is>
          <t>Category</t>
        </is>
      </c>
      <c r="M135">
        <f>IFERROR(VLOOKUP($A135,'Semrush Import'!$A:$D,2,FALSE),"")</f>
        <v/>
      </c>
      <c r="N135">
        <f>IFERROR(VLOOKUP($A135,'Semrush Import'!$A:$D,3,FALSE),"")</f>
        <v/>
      </c>
      <c r="O135">
        <f>IFERROR(VLOOKUP($A135,'Semrush Import'!$A:$D,4,FALSE),"")</f>
        <v/>
      </c>
      <c r="P135">
        <f>IFERROR(VLOOKUP($A135,'KP Import'!$A:$B,2,FALSE),"")</f>
        <v/>
      </c>
      <c r="Q135">
        <f>IF(M135="","",ROUND(M135/(N135+10),1))</f>
        <v/>
      </c>
      <c r="R135">
        <f>IF(Q135="","",IF(Q135&gt;=20,"A - Go first",IF(Q135&gt;=5,"B - Next","C - Later")))</f>
        <v/>
      </c>
      <c r="S135" t="inlineStr">
        <is>
          <t>To do</t>
        </is>
      </c>
      <c r="T135" t="inlineStr"/>
    </row>
    <row r="136">
      <c r="A136" t="inlineStr">
        <is>
          <t>buy parboiled rice online</t>
        </is>
      </c>
      <c r="B136" t="inlineStr">
        <is>
          <t>Phase 2 - B2C (later)</t>
        </is>
      </c>
      <c r="C136" t="inlineStr">
        <is>
          <t>Consumer / household</t>
        </is>
      </c>
      <c r="D136" t="inlineStr">
        <is>
          <t>Shop (B2C)</t>
        </is>
      </c>
      <c r="E136" t="inlineStr">
        <is>
          <t>Secondary (long-tail)</t>
        </is>
      </c>
      <c r="F136" t="inlineStr">
        <is>
          <t>H3 / body paragraph / table row / image alt</t>
        </is>
      </c>
      <c r="G136" t="inlineStr">
        <is>
          <t>Transactional</t>
        </is>
      </c>
      <c r="H136" t="inlineStr">
        <is>
          <t>Indian staple</t>
        </is>
      </c>
      <c r="I136" t="inlineStr">
        <is>
          <t>Transactional</t>
        </is>
      </c>
      <c r="J136" t="inlineStr">
        <is>
          <t>BOFU</t>
        </is>
      </c>
      <c r="K136" t="inlineStr">
        <is>
          <t>UAE (generic)</t>
        </is>
      </c>
      <c r="L136" t="inlineStr">
        <is>
          <t>Category</t>
        </is>
      </c>
      <c r="M136">
        <f>IFERROR(VLOOKUP($A136,'Semrush Import'!$A:$D,2,FALSE),"")</f>
        <v/>
      </c>
      <c r="N136">
        <f>IFERROR(VLOOKUP($A136,'Semrush Import'!$A:$D,3,FALSE),"")</f>
        <v/>
      </c>
      <c r="O136">
        <f>IFERROR(VLOOKUP($A136,'Semrush Import'!$A:$D,4,FALSE),"")</f>
        <v/>
      </c>
      <c r="P136">
        <f>IFERROR(VLOOKUP($A136,'KP Import'!$A:$B,2,FALSE),"")</f>
        <v/>
      </c>
      <c r="Q136">
        <f>IF(M136="","",ROUND(M136/(N136+10),1))</f>
        <v/>
      </c>
      <c r="R136">
        <f>IF(Q136="","",IF(Q136&gt;=20,"A - Go first",IF(Q136&gt;=5,"B - Next","C - Later")))</f>
        <v/>
      </c>
      <c r="S136" t="inlineStr">
        <is>
          <t>To do</t>
        </is>
      </c>
      <c r="T136" t="inlineStr"/>
    </row>
    <row r="137">
      <c r="A137" t="inlineStr">
        <is>
          <t>parboiled rice price in uae</t>
        </is>
      </c>
      <c r="B137" t="inlineStr">
        <is>
          <t>Phase 1 - B2B now</t>
        </is>
      </c>
      <c r="C137" t="inlineStr">
        <is>
          <t>Wholesalers / bulk buyers</t>
        </is>
      </c>
      <c r="D137" t="inlineStr">
        <is>
          <t>Non-Basmati Rice</t>
        </is>
      </c>
      <c r="E137" t="inlineStr">
        <is>
          <t>Secondary (long-tail)</t>
        </is>
      </c>
      <c r="F137" t="inlineStr">
        <is>
          <t>H3 / body paragraph / table row / image alt</t>
        </is>
      </c>
      <c r="G137" t="inlineStr">
        <is>
          <t>Price</t>
        </is>
      </c>
      <c r="H137" t="inlineStr">
        <is>
          <t>Indian staple</t>
        </is>
      </c>
      <c r="I137" t="inlineStr">
        <is>
          <t>Commercial/Transactional</t>
        </is>
      </c>
      <c r="J137" t="inlineStr">
        <is>
          <t>MOFU</t>
        </is>
      </c>
      <c r="K137" t="inlineStr">
        <is>
          <t>UAE</t>
        </is>
      </c>
      <c r="L137" t="inlineStr">
        <is>
          <t>Category</t>
        </is>
      </c>
      <c r="M137">
        <f>IFERROR(VLOOKUP($A137,'Semrush Import'!$A:$D,2,FALSE),"")</f>
        <v/>
      </c>
      <c r="N137">
        <f>IFERROR(VLOOKUP($A137,'Semrush Import'!$A:$D,3,FALSE),"")</f>
        <v/>
      </c>
      <c r="O137">
        <f>IFERROR(VLOOKUP($A137,'Semrush Import'!$A:$D,4,FALSE),"")</f>
        <v/>
      </c>
      <c r="P137">
        <f>IFERROR(VLOOKUP($A137,'KP Import'!$A:$B,2,FALSE),"")</f>
        <v/>
      </c>
      <c r="Q137">
        <f>IF(M137="","",ROUND(M137/(N137+10),1))</f>
        <v/>
      </c>
      <c r="R137">
        <f>IF(Q137="","",IF(Q137&gt;=20,"A - Go first",IF(Q137&gt;=5,"B - Next","C - Later")))</f>
        <v/>
      </c>
      <c r="S137" t="inlineStr">
        <is>
          <t>To do</t>
        </is>
      </c>
      <c r="T137" t="inlineStr"/>
    </row>
    <row r="138">
      <c r="A138" t="inlineStr">
        <is>
          <t>parboiled rice price in dubai</t>
        </is>
      </c>
      <c r="B138" t="inlineStr">
        <is>
          <t>Phase 1 - B2B now</t>
        </is>
      </c>
      <c r="C138" t="inlineStr">
        <is>
          <t>Wholesalers / bulk buyers</t>
        </is>
      </c>
      <c r="D138" t="inlineStr">
        <is>
          <t>Non-Basmati Rice</t>
        </is>
      </c>
      <c r="E138" t="inlineStr">
        <is>
          <t>Secondary (long-tail)</t>
        </is>
      </c>
      <c r="F138" t="inlineStr">
        <is>
          <t>H3 / body paragraph / table row / image alt</t>
        </is>
      </c>
      <c r="G138" t="inlineStr">
        <is>
          <t>Price</t>
        </is>
      </c>
      <c r="H138" t="inlineStr">
        <is>
          <t>Indian staple</t>
        </is>
      </c>
      <c r="I138" t="inlineStr">
        <is>
          <t>Commercial/Transactional</t>
        </is>
      </c>
      <c r="J138" t="inlineStr">
        <is>
          <t>MOFU</t>
        </is>
      </c>
      <c r="K138" t="inlineStr">
        <is>
          <t>Dubai</t>
        </is>
      </c>
      <c r="L138" t="inlineStr">
        <is>
          <t>Category</t>
        </is>
      </c>
      <c r="M138">
        <f>IFERROR(VLOOKUP($A138,'Semrush Import'!$A:$D,2,FALSE),"")</f>
        <v/>
      </c>
      <c r="N138">
        <f>IFERROR(VLOOKUP($A138,'Semrush Import'!$A:$D,3,FALSE),"")</f>
        <v/>
      </c>
      <c r="O138">
        <f>IFERROR(VLOOKUP($A138,'Semrush Import'!$A:$D,4,FALSE),"")</f>
        <v/>
      </c>
      <c r="P138">
        <f>IFERROR(VLOOKUP($A138,'KP Import'!$A:$B,2,FALSE),"")</f>
        <v/>
      </c>
      <c r="Q138">
        <f>IF(M138="","",ROUND(M138/(N138+10),1))</f>
        <v/>
      </c>
      <c r="R138">
        <f>IF(Q138="","",IF(Q138&gt;=20,"A - Go first",IF(Q138&gt;=5,"B - Next","C - Later")))</f>
        <v/>
      </c>
      <c r="S138" t="inlineStr">
        <is>
          <t>To do</t>
        </is>
      </c>
      <c r="T138" t="inlineStr"/>
    </row>
    <row r="139">
      <c r="A139" t="inlineStr">
        <is>
          <t>parboiled rice online dubai</t>
        </is>
      </c>
      <c r="B139" t="inlineStr">
        <is>
          <t>Phase 2 - B2C (later)</t>
        </is>
      </c>
      <c r="C139" t="inlineStr">
        <is>
          <t>Consumer / household</t>
        </is>
      </c>
      <c r="D139" t="inlineStr">
        <is>
          <t>Shop (B2C)</t>
        </is>
      </c>
      <c r="E139" t="inlineStr">
        <is>
          <t>Secondary (long-tail)</t>
        </is>
      </c>
      <c r="F139" t="inlineStr">
        <is>
          <t>H3 / body paragraph / table row / image alt</t>
        </is>
      </c>
      <c r="G139" t="inlineStr">
        <is>
          <t>Transactional</t>
        </is>
      </c>
      <c r="H139" t="inlineStr">
        <is>
          <t>Indian staple</t>
        </is>
      </c>
      <c r="I139" t="inlineStr">
        <is>
          <t>Transactional</t>
        </is>
      </c>
      <c r="J139" t="inlineStr">
        <is>
          <t>BOFU</t>
        </is>
      </c>
      <c r="K139" t="inlineStr">
        <is>
          <t>Dubai</t>
        </is>
      </c>
      <c r="L139" t="inlineStr">
        <is>
          <t>Category</t>
        </is>
      </c>
      <c r="M139">
        <f>IFERROR(VLOOKUP($A139,'Semrush Import'!$A:$D,2,FALSE),"")</f>
        <v/>
      </c>
      <c r="N139">
        <f>IFERROR(VLOOKUP($A139,'Semrush Import'!$A:$D,3,FALSE),"")</f>
        <v/>
      </c>
      <c r="O139">
        <f>IFERROR(VLOOKUP($A139,'Semrush Import'!$A:$D,4,FALSE),"")</f>
        <v/>
      </c>
      <c r="P139">
        <f>IFERROR(VLOOKUP($A139,'KP Import'!$A:$B,2,FALSE),"")</f>
        <v/>
      </c>
      <c r="Q139">
        <f>IF(M139="","",ROUND(M139/(N139+10),1))</f>
        <v/>
      </c>
      <c r="R139">
        <f>IF(Q139="","",IF(Q139&gt;=20,"A - Go first",IF(Q139&gt;=5,"B - Next","C - Later")))</f>
        <v/>
      </c>
      <c r="S139" t="inlineStr">
        <is>
          <t>To do</t>
        </is>
      </c>
      <c r="T139" t="inlineStr"/>
    </row>
    <row r="140">
      <c r="A140" t="inlineStr">
        <is>
          <t>parboiled rice wholesale dubai</t>
        </is>
      </c>
      <c r="B140" t="inlineStr">
        <is>
          <t>Phase 1 - B2B now</t>
        </is>
      </c>
      <c r="C140" t="inlineStr">
        <is>
          <t>Wholesalers / bulk buyers</t>
        </is>
      </c>
      <c r="D140" t="inlineStr">
        <is>
          <t>Non-Basmati Rice</t>
        </is>
      </c>
      <c r="E140" t="inlineStr">
        <is>
          <t>Secondary (long-tail)</t>
        </is>
      </c>
      <c r="F140" t="inlineStr">
        <is>
          <t>H3 / body paragraph / table row / image alt</t>
        </is>
      </c>
      <c r="G140" t="inlineStr">
        <is>
          <t>Wholesale/B2B</t>
        </is>
      </c>
      <c r="H140" t="inlineStr">
        <is>
          <t>Indian staple</t>
        </is>
      </c>
      <c r="I140" t="inlineStr">
        <is>
          <t>Transactional (B2B)</t>
        </is>
      </c>
      <c r="J140" t="inlineStr">
        <is>
          <t>BOFU</t>
        </is>
      </c>
      <c r="K140" t="inlineStr">
        <is>
          <t>Dubai</t>
        </is>
      </c>
      <c r="L140" t="inlineStr">
        <is>
          <t>Landing</t>
        </is>
      </c>
      <c r="M140">
        <f>IFERROR(VLOOKUP($A140,'Semrush Import'!$A:$D,2,FALSE),"")</f>
        <v/>
      </c>
      <c r="N140">
        <f>IFERROR(VLOOKUP($A140,'Semrush Import'!$A:$D,3,FALSE),"")</f>
        <v/>
      </c>
      <c r="O140">
        <f>IFERROR(VLOOKUP($A140,'Semrush Import'!$A:$D,4,FALSE),"")</f>
        <v/>
      </c>
      <c r="P140">
        <f>IFERROR(VLOOKUP($A140,'KP Import'!$A:$B,2,FALSE),"")</f>
        <v/>
      </c>
      <c r="Q140">
        <f>IF(M140="","",ROUND(M140/(N140+10),1))</f>
        <v/>
      </c>
      <c r="R140">
        <f>IF(Q140="","",IF(Q140&gt;=20,"A - Go first",IF(Q140&gt;=5,"B - Next","C - Later")))</f>
        <v/>
      </c>
      <c r="S140" t="inlineStr">
        <is>
          <t>To do</t>
        </is>
      </c>
      <c r="T140" t="inlineStr"/>
    </row>
    <row r="141">
      <c r="A141" t="inlineStr">
        <is>
          <t>parboiled rice supplier uae</t>
        </is>
      </c>
      <c r="B141" t="inlineStr">
        <is>
          <t>Phase 1 - B2B now</t>
        </is>
      </c>
      <c r="C141" t="inlineStr">
        <is>
          <t>Wholesalers / bulk buyers</t>
        </is>
      </c>
      <c r="D141" t="inlineStr">
        <is>
          <t>Non-Basmati Rice</t>
        </is>
      </c>
      <c r="E141" t="inlineStr">
        <is>
          <t>PRIMARY</t>
        </is>
      </c>
      <c r="F141" t="inlineStr">
        <is>
          <t>URL slug + SEO title + H1 + meta description + first 100 words</t>
        </is>
      </c>
      <c r="G141" t="inlineStr">
        <is>
          <t>Wholesale/B2B</t>
        </is>
      </c>
      <c r="H141" t="inlineStr">
        <is>
          <t>Indian staple</t>
        </is>
      </c>
      <c r="I141" t="inlineStr">
        <is>
          <t>Transactional (B2B)</t>
        </is>
      </c>
      <c r="J141" t="inlineStr">
        <is>
          <t>BOFU</t>
        </is>
      </c>
      <c r="K141" t="inlineStr">
        <is>
          <t>UAE</t>
        </is>
      </c>
      <c r="L141" t="inlineStr">
        <is>
          <t>Landing</t>
        </is>
      </c>
      <c r="M141">
        <f>IFERROR(VLOOKUP($A141,'Semrush Import'!$A:$D,2,FALSE),"")</f>
        <v/>
      </c>
      <c r="N141">
        <f>IFERROR(VLOOKUP($A141,'Semrush Import'!$A:$D,3,FALSE),"")</f>
        <v/>
      </c>
      <c r="O141">
        <f>IFERROR(VLOOKUP($A141,'Semrush Import'!$A:$D,4,FALSE),"")</f>
        <v/>
      </c>
      <c r="P141">
        <f>IFERROR(VLOOKUP($A141,'KP Import'!$A:$B,2,FALSE),"")</f>
        <v/>
      </c>
      <c r="Q141">
        <f>IF(M141="","",ROUND(M141/(N141+10),1))</f>
        <v/>
      </c>
      <c r="R141">
        <f>IF(Q141="","",IF(Q141&gt;=20,"A - Go first",IF(Q141&gt;=5,"B - Next","C - Later")))</f>
        <v/>
      </c>
      <c r="S141" t="inlineStr">
        <is>
          <t>To do</t>
        </is>
      </c>
      <c r="T141" t="inlineStr"/>
    </row>
    <row r="142">
      <c r="A142" t="inlineStr">
        <is>
          <t>long grain white rice</t>
        </is>
      </c>
      <c r="B142" t="inlineStr">
        <is>
          <t>Phase 1 - B2B now</t>
        </is>
      </c>
      <c r="C142" t="inlineStr">
        <is>
          <t>Wholesalers / bulk buyers</t>
        </is>
      </c>
      <c r="D142" t="inlineStr">
        <is>
          <t>Non-Basmati Rice</t>
        </is>
      </c>
      <c r="E142" t="inlineStr">
        <is>
          <t>Secondary (long-tail)</t>
        </is>
      </c>
      <c r="F142" t="inlineStr">
        <is>
          <t>H3 / body paragraph / table row / image alt</t>
        </is>
      </c>
      <c r="G142" t="inlineStr">
        <is>
          <t>Core product</t>
        </is>
      </c>
      <c r="H142" t="inlineStr">
        <is>
          <t>Non-Basmati</t>
        </is>
      </c>
      <c r="I142" t="inlineStr">
        <is>
          <t>Informational/Commercial</t>
        </is>
      </c>
      <c r="J142" t="inlineStr">
        <is>
          <t>TOFU</t>
        </is>
      </c>
      <c r="K142" t="inlineStr">
        <is>
          <t>UAE (generic)</t>
        </is>
      </c>
      <c r="L142" t="inlineStr">
        <is>
          <t>Category</t>
        </is>
      </c>
      <c r="M142">
        <f>IFERROR(VLOOKUP($A142,'Semrush Import'!$A:$D,2,FALSE),"")</f>
        <v/>
      </c>
      <c r="N142">
        <f>IFERROR(VLOOKUP($A142,'Semrush Import'!$A:$D,3,FALSE),"")</f>
        <v/>
      </c>
      <c r="O142">
        <f>IFERROR(VLOOKUP($A142,'Semrush Import'!$A:$D,4,FALSE),"")</f>
        <v/>
      </c>
      <c r="P142">
        <f>IFERROR(VLOOKUP($A142,'KP Import'!$A:$B,2,FALSE),"")</f>
        <v/>
      </c>
      <c r="Q142">
        <f>IF(M142="","",ROUND(M142/(N142+10),1))</f>
        <v/>
      </c>
      <c r="R142">
        <f>IF(Q142="","",IF(Q142&gt;=20,"A - Go first",IF(Q142&gt;=5,"B - Next","C - Later")))</f>
        <v/>
      </c>
      <c r="S142" t="inlineStr">
        <is>
          <t>To do</t>
        </is>
      </c>
      <c r="T142" t="inlineStr"/>
    </row>
    <row r="143">
      <c r="A143" t="inlineStr">
        <is>
          <t>buy long grain white rice online</t>
        </is>
      </c>
      <c r="B143" t="inlineStr">
        <is>
          <t>Phase 2 - B2C (later)</t>
        </is>
      </c>
      <c r="C143" t="inlineStr">
        <is>
          <t>Consumer / household</t>
        </is>
      </c>
      <c r="D143" t="inlineStr">
        <is>
          <t>Shop (B2C)</t>
        </is>
      </c>
      <c r="E143" t="inlineStr">
        <is>
          <t>Secondary (long-tail)</t>
        </is>
      </c>
      <c r="F143" t="inlineStr">
        <is>
          <t>H3 / body paragraph / table row / image alt</t>
        </is>
      </c>
      <c r="G143" t="inlineStr">
        <is>
          <t>Transactional</t>
        </is>
      </c>
      <c r="H143" t="inlineStr">
        <is>
          <t>Non-Basmati</t>
        </is>
      </c>
      <c r="I143" t="inlineStr">
        <is>
          <t>Transactional</t>
        </is>
      </c>
      <c r="J143" t="inlineStr">
        <is>
          <t>BOFU</t>
        </is>
      </c>
      <c r="K143" t="inlineStr">
        <is>
          <t>UAE (generic)</t>
        </is>
      </c>
      <c r="L143" t="inlineStr">
        <is>
          <t>Category</t>
        </is>
      </c>
      <c r="M143">
        <f>IFERROR(VLOOKUP($A143,'Semrush Import'!$A:$D,2,FALSE),"")</f>
        <v/>
      </c>
      <c r="N143">
        <f>IFERROR(VLOOKUP($A143,'Semrush Import'!$A:$D,3,FALSE),"")</f>
        <v/>
      </c>
      <c r="O143">
        <f>IFERROR(VLOOKUP($A143,'Semrush Import'!$A:$D,4,FALSE),"")</f>
        <v/>
      </c>
      <c r="P143">
        <f>IFERROR(VLOOKUP($A143,'KP Import'!$A:$B,2,FALSE),"")</f>
        <v/>
      </c>
      <c r="Q143">
        <f>IF(M143="","",ROUND(M143/(N143+10),1))</f>
        <v/>
      </c>
      <c r="R143">
        <f>IF(Q143="","",IF(Q143&gt;=20,"A - Go first",IF(Q143&gt;=5,"B - Next","C - Later")))</f>
        <v/>
      </c>
      <c r="S143" t="inlineStr">
        <is>
          <t>To do</t>
        </is>
      </c>
      <c r="T143" t="inlineStr"/>
    </row>
    <row r="144">
      <c r="A144" t="inlineStr">
        <is>
          <t>long grain white rice price in uae</t>
        </is>
      </c>
      <c r="B144" t="inlineStr">
        <is>
          <t>Phase 1 - B2B now</t>
        </is>
      </c>
      <c r="C144" t="inlineStr">
        <is>
          <t>Wholesalers / bulk buyers</t>
        </is>
      </c>
      <c r="D144" t="inlineStr">
        <is>
          <t>Non-Basmati Rice</t>
        </is>
      </c>
      <c r="E144" t="inlineStr">
        <is>
          <t>Secondary (long-tail)</t>
        </is>
      </c>
      <c r="F144" t="inlineStr">
        <is>
          <t>H3 / body paragraph / table row / image alt</t>
        </is>
      </c>
      <c r="G144" t="inlineStr">
        <is>
          <t>Price</t>
        </is>
      </c>
      <c r="H144" t="inlineStr">
        <is>
          <t>Non-Basmati</t>
        </is>
      </c>
      <c r="I144" t="inlineStr">
        <is>
          <t>Commercial/Transactional</t>
        </is>
      </c>
      <c r="J144" t="inlineStr">
        <is>
          <t>MOFU</t>
        </is>
      </c>
      <c r="K144" t="inlineStr">
        <is>
          <t>UAE</t>
        </is>
      </c>
      <c r="L144" t="inlineStr">
        <is>
          <t>Category</t>
        </is>
      </c>
      <c r="M144">
        <f>IFERROR(VLOOKUP($A144,'Semrush Import'!$A:$D,2,FALSE),"")</f>
        <v/>
      </c>
      <c r="N144">
        <f>IFERROR(VLOOKUP($A144,'Semrush Import'!$A:$D,3,FALSE),"")</f>
        <v/>
      </c>
      <c r="O144">
        <f>IFERROR(VLOOKUP($A144,'Semrush Import'!$A:$D,4,FALSE),"")</f>
        <v/>
      </c>
      <c r="P144">
        <f>IFERROR(VLOOKUP($A144,'KP Import'!$A:$B,2,FALSE),"")</f>
        <v/>
      </c>
      <c r="Q144">
        <f>IF(M144="","",ROUND(M144/(N144+10),1))</f>
        <v/>
      </c>
      <c r="R144">
        <f>IF(Q144="","",IF(Q144&gt;=20,"A - Go first",IF(Q144&gt;=5,"B - Next","C - Later")))</f>
        <v/>
      </c>
      <c r="S144" t="inlineStr">
        <is>
          <t>To do</t>
        </is>
      </c>
      <c r="T144" t="inlineStr"/>
    </row>
    <row r="145">
      <c r="A145" t="inlineStr">
        <is>
          <t>long grain white rice price in dubai</t>
        </is>
      </c>
      <c r="B145" t="inlineStr">
        <is>
          <t>Phase 1 - B2B now</t>
        </is>
      </c>
      <c r="C145" t="inlineStr">
        <is>
          <t>Wholesalers / bulk buyers</t>
        </is>
      </c>
      <c r="D145" t="inlineStr">
        <is>
          <t>Non-Basmati Rice</t>
        </is>
      </c>
      <c r="E145" t="inlineStr">
        <is>
          <t>Secondary (long-tail)</t>
        </is>
      </c>
      <c r="F145" t="inlineStr">
        <is>
          <t>H3 / body paragraph / table row / image alt</t>
        </is>
      </c>
      <c r="G145" t="inlineStr">
        <is>
          <t>Price</t>
        </is>
      </c>
      <c r="H145" t="inlineStr">
        <is>
          <t>Non-Basmati</t>
        </is>
      </c>
      <c r="I145" t="inlineStr">
        <is>
          <t>Commercial/Transactional</t>
        </is>
      </c>
      <c r="J145" t="inlineStr">
        <is>
          <t>MOFU</t>
        </is>
      </c>
      <c r="K145" t="inlineStr">
        <is>
          <t>Dubai</t>
        </is>
      </c>
      <c r="L145" t="inlineStr">
        <is>
          <t>Category</t>
        </is>
      </c>
      <c r="M145">
        <f>IFERROR(VLOOKUP($A145,'Semrush Import'!$A:$D,2,FALSE),"")</f>
        <v/>
      </c>
      <c r="N145">
        <f>IFERROR(VLOOKUP($A145,'Semrush Import'!$A:$D,3,FALSE),"")</f>
        <v/>
      </c>
      <c r="O145">
        <f>IFERROR(VLOOKUP($A145,'Semrush Import'!$A:$D,4,FALSE),"")</f>
        <v/>
      </c>
      <c r="P145">
        <f>IFERROR(VLOOKUP($A145,'KP Import'!$A:$B,2,FALSE),"")</f>
        <v/>
      </c>
      <c r="Q145">
        <f>IF(M145="","",ROUND(M145/(N145+10),1))</f>
        <v/>
      </c>
      <c r="R145">
        <f>IF(Q145="","",IF(Q145&gt;=20,"A - Go first",IF(Q145&gt;=5,"B - Next","C - Later")))</f>
        <v/>
      </c>
      <c r="S145" t="inlineStr">
        <is>
          <t>To do</t>
        </is>
      </c>
      <c r="T145" t="inlineStr"/>
    </row>
    <row r="146">
      <c r="A146" t="inlineStr">
        <is>
          <t>long grain white rice online dubai</t>
        </is>
      </c>
      <c r="B146" t="inlineStr">
        <is>
          <t>Phase 2 - B2C (later)</t>
        </is>
      </c>
      <c r="C146" t="inlineStr">
        <is>
          <t>Consumer / household</t>
        </is>
      </c>
      <c r="D146" t="inlineStr">
        <is>
          <t>Shop (B2C)</t>
        </is>
      </c>
      <c r="E146" t="inlineStr">
        <is>
          <t>Secondary (long-tail)</t>
        </is>
      </c>
      <c r="F146" t="inlineStr">
        <is>
          <t>H3 / body paragraph / table row / image alt</t>
        </is>
      </c>
      <c r="G146" t="inlineStr">
        <is>
          <t>Transactional</t>
        </is>
      </c>
      <c r="H146" t="inlineStr">
        <is>
          <t>Non-Basmati</t>
        </is>
      </c>
      <c r="I146" t="inlineStr">
        <is>
          <t>Transactional</t>
        </is>
      </c>
      <c r="J146" t="inlineStr">
        <is>
          <t>BOFU</t>
        </is>
      </c>
      <c r="K146" t="inlineStr">
        <is>
          <t>Dubai</t>
        </is>
      </c>
      <c r="L146" t="inlineStr">
        <is>
          <t>Category</t>
        </is>
      </c>
      <c r="M146">
        <f>IFERROR(VLOOKUP($A146,'Semrush Import'!$A:$D,2,FALSE),"")</f>
        <v/>
      </c>
      <c r="N146">
        <f>IFERROR(VLOOKUP($A146,'Semrush Import'!$A:$D,3,FALSE),"")</f>
        <v/>
      </c>
      <c r="O146">
        <f>IFERROR(VLOOKUP($A146,'Semrush Import'!$A:$D,4,FALSE),"")</f>
        <v/>
      </c>
      <c r="P146">
        <f>IFERROR(VLOOKUP($A146,'KP Import'!$A:$B,2,FALSE),"")</f>
        <v/>
      </c>
      <c r="Q146">
        <f>IF(M146="","",ROUND(M146/(N146+10),1))</f>
        <v/>
      </c>
      <c r="R146">
        <f>IF(Q146="","",IF(Q146&gt;=20,"A - Go first",IF(Q146&gt;=5,"B - Next","C - Later")))</f>
        <v/>
      </c>
      <c r="S146" t="inlineStr">
        <is>
          <t>To do</t>
        </is>
      </c>
      <c r="T146" t="inlineStr"/>
    </row>
    <row r="147">
      <c r="A147" t="inlineStr">
        <is>
          <t>long grain white rice wholesale dubai</t>
        </is>
      </c>
      <c r="B147" t="inlineStr">
        <is>
          <t>Phase 1 - B2B now</t>
        </is>
      </c>
      <c r="C147" t="inlineStr">
        <is>
          <t>Wholesalers / bulk buyers</t>
        </is>
      </c>
      <c r="D147" t="inlineStr">
        <is>
          <t>Non-Basmati Rice</t>
        </is>
      </c>
      <c r="E147" t="inlineStr">
        <is>
          <t>Secondary (long-tail)</t>
        </is>
      </c>
      <c r="F147" t="inlineStr">
        <is>
          <t>H3 / body paragraph / table row / image alt</t>
        </is>
      </c>
      <c r="G147" t="inlineStr">
        <is>
          <t>Wholesale/B2B</t>
        </is>
      </c>
      <c r="H147" t="inlineStr">
        <is>
          <t>Non-Basmati</t>
        </is>
      </c>
      <c r="I147" t="inlineStr">
        <is>
          <t>Transactional (B2B)</t>
        </is>
      </c>
      <c r="J147" t="inlineStr">
        <is>
          <t>BOFU</t>
        </is>
      </c>
      <c r="K147" t="inlineStr">
        <is>
          <t>Dubai</t>
        </is>
      </c>
      <c r="L147" t="inlineStr">
        <is>
          <t>Landing</t>
        </is>
      </c>
      <c r="M147">
        <f>IFERROR(VLOOKUP($A147,'Semrush Import'!$A:$D,2,FALSE),"")</f>
        <v/>
      </c>
      <c r="N147">
        <f>IFERROR(VLOOKUP($A147,'Semrush Import'!$A:$D,3,FALSE),"")</f>
        <v/>
      </c>
      <c r="O147">
        <f>IFERROR(VLOOKUP($A147,'Semrush Import'!$A:$D,4,FALSE),"")</f>
        <v/>
      </c>
      <c r="P147">
        <f>IFERROR(VLOOKUP($A147,'KP Import'!$A:$B,2,FALSE),"")</f>
        <v/>
      </c>
      <c r="Q147">
        <f>IF(M147="","",ROUND(M147/(N147+10),1))</f>
        <v/>
      </c>
      <c r="R147">
        <f>IF(Q147="","",IF(Q147&gt;=20,"A - Go first",IF(Q147&gt;=5,"B - Next","C - Later")))</f>
        <v/>
      </c>
      <c r="S147" t="inlineStr">
        <is>
          <t>To do</t>
        </is>
      </c>
      <c r="T147" t="inlineStr"/>
    </row>
    <row r="148">
      <c r="A148" t="inlineStr">
        <is>
          <t>long grain white rice supplier uae</t>
        </is>
      </c>
      <c r="B148" t="inlineStr">
        <is>
          <t>Phase 1 - B2B now</t>
        </is>
      </c>
      <c r="C148" t="inlineStr">
        <is>
          <t>Wholesalers / bulk buyers</t>
        </is>
      </c>
      <c r="D148" t="inlineStr">
        <is>
          <t>Non-Basmati Rice</t>
        </is>
      </c>
      <c r="E148" t="inlineStr">
        <is>
          <t>Secondary (long-tail)</t>
        </is>
      </c>
      <c r="F148" t="inlineStr">
        <is>
          <t>H3 / body paragraph / table row / image alt</t>
        </is>
      </c>
      <c r="G148" t="inlineStr">
        <is>
          <t>Wholesale/B2B</t>
        </is>
      </c>
      <c r="H148" t="inlineStr">
        <is>
          <t>Non-Basmati</t>
        </is>
      </c>
      <c r="I148" t="inlineStr">
        <is>
          <t>Transactional (B2B)</t>
        </is>
      </c>
      <c r="J148" t="inlineStr">
        <is>
          <t>BOFU</t>
        </is>
      </c>
      <c r="K148" t="inlineStr">
        <is>
          <t>UAE</t>
        </is>
      </c>
      <c r="L148" t="inlineStr">
        <is>
          <t>Landing</t>
        </is>
      </c>
      <c r="M148">
        <f>IFERROR(VLOOKUP($A148,'Semrush Import'!$A:$D,2,FALSE),"")</f>
        <v/>
      </c>
      <c r="N148">
        <f>IFERROR(VLOOKUP($A148,'Semrush Import'!$A:$D,3,FALSE),"")</f>
        <v/>
      </c>
      <c r="O148">
        <f>IFERROR(VLOOKUP($A148,'Semrush Import'!$A:$D,4,FALSE),"")</f>
        <v/>
      </c>
      <c r="P148">
        <f>IFERROR(VLOOKUP($A148,'KP Import'!$A:$B,2,FALSE),"")</f>
        <v/>
      </c>
      <c r="Q148">
        <f>IF(M148="","",ROUND(M148/(N148+10),1))</f>
        <v/>
      </c>
      <c r="R148">
        <f>IF(Q148="","",IF(Q148&gt;=20,"A - Go first",IF(Q148&gt;=5,"B - Next","C - Later")))</f>
        <v/>
      </c>
      <c r="S148" t="inlineStr">
        <is>
          <t>To do</t>
        </is>
      </c>
      <c r="T148" t="inlineStr"/>
    </row>
    <row r="149">
      <c r="A149" t="inlineStr">
        <is>
          <t>medium grain rice</t>
        </is>
      </c>
      <c r="B149" t="inlineStr">
        <is>
          <t>Phase 1 - B2B now</t>
        </is>
      </c>
      <c r="C149" t="inlineStr">
        <is>
          <t>Wholesalers / bulk buyers</t>
        </is>
      </c>
      <c r="D149" t="inlineStr">
        <is>
          <t>Non-Basmati Rice</t>
        </is>
      </c>
      <c r="E149" t="inlineStr">
        <is>
          <t>Secondary (short)</t>
        </is>
      </c>
      <c r="F149" t="inlineStr">
        <is>
          <t>H2 heading + 1st paragraph under it</t>
        </is>
      </c>
      <c r="G149" t="inlineStr">
        <is>
          <t>Core product</t>
        </is>
      </c>
      <c r="H149" t="inlineStr">
        <is>
          <t>Non-Basmati</t>
        </is>
      </c>
      <c r="I149" t="inlineStr">
        <is>
          <t>Informational/Commercial</t>
        </is>
      </c>
      <c r="J149" t="inlineStr">
        <is>
          <t>TOFU</t>
        </is>
      </c>
      <c r="K149" t="inlineStr">
        <is>
          <t>UAE (generic)</t>
        </is>
      </c>
      <c r="L149" t="inlineStr">
        <is>
          <t>Category</t>
        </is>
      </c>
      <c r="M149">
        <f>IFERROR(VLOOKUP($A149,'Semrush Import'!$A:$D,2,FALSE),"")</f>
        <v/>
      </c>
      <c r="N149">
        <f>IFERROR(VLOOKUP($A149,'Semrush Import'!$A:$D,3,FALSE),"")</f>
        <v/>
      </c>
      <c r="O149">
        <f>IFERROR(VLOOKUP($A149,'Semrush Import'!$A:$D,4,FALSE),"")</f>
        <v/>
      </c>
      <c r="P149">
        <f>IFERROR(VLOOKUP($A149,'KP Import'!$A:$B,2,FALSE),"")</f>
        <v/>
      </c>
      <c r="Q149">
        <f>IF(M149="","",ROUND(M149/(N149+10),1))</f>
        <v/>
      </c>
      <c r="R149">
        <f>IF(Q149="","",IF(Q149&gt;=20,"A - Go first",IF(Q149&gt;=5,"B - Next","C - Later")))</f>
        <v/>
      </c>
      <c r="S149" t="inlineStr">
        <is>
          <t>To do</t>
        </is>
      </c>
      <c r="T149" t="inlineStr"/>
    </row>
    <row r="150">
      <c r="A150" t="inlineStr">
        <is>
          <t>buy medium grain rice online</t>
        </is>
      </c>
      <c r="B150" t="inlineStr">
        <is>
          <t>Phase 2 - B2C (later)</t>
        </is>
      </c>
      <c r="C150" t="inlineStr">
        <is>
          <t>Consumer / household</t>
        </is>
      </c>
      <c r="D150" t="inlineStr">
        <is>
          <t>Shop (B2C)</t>
        </is>
      </c>
      <c r="E150" t="inlineStr">
        <is>
          <t>Secondary (long-tail)</t>
        </is>
      </c>
      <c r="F150" t="inlineStr">
        <is>
          <t>H3 / body paragraph / table row / image alt</t>
        </is>
      </c>
      <c r="G150" t="inlineStr">
        <is>
          <t>Transactional</t>
        </is>
      </c>
      <c r="H150" t="inlineStr">
        <is>
          <t>Non-Basmati</t>
        </is>
      </c>
      <c r="I150" t="inlineStr">
        <is>
          <t>Transactional</t>
        </is>
      </c>
      <c r="J150" t="inlineStr">
        <is>
          <t>BOFU</t>
        </is>
      </c>
      <c r="K150" t="inlineStr">
        <is>
          <t>UAE (generic)</t>
        </is>
      </c>
      <c r="L150" t="inlineStr">
        <is>
          <t>Category</t>
        </is>
      </c>
      <c r="M150">
        <f>IFERROR(VLOOKUP($A150,'Semrush Import'!$A:$D,2,FALSE),"")</f>
        <v/>
      </c>
      <c r="N150">
        <f>IFERROR(VLOOKUP($A150,'Semrush Import'!$A:$D,3,FALSE),"")</f>
        <v/>
      </c>
      <c r="O150">
        <f>IFERROR(VLOOKUP($A150,'Semrush Import'!$A:$D,4,FALSE),"")</f>
        <v/>
      </c>
      <c r="P150">
        <f>IFERROR(VLOOKUP($A150,'KP Import'!$A:$B,2,FALSE),"")</f>
        <v/>
      </c>
      <c r="Q150">
        <f>IF(M150="","",ROUND(M150/(N150+10),1))</f>
        <v/>
      </c>
      <c r="R150">
        <f>IF(Q150="","",IF(Q150&gt;=20,"A - Go first",IF(Q150&gt;=5,"B - Next","C - Later")))</f>
        <v/>
      </c>
      <c r="S150" t="inlineStr">
        <is>
          <t>To do</t>
        </is>
      </c>
      <c r="T150" t="inlineStr"/>
    </row>
    <row r="151">
      <c r="A151" t="inlineStr">
        <is>
          <t>medium grain rice price in uae</t>
        </is>
      </c>
      <c r="B151" t="inlineStr">
        <is>
          <t>Phase 1 - B2B now</t>
        </is>
      </c>
      <c r="C151" t="inlineStr">
        <is>
          <t>Wholesalers / bulk buyers</t>
        </is>
      </c>
      <c r="D151" t="inlineStr">
        <is>
          <t>Non-Basmati Rice</t>
        </is>
      </c>
      <c r="E151" t="inlineStr">
        <is>
          <t>Secondary (long-tail)</t>
        </is>
      </c>
      <c r="F151" t="inlineStr">
        <is>
          <t>H3 / body paragraph / table row / image alt</t>
        </is>
      </c>
      <c r="G151" t="inlineStr">
        <is>
          <t>Price</t>
        </is>
      </c>
      <c r="H151" t="inlineStr">
        <is>
          <t>Non-Basmati</t>
        </is>
      </c>
      <c r="I151" t="inlineStr">
        <is>
          <t>Commercial/Transactional</t>
        </is>
      </c>
      <c r="J151" t="inlineStr">
        <is>
          <t>MOFU</t>
        </is>
      </c>
      <c r="K151" t="inlineStr">
        <is>
          <t>UAE</t>
        </is>
      </c>
      <c r="L151" t="inlineStr">
        <is>
          <t>Category</t>
        </is>
      </c>
      <c r="M151">
        <f>IFERROR(VLOOKUP($A151,'Semrush Import'!$A:$D,2,FALSE),"")</f>
        <v/>
      </c>
      <c r="N151">
        <f>IFERROR(VLOOKUP($A151,'Semrush Import'!$A:$D,3,FALSE),"")</f>
        <v/>
      </c>
      <c r="O151">
        <f>IFERROR(VLOOKUP($A151,'Semrush Import'!$A:$D,4,FALSE),"")</f>
        <v/>
      </c>
      <c r="P151">
        <f>IFERROR(VLOOKUP($A151,'KP Import'!$A:$B,2,FALSE),"")</f>
        <v/>
      </c>
      <c r="Q151">
        <f>IF(M151="","",ROUND(M151/(N151+10),1))</f>
        <v/>
      </c>
      <c r="R151">
        <f>IF(Q151="","",IF(Q151&gt;=20,"A - Go first",IF(Q151&gt;=5,"B - Next","C - Later")))</f>
        <v/>
      </c>
      <c r="S151" t="inlineStr">
        <is>
          <t>To do</t>
        </is>
      </c>
      <c r="T151" t="inlineStr"/>
    </row>
    <row r="152">
      <c r="A152" t="inlineStr">
        <is>
          <t>medium grain rice price in dubai</t>
        </is>
      </c>
      <c r="B152" t="inlineStr">
        <is>
          <t>Phase 1 - B2B now</t>
        </is>
      </c>
      <c r="C152" t="inlineStr">
        <is>
          <t>Wholesalers / bulk buyers</t>
        </is>
      </c>
      <c r="D152" t="inlineStr">
        <is>
          <t>Non-Basmati Rice</t>
        </is>
      </c>
      <c r="E152" t="inlineStr">
        <is>
          <t>Secondary (long-tail)</t>
        </is>
      </c>
      <c r="F152" t="inlineStr">
        <is>
          <t>H3 / body paragraph / table row / image alt</t>
        </is>
      </c>
      <c r="G152" t="inlineStr">
        <is>
          <t>Price</t>
        </is>
      </c>
      <c r="H152" t="inlineStr">
        <is>
          <t>Non-Basmati</t>
        </is>
      </c>
      <c r="I152" t="inlineStr">
        <is>
          <t>Commercial/Transactional</t>
        </is>
      </c>
      <c r="J152" t="inlineStr">
        <is>
          <t>MOFU</t>
        </is>
      </c>
      <c r="K152" t="inlineStr">
        <is>
          <t>Dubai</t>
        </is>
      </c>
      <c r="L152" t="inlineStr">
        <is>
          <t>Category</t>
        </is>
      </c>
      <c r="M152">
        <f>IFERROR(VLOOKUP($A152,'Semrush Import'!$A:$D,2,FALSE),"")</f>
        <v/>
      </c>
      <c r="N152">
        <f>IFERROR(VLOOKUP($A152,'Semrush Import'!$A:$D,3,FALSE),"")</f>
        <v/>
      </c>
      <c r="O152">
        <f>IFERROR(VLOOKUP($A152,'Semrush Import'!$A:$D,4,FALSE),"")</f>
        <v/>
      </c>
      <c r="P152">
        <f>IFERROR(VLOOKUP($A152,'KP Import'!$A:$B,2,FALSE),"")</f>
        <v/>
      </c>
      <c r="Q152">
        <f>IF(M152="","",ROUND(M152/(N152+10),1))</f>
        <v/>
      </c>
      <c r="R152">
        <f>IF(Q152="","",IF(Q152&gt;=20,"A - Go first",IF(Q152&gt;=5,"B - Next","C - Later")))</f>
        <v/>
      </c>
      <c r="S152" t="inlineStr">
        <is>
          <t>To do</t>
        </is>
      </c>
      <c r="T152" t="inlineStr"/>
    </row>
    <row r="153">
      <c r="A153" t="inlineStr">
        <is>
          <t>medium grain rice online dubai</t>
        </is>
      </c>
      <c r="B153" t="inlineStr">
        <is>
          <t>Phase 2 - B2C (later)</t>
        </is>
      </c>
      <c r="C153" t="inlineStr">
        <is>
          <t>Consumer / household</t>
        </is>
      </c>
      <c r="D153" t="inlineStr">
        <is>
          <t>Shop (B2C)</t>
        </is>
      </c>
      <c r="E153" t="inlineStr">
        <is>
          <t>Secondary (long-tail)</t>
        </is>
      </c>
      <c r="F153" t="inlineStr">
        <is>
          <t>H3 / body paragraph / table row / image alt</t>
        </is>
      </c>
      <c r="G153" t="inlineStr">
        <is>
          <t>Transactional</t>
        </is>
      </c>
      <c r="H153" t="inlineStr">
        <is>
          <t>Non-Basmati</t>
        </is>
      </c>
      <c r="I153" t="inlineStr">
        <is>
          <t>Transactional</t>
        </is>
      </c>
      <c r="J153" t="inlineStr">
        <is>
          <t>BOFU</t>
        </is>
      </c>
      <c r="K153" t="inlineStr">
        <is>
          <t>Dubai</t>
        </is>
      </c>
      <c r="L153" t="inlineStr">
        <is>
          <t>Category</t>
        </is>
      </c>
      <c r="M153">
        <f>IFERROR(VLOOKUP($A153,'Semrush Import'!$A:$D,2,FALSE),"")</f>
        <v/>
      </c>
      <c r="N153">
        <f>IFERROR(VLOOKUP($A153,'Semrush Import'!$A:$D,3,FALSE),"")</f>
        <v/>
      </c>
      <c r="O153">
        <f>IFERROR(VLOOKUP($A153,'Semrush Import'!$A:$D,4,FALSE),"")</f>
        <v/>
      </c>
      <c r="P153">
        <f>IFERROR(VLOOKUP($A153,'KP Import'!$A:$B,2,FALSE),"")</f>
        <v/>
      </c>
      <c r="Q153">
        <f>IF(M153="","",ROUND(M153/(N153+10),1))</f>
        <v/>
      </c>
      <c r="R153">
        <f>IF(Q153="","",IF(Q153&gt;=20,"A - Go first",IF(Q153&gt;=5,"B - Next","C - Later")))</f>
        <v/>
      </c>
      <c r="S153" t="inlineStr">
        <is>
          <t>To do</t>
        </is>
      </c>
      <c r="T153" t="inlineStr"/>
    </row>
    <row r="154">
      <c r="A154" t="inlineStr">
        <is>
          <t>medium grain rice wholesale dubai</t>
        </is>
      </c>
      <c r="B154" t="inlineStr">
        <is>
          <t>Phase 1 - B2B now</t>
        </is>
      </c>
      <c r="C154" t="inlineStr">
        <is>
          <t>Wholesalers / bulk buyers</t>
        </is>
      </c>
      <c r="D154" t="inlineStr">
        <is>
          <t>Non-Basmati Rice</t>
        </is>
      </c>
      <c r="E154" t="inlineStr">
        <is>
          <t>Secondary (long-tail)</t>
        </is>
      </c>
      <c r="F154" t="inlineStr">
        <is>
          <t>H3 / body paragraph / table row / image alt</t>
        </is>
      </c>
      <c r="G154" t="inlineStr">
        <is>
          <t>Wholesale/B2B</t>
        </is>
      </c>
      <c r="H154" t="inlineStr">
        <is>
          <t>Non-Basmati</t>
        </is>
      </c>
      <c r="I154" t="inlineStr">
        <is>
          <t>Transactional (B2B)</t>
        </is>
      </c>
      <c r="J154" t="inlineStr">
        <is>
          <t>BOFU</t>
        </is>
      </c>
      <c r="K154" t="inlineStr">
        <is>
          <t>Dubai</t>
        </is>
      </c>
      <c r="L154" t="inlineStr">
        <is>
          <t>Landing</t>
        </is>
      </c>
      <c r="M154">
        <f>IFERROR(VLOOKUP($A154,'Semrush Import'!$A:$D,2,FALSE),"")</f>
        <v/>
      </c>
      <c r="N154">
        <f>IFERROR(VLOOKUP($A154,'Semrush Import'!$A:$D,3,FALSE),"")</f>
        <v/>
      </c>
      <c r="O154">
        <f>IFERROR(VLOOKUP($A154,'Semrush Import'!$A:$D,4,FALSE),"")</f>
        <v/>
      </c>
      <c r="P154">
        <f>IFERROR(VLOOKUP($A154,'KP Import'!$A:$B,2,FALSE),"")</f>
        <v/>
      </c>
      <c r="Q154">
        <f>IF(M154="","",ROUND(M154/(N154+10),1))</f>
        <v/>
      </c>
      <c r="R154">
        <f>IF(Q154="","",IF(Q154&gt;=20,"A - Go first",IF(Q154&gt;=5,"B - Next","C - Later")))</f>
        <v/>
      </c>
      <c r="S154" t="inlineStr">
        <is>
          <t>To do</t>
        </is>
      </c>
      <c r="T154" t="inlineStr"/>
    </row>
    <row r="155">
      <c r="A155" t="inlineStr">
        <is>
          <t>medium grain rice supplier uae</t>
        </is>
      </c>
      <c r="B155" t="inlineStr">
        <is>
          <t>Phase 1 - B2B now</t>
        </is>
      </c>
      <c r="C155" t="inlineStr">
        <is>
          <t>Wholesalers / bulk buyers</t>
        </is>
      </c>
      <c r="D155" t="inlineStr">
        <is>
          <t>Non-Basmati Rice</t>
        </is>
      </c>
      <c r="E155" t="inlineStr">
        <is>
          <t>Secondary (long-tail)</t>
        </is>
      </c>
      <c r="F155" t="inlineStr">
        <is>
          <t>H3 / body paragraph / table row / image alt</t>
        </is>
      </c>
      <c r="G155" t="inlineStr">
        <is>
          <t>Wholesale/B2B</t>
        </is>
      </c>
      <c r="H155" t="inlineStr">
        <is>
          <t>Non-Basmati</t>
        </is>
      </c>
      <c r="I155" t="inlineStr">
        <is>
          <t>Transactional (B2B)</t>
        </is>
      </c>
      <c r="J155" t="inlineStr">
        <is>
          <t>BOFU</t>
        </is>
      </c>
      <c r="K155" t="inlineStr">
        <is>
          <t>UAE</t>
        </is>
      </c>
      <c r="L155" t="inlineStr">
        <is>
          <t>Landing</t>
        </is>
      </c>
      <c r="M155">
        <f>IFERROR(VLOOKUP($A155,'Semrush Import'!$A:$D,2,FALSE),"")</f>
        <v/>
      </c>
      <c r="N155">
        <f>IFERROR(VLOOKUP($A155,'Semrush Import'!$A:$D,3,FALSE),"")</f>
        <v/>
      </c>
      <c r="O155">
        <f>IFERROR(VLOOKUP($A155,'Semrush Import'!$A:$D,4,FALSE),"")</f>
        <v/>
      </c>
      <c r="P155">
        <f>IFERROR(VLOOKUP($A155,'KP Import'!$A:$B,2,FALSE),"")</f>
        <v/>
      </c>
      <c r="Q155">
        <f>IF(M155="","",ROUND(M155/(N155+10),1))</f>
        <v/>
      </c>
      <c r="R155">
        <f>IF(Q155="","",IF(Q155&gt;=20,"A - Go first",IF(Q155&gt;=5,"B - Next","C - Later")))</f>
        <v/>
      </c>
      <c r="S155" t="inlineStr">
        <is>
          <t>To do</t>
        </is>
      </c>
      <c r="T155" t="inlineStr"/>
    </row>
    <row r="156">
      <c r="A156" t="inlineStr">
        <is>
          <t>short grain rice</t>
        </is>
      </c>
      <c r="B156" t="inlineStr">
        <is>
          <t>Phase 1 - B2B now</t>
        </is>
      </c>
      <c r="C156" t="inlineStr">
        <is>
          <t>Wholesalers / bulk buyers</t>
        </is>
      </c>
      <c r="D156" t="inlineStr">
        <is>
          <t>Non-Basmati Rice</t>
        </is>
      </c>
      <c r="E156" t="inlineStr">
        <is>
          <t>Secondary (short)</t>
        </is>
      </c>
      <c r="F156" t="inlineStr">
        <is>
          <t>H2 heading + 1st paragraph under it</t>
        </is>
      </c>
      <c r="G156" t="inlineStr">
        <is>
          <t>Core product</t>
        </is>
      </c>
      <c r="H156" t="inlineStr">
        <is>
          <t>Non-Basmati</t>
        </is>
      </c>
      <c r="I156" t="inlineStr">
        <is>
          <t>Informational/Commercial</t>
        </is>
      </c>
      <c r="J156" t="inlineStr">
        <is>
          <t>TOFU</t>
        </is>
      </c>
      <c r="K156" t="inlineStr">
        <is>
          <t>UAE (generic)</t>
        </is>
      </c>
      <c r="L156" t="inlineStr">
        <is>
          <t>Category</t>
        </is>
      </c>
      <c r="M156">
        <f>IFERROR(VLOOKUP($A156,'Semrush Import'!$A:$D,2,FALSE),"")</f>
        <v/>
      </c>
      <c r="N156">
        <f>IFERROR(VLOOKUP($A156,'Semrush Import'!$A:$D,3,FALSE),"")</f>
        <v/>
      </c>
      <c r="O156">
        <f>IFERROR(VLOOKUP($A156,'Semrush Import'!$A:$D,4,FALSE),"")</f>
        <v/>
      </c>
      <c r="P156">
        <f>IFERROR(VLOOKUP($A156,'KP Import'!$A:$B,2,FALSE),"")</f>
        <v/>
      </c>
      <c r="Q156">
        <f>IF(M156="","",ROUND(M156/(N156+10),1))</f>
        <v/>
      </c>
      <c r="R156">
        <f>IF(Q156="","",IF(Q156&gt;=20,"A - Go first",IF(Q156&gt;=5,"B - Next","C - Later")))</f>
        <v/>
      </c>
      <c r="S156" t="inlineStr">
        <is>
          <t>To do</t>
        </is>
      </c>
      <c r="T156" t="inlineStr"/>
    </row>
    <row r="157">
      <c r="A157" t="inlineStr">
        <is>
          <t>buy short grain rice online</t>
        </is>
      </c>
      <c r="B157" t="inlineStr">
        <is>
          <t>Phase 2 - B2C (later)</t>
        </is>
      </c>
      <c r="C157" t="inlineStr">
        <is>
          <t>Consumer / household</t>
        </is>
      </c>
      <c r="D157" t="inlineStr">
        <is>
          <t>Shop (B2C)</t>
        </is>
      </c>
      <c r="E157" t="inlineStr">
        <is>
          <t>Secondary (long-tail)</t>
        </is>
      </c>
      <c r="F157" t="inlineStr">
        <is>
          <t>H3 / body paragraph / table row / image alt</t>
        </is>
      </c>
      <c r="G157" t="inlineStr">
        <is>
          <t>Transactional</t>
        </is>
      </c>
      <c r="H157" t="inlineStr">
        <is>
          <t>Non-Basmati</t>
        </is>
      </c>
      <c r="I157" t="inlineStr">
        <is>
          <t>Transactional</t>
        </is>
      </c>
      <c r="J157" t="inlineStr">
        <is>
          <t>BOFU</t>
        </is>
      </c>
      <c r="K157" t="inlineStr">
        <is>
          <t>UAE (generic)</t>
        </is>
      </c>
      <c r="L157" t="inlineStr">
        <is>
          <t>Category</t>
        </is>
      </c>
      <c r="M157">
        <f>IFERROR(VLOOKUP($A157,'Semrush Import'!$A:$D,2,FALSE),"")</f>
        <v/>
      </c>
      <c r="N157">
        <f>IFERROR(VLOOKUP($A157,'Semrush Import'!$A:$D,3,FALSE),"")</f>
        <v/>
      </c>
      <c r="O157">
        <f>IFERROR(VLOOKUP($A157,'Semrush Import'!$A:$D,4,FALSE),"")</f>
        <v/>
      </c>
      <c r="P157">
        <f>IFERROR(VLOOKUP($A157,'KP Import'!$A:$B,2,FALSE),"")</f>
        <v/>
      </c>
      <c r="Q157">
        <f>IF(M157="","",ROUND(M157/(N157+10),1))</f>
        <v/>
      </c>
      <c r="R157">
        <f>IF(Q157="","",IF(Q157&gt;=20,"A - Go first",IF(Q157&gt;=5,"B - Next","C - Later")))</f>
        <v/>
      </c>
      <c r="S157" t="inlineStr">
        <is>
          <t>To do</t>
        </is>
      </c>
      <c r="T157" t="inlineStr"/>
    </row>
    <row r="158">
      <c r="A158" t="inlineStr">
        <is>
          <t>short grain rice price in uae</t>
        </is>
      </c>
      <c r="B158" t="inlineStr">
        <is>
          <t>Phase 1 - B2B now</t>
        </is>
      </c>
      <c r="C158" t="inlineStr">
        <is>
          <t>Wholesalers / bulk buyers</t>
        </is>
      </c>
      <c r="D158" t="inlineStr">
        <is>
          <t>Non-Basmati Rice</t>
        </is>
      </c>
      <c r="E158" t="inlineStr">
        <is>
          <t>Secondary (long-tail)</t>
        </is>
      </c>
      <c r="F158" t="inlineStr">
        <is>
          <t>H3 / body paragraph / table row / image alt</t>
        </is>
      </c>
      <c r="G158" t="inlineStr">
        <is>
          <t>Price</t>
        </is>
      </c>
      <c r="H158" t="inlineStr">
        <is>
          <t>Non-Basmati</t>
        </is>
      </c>
      <c r="I158" t="inlineStr">
        <is>
          <t>Commercial/Transactional</t>
        </is>
      </c>
      <c r="J158" t="inlineStr">
        <is>
          <t>MOFU</t>
        </is>
      </c>
      <c r="K158" t="inlineStr">
        <is>
          <t>UAE</t>
        </is>
      </c>
      <c r="L158" t="inlineStr">
        <is>
          <t>Category</t>
        </is>
      </c>
      <c r="M158">
        <f>IFERROR(VLOOKUP($A158,'Semrush Import'!$A:$D,2,FALSE),"")</f>
        <v/>
      </c>
      <c r="N158">
        <f>IFERROR(VLOOKUP($A158,'Semrush Import'!$A:$D,3,FALSE),"")</f>
        <v/>
      </c>
      <c r="O158">
        <f>IFERROR(VLOOKUP($A158,'Semrush Import'!$A:$D,4,FALSE),"")</f>
        <v/>
      </c>
      <c r="P158">
        <f>IFERROR(VLOOKUP($A158,'KP Import'!$A:$B,2,FALSE),"")</f>
        <v/>
      </c>
      <c r="Q158">
        <f>IF(M158="","",ROUND(M158/(N158+10),1))</f>
        <v/>
      </c>
      <c r="R158">
        <f>IF(Q158="","",IF(Q158&gt;=20,"A - Go first",IF(Q158&gt;=5,"B - Next","C - Later")))</f>
        <v/>
      </c>
      <c r="S158" t="inlineStr">
        <is>
          <t>To do</t>
        </is>
      </c>
      <c r="T158" t="inlineStr"/>
    </row>
    <row r="159">
      <c r="A159" t="inlineStr">
        <is>
          <t>short grain rice price in dubai</t>
        </is>
      </c>
      <c r="B159" t="inlineStr">
        <is>
          <t>Phase 1 - B2B now</t>
        </is>
      </c>
      <c r="C159" t="inlineStr">
        <is>
          <t>Wholesalers / bulk buyers</t>
        </is>
      </c>
      <c r="D159" t="inlineStr">
        <is>
          <t>Non-Basmati Rice</t>
        </is>
      </c>
      <c r="E159" t="inlineStr">
        <is>
          <t>Secondary (long-tail)</t>
        </is>
      </c>
      <c r="F159" t="inlineStr">
        <is>
          <t>H3 / body paragraph / table row / image alt</t>
        </is>
      </c>
      <c r="G159" t="inlineStr">
        <is>
          <t>Price</t>
        </is>
      </c>
      <c r="H159" t="inlineStr">
        <is>
          <t>Non-Basmati</t>
        </is>
      </c>
      <c r="I159" t="inlineStr">
        <is>
          <t>Commercial/Transactional</t>
        </is>
      </c>
      <c r="J159" t="inlineStr">
        <is>
          <t>MOFU</t>
        </is>
      </c>
      <c r="K159" t="inlineStr">
        <is>
          <t>Dubai</t>
        </is>
      </c>
      <c r="L159" t="inlineStr">
        <is>
          <t>Category</t>
        </is>
      </c>
      <c r="M159">
        <f>IFERROR(VLOOKUP($A159,'Semrush Import'!$A:$D,2,FALSE),"")</f>
        <v/>
      </c>
      <c r="N159">
        <f>IFERROR(VLOOKUP($A159,'Semrush Import'!$A:$D,3,FALSE),"")</f>
        <v/>
      </c>
      <c r="O159">
        <f>IFERROR(VLOOKUP($A159,'Semrush Import'!$A:$D,4,FALSE),"")</f>
        <v/>
      </c>
      <c r="P159">
        <f>IFERROR(VLOOKUP($A159,'KP Import'!$A:$B,2,FALSE),"")</f>
        <v/>
      </c>
      <c r="Q159">
        <f>IF(M159="","",ROUND(M159/(N159+10),1))</f>
        <v/>
      </c>
      <c r="R159">
        <f>IF(Q159="","",IF(Q159&gt;=20,"A - Go first",IF(Q159&gt;=5,"B - Next","C - Later")))</f>
        <v/>
      </c>
      <c r="S159" t="inlineStr">
        <is>
          <t>To do</t>
        </is>
      </c>
      <c r="T159" t="inlineStr"/>
    </row>
    <row r="160">
      <c r="A160" t="inlineStr">
        <is>
          <t>short grain rice online dubai</t>
        </is>
      </c>
      <c r="B160" t="inlineStr">
        <is>
          <t>Phase 2 - B2C (later)</t>
        </is>
      </c>
      <c r="C160" t="inlineStr">
        <is>
          <t>Consumer / household</t>
        </is>
      </c>
      <c r="D160" t="inlineStr">
        <is>
          <t>Shop (B2C)</t>
        </is>
      </c>
      <c r="E160" t="inlineStr">
        <is>
          <t>Secondary (long-tail)</t>
        </is>
      </c>
      <c r="F160" t="inlineStr">
        <is>
          <t>H3 / body paragraph / table row / image alt</t>
        </is>
      </c>
      <c r="G160" t="inlineStr">
        <is>
          <t>Transactional</t>
        </is>
      </c>
      <c r="H160" t="inlineStr">
        <is>
          <t>Non-Basmati</t>
        </is>
      </c>
      <c r="I160" t="inlineStr">
        <is>
          <t>Transactional</t>
        </is>
      </c>
      <c r="J160" t="inlineStr">
        <is>
          <t>BOFU</t>
        </is>
      </c>
      <c r="K160" t="inlineStr">
        <is>
          <t>Dubai</t>
        </is>
      </c>
      <c r="L160" t="inlineStr">
        <is>
          <t>Category</t>
        </is>
      </c>
      <c r="M160">
        <f>IFERROR(VLOOKUP($A160,'Semrush Import'!$A:$D,2,FALSE),"")</f>
        <v/>
      </c>
      <c r="N160">
        <f>IFERROR(VLOOKUP($A160,'Semrush Import'!$A:$D,3,FALSE),"")</f>
        <v/>
      </c>
      <c r="O160">
        <f>IFERROR(VLOOKUP($A160,'Semrush Import'!$A:$D,4,FALSE),"")</f>
        <v/>
      </c>
      <c r="P160">
        <f>IFERROR(VLOOKUP($A160,'KP Import'!$A:$B,2,FALSE),"")</f>
        <v/>
      </c>
      <c r="Q160">
        <f>IF(M160="","",ROUND(M160/(N160+10),1))</f>
        <v/>
      </c>
      <c r="R160">
        <f>IF(Q160="","",IF(Q160&gt;=20,"A - Go first",IF(Q160&gt;=5,"B - Next","C - Later")))</f>
        <v/>
      </c>
      <c r="S160" t="inlineStr">
        <is>
          <t>To do</t>
        </is>
      </c>
      <c r="T160" t="inlineStr"/>
    </row>
    <row r="161">
      <c r="A161" t="inlineStr">
        <is>
          <t>short grain rice wholesale dubai</t>
        </is>
      </c>
      <c r="B161" t="inlineStr">
        <is>
          <t>Phase 1 - B2B now</t>
        </is>
      </c>
      <c r="C161" t="inlineStr">
        <is>
          <t>Wholesalers / bulk buyers</t>
        </is>
      </c>
      <c r="D161" t="inlineStr">
        <is>
          <t>Non-Basmati Rice</t>
        </is>
      </c>
      <c r="E161" t="inlineStr">
        <is>
          <t>Secondary (long-tail)</t>
        </is>
      </c>
      <c r="F161" t="inlineStr">
        <is>
          <t>H3 / body paragraph / table row / image alt</t>
        </is>
      </c>
      <c r="G161" t="inlineStr">
        <is>
          <t>Wholesale/B2B</t>
        </is>
      </c>
      <c r="H161" t="inlineStr">
        <is>
          <t>Non-Basmati</t>
        </is>
      </c>
      <c r="I161" t="inlineStr">
        <is>
          <t>Transactional (B2B)</t>
        </is>
      </c>
      <c r="J161" t="inlineStr">
        <is>
          <t>BOFU</t>
        </is>
      </c>
      <c r="K161" t="inlineStr">
        <is>
          <t>Dubai</t>
        </is>
      </c>
      <c r="L161" t="inlineStr">
        <is>
          <t>Landing</t>
        </is>
      </c>
      <c r="M161">
        <f>IFERROR(VLOOKUP($A161,'Semrush Import'!$A:$D,2,FALSE),"")</f>
        <v/>
      </c>
      <c r="N161">
        <f>IFERROR(VLOOKUP($A161,'Semrush Import'!$A:$D,3,FALSE),"")</f>
        <v/>
      </c>
      <c r="O161">
        <f>IFERROR(VLOOKUP($A161,'Semrush Import'!$A:$D,4,FALSE),"")</f>
        <v/>
      </c>
      <c r="P161">
        <f>IFERROR(VLOOKUP($A161,'KP Import'!$A:$B,2,FALSE),"")</f>
        <v/>
      </c>
      <c r="Q161">
        <f>IF(M161="","",ROUND(M161/(N161+10),1))</f>
        <v/>
      </c>
      <c r="R161">
        <f>IF(Q161="","",IF(Q161&gt;=20,"A - Go first",IF(Q161&gt;=5,"B - Next","C - Later")))</f>
        <v/>
      </c>
      <c r="S161" t="inlineStr">
        <is>
          <t>To do</t>
        </is>
      </c>
      <c r="T161" t="inlineStr"/>
    </row>
    <row r="162">
      <c r="A162" t="inlineStr">
        <is>
          <t>short grain rice supplier uae</t>
        </is>
      </c>
      <c r="B162" t="inlineStr">
        <is>
          <t>Phase 1 - B2B now</t>
        </is>
      </c>
      <c r="C162" t="inlineStr">
        <is>
          <t>Wholesalers / bulk buyers</t>
        </is>
      </c>
      <c r="D162" t="inlineStr">
        <is>
          <t>Non-Basmati Rice</t>
        </is>
      </c>
      <c r="E162" t="inlineStr">
        <is>
          <t>Secondary (long-tail)</t>
        </is>
      </c>
      <c r="F162" t="inlineStr">
        <is>
          <t>H3 / body paragraph / table row / image alt</t>
        </is>
      </c>
      <c r="G162" t="inlineStr">
        <is>
          <t>Wholesale/B2B</t>
        </is>
      </c>
      <c r="H162" t="inlineStr">
        <is>
          <t>Non-Basmati</t>
        </is>
      </c>
      <c r="I162" t="inlineStr">
        <is>
          <t>Transactional (B2B)</t>
        </is>
      </c>
      <c r="J162" t="inlineStr">
        <is>
          <t>BOFU</t>
        </is>
      </c>
      <c r="K162" t="inlineStr">
        <is>
          <t>UAE</t>
        </is>
      </c>
      <c r="L162" t="inlineStr">
        <is>
          <t>Landing</t>
        </is>
      </c>
      <c r="M162">
        <f>IFERROR(VLOOKUP($A162,'Semrush Import'!$A:$D,2,FALSE),"")</f>
        <v/>
      </c>
      <c r="N162">
        <f>IFERROR(VLOOKUP($A162,'Semrush Import'!$A:$D,3,FALSE),"")</f>
        <v/>
      </c>
      <c r="O162">
        <f>IFERROR(VLOOKUP($A162,'Semrush Import'!$A:$D,4,FALSE),"")</f>
        <v/>
      </c>
      <c r="P162">
        <f>IFERROR(VLOOKUP($A162,'KP Import'!$A:$B,2,FALSE),"")</f>
        <v/>
      </c>
      <c r="Q162">
        <f>IF(M162="","",ROUND(M162/(N162+10),1))</f>
        <v/>
      </c>
      <c r="R162">
        <f>IF(Q162="","",IF(Q162&gt;=20,"A - Go first",IF(Q162&gt;=5,"B - Next","C - Later")))</f>
        <v/>
      </c>
      <c r="S162" t="inlineStr">
        <is>
          <t>To do</t>
        </is>
      </c>
      <c r="T162" t="inlineStr"/>
    </row>
    <row r="163">
      <c r="A163" t="inlineStr">
        <is>
          <t>sushi rice</t>
        </is>
      </c>
      <c r="B163" t="inlineStr">
        <is>
          <t>Phase 1 - B2B now</t>
        </is>
      </c>
      <c r="C163" t="inlineStr">
        <is>
          <t>Wholesalers / bulk buyers</t>
        </is>
      </c>
      <c r="D163" t="inlineStr">
        <is>
          <t>Specialty &amp; South Indian Rice</t>
        </is>
      </c>
      <c r="E163" t="inlineStr">
        <is>
          <t>Secondary (short)</t>
        </is>
      </c>
      <c r="F163" t="inlineStr">
        <is>
          <t>H2 heading + 1st paragraph under it</t>
        </is>
      </c>
      <c r="G163" t="inlineStr">
        <is>
          <t>Core product</t>
        </is>
      </c>
      <c r="H163" t="inlineStr">
        <is>
          <t>Specialty</t>
        </is>
      </c>
      <c r="I163" t="inlineStr">
        <is>
          <t>Informational/Commercial</t>
        </is>
      </c>
      <c r="J163" t="inlineStr">
        <is>
          <t>TOFU</t>
        </is>
      </c>
      <c r="K163" t="inlineStr">
        <is>
          <t>UAE (generic)</t>
        </is>
      </c>
      <c r="L163" t="inlineStr">
        <is>
          <t>Category</t>
        </is>
      </c>
      <c r="M163">
        <f>IFERROR(VLOOKUP($A163,'Semrush Import'!$A:$D,2,FALSE),"")</f>
        <v/>
      </c>
      <c r="N163">
        <f>IFERROR(VLOOKUP($A163,'Semrush Import'!$A:$D,3,FALSE),"")</f>
        <v/>
      </c>
      <c r="O163">
        <f>IFERROR(VLOOKUP($A163,'Semrush Import'!$A:$D,4,FALSE),"")</f>
        <v/>
      </c>
      <c r="P163">
        <f>IFERROR(VLOOKUP($A163,'KP Import'!$A:$B,2,FALSE),"")</f>
        <v/>
      </c>
      <c r="Q163">
        <f>IF(M163="","",ROUND(M163/(N163+10),1))</f>
        <v/>
      </c>
      <c r="R163">
        <f>IF(Q163="","",IF(Q163&gt;=20,"A - Go first",IF(Q163&gt;=5,"B - Next","C - Later")))</f>
        <v/>
      </c>
      <c r="S163" t="inlineStr">
        <is>
          <t>To do</t>
        </is>
      </c>
      <c r="T163" t="inlineStr"/>
    </row>
    <row r="164">
      <c r="A164" t="inlineStr">
        <is>
          <t>buy sushi rice online</t>
        </is>
      </c>
      <c r="B164" t="inlineStr">
        <is>
          <t>Phase 2 - B2C (later)</t>
        </is>
      </c>
      <c r="C164" t="inlineStr">
        <is>
          <t>Consumer / household</t>
        </is>
      </c>
      <c r="D164" t="inlineStr">
        <is>
          <t>Shop (B2C)</t>
        </is>
      </c>
      <c r="E164" t="inlineStr">
        <is>
          <t>Secondary (long-tail)</t>
        </is>
      </c>
      <c r="F164" t="inlineStr">
        <is>
          <t>H3 / body paragraph / table row / image alt</t>
        </is>
      </c>
      <c r="G164" t="inlineStr">
        <is>
          <t>Transactional</t>
        </is>
      </c>
      <c r="H164" t="inlineStr">
        <is>
          <t>Specialty</t>
        </is>
      </c>
      <c r="I164" t="inlineStr">
        <is>
          <t>Transactional</t>
        </is>
      </c>
      <c r="J164" t="inlineStr">
        <is>
          <t>BOFU</t>
        </is>
      </c>
      <c r="K164" t="inlineStr">
        <is>
          <t>UAE (generic)</t>
        </is>
      </c>
      <c r="L164" t="inlineStr">
        <is>
          <t>Category</t>
        </is>
      </c>
      <c r="M164">
        <f>IFERROR(VLOOKUP($A164,'Semrush Import'!$A:$D,2,FALSE),"")</f>
        <v/>
      </c>
      <c r="N164">
        <f>IFERROR(VLOOKUP($A164,'Semrush Import'!$A:$D,3,FALSE),"")</f>
        <v/>
      </c>
      <c r="O164">
        <f>IFERROR(VLOOKUP($A164,'Semrush Import'!$A:$D,4,FALSE),"")</f>
        <v/>
      </c>
      <c r="P164">
        <f>IFERROR(VLOOKUP($A164,'KP Import'!$A:$B,2,FALSE),"")</f>
        <v/>
      </c>
      <c r="Q164">
        <f>IF(M164="","",ROUND(M164/(N164+10),1))</f>
        <v/>
      </c>
      <c r="R164">
        <f>IF(Q164="","",IF(Q164&gt;=20,"A - Go first",IF(Q164&gt;=5,"B - Next","C - Later")))</f>
        <v/>
      </c>
      <c r="S164" t="inlineStr">
        <is>
          <t>To do</t>
        </is>
      </c>
      <c r="T164" t="inlineStr"/>
    </row>
    <row r="165">
      <c r="A165" t="inlineStr">
        <is>
          <t>sushi rice price in uae</t>
        </is>
      </c>
      <c r="B165" t="inlineStr">
        <is>
          <t>Phase 1 - B2B now</t>
        </is>
      </c>
      <c r="C165" t="inlineStr">
        <is>
          <t>Wholesalers / bulk buyers</t>
        </is>
      </c>
      <c r="D165" t="inlineStr">
        <is>
          <t>Specialty &amp; South Indian Rice</t>
        </is>
      </c>
      <c r="E165" t="inlineStr">
        <is>
          <t>Secondary (long-tail)</t>
        </is>
      </c>
      <c r="F165" t="inlineStr">
        <is>
          <t>H3 / body paragraph / table row / image alt</t>
        </is>
      </c>
      <c r="G165" t="inlineStr">
        <is>
          <t>Price</t>
        </is>
      </c>
      <c r="H165" t="inlineStr">
        <is>
          <t>Specialty</t>
        </is>
      </c>
      <c r="I165" t="inlineStr">
        <is>
          <t>Commercial/Transactional</t>
        </is>
      </c>
      <c r="J165" t="inlineStr">
        <is>
          <t>MOFU</t>
        </is>
      </c>
      <c r="K165" t="inlineStr">
        <is>
          <t>UAE</t>
        </is>
      </c>
      <c r="L165" t="inlineStr">
        <is>
          <t>Category</t>
        </is>
      </c>
      <c r="M165">
        <f>IFERROR(VLOOKUP($A165,'Semrush Import'!$A:$D,2,FALSE),"")</f>
        <v/>
      </c>
      <c r="N165">
        <f>IFERROR(VLOOKUP($A165,'Semrush Import'!$A:$D,3,FALSE),"")</f>
        <v/>
      </c>
      <c r="O165">
        <f>IFERROR(VLOOKUP($A165,'Semrush Import'!$A:$D,4,FALSE),"")</f>
        <v/>
      </c>
      <c r="P165">
        <f>IFERROR(VLOOKUP($A165,'KP Import'!$A:$B,2,FALSE),"")</f>
        <v/>
      </c>
      <c r="Q165">
        <f>IF(M165="","",ROUND(M165/(N165+10),1))</f>
        <v/>
      </c>
      <c r="R165">
        <f>IF(Q165="","",IF(Q165&gt;=20,"A - Go first",IF(Q165&gt;=5,"B - Next","C - Later")))</f>
        <v/>
      </c>
      <c r="S165" t="inlineStr">
        <is>
          <t>To do</t>
        </is>
      </c>
      <c r="T165" t="inlineStr"/>
    </row>
    <row r="166">
      <c r="A166" t="inlineStr">
        <is>
          <t>sushi rice price in dubai</t>
        </is>
      </c>
      <c r="B166" t="inlineStr">
        <is>
          <t>Phase 1 - B2B now</t>
        </is>
      </c>
      <c r="C166" t="inlineStr">
        <is>
          <t>Wholesalers / bulk buyers</t>
        </is>
      </c>
      <c r="D166" t="inlineStr">
        <is>
          <t>Specialty &amp; South Indian Rice</t>
        </is>
      </c>
      <c r="E166" t="inlineStr">
        <is>
          <t>Secondary (long-tail)</t>
        </is>
      </c>
      <c r="F166" t="inlineStr">
        <is>
          <t>H3 / body paragraph / table row / image alt</t>
        </is>
      </c>
      <c r="G166" t="inlineStr">
        <is>
          <t>Price</t>
        </is>
      </c>
      <c r="H166" t="inlineStr">
        <is>
          <t>Specialty</t>
        </is>
      </c>
      <c r="I166" t="inlineStr">
        <is>
          <t>Commercial/Transactional</t>
        </is>
      </c>
      <c r="J166" t="inlineStr">
        <is>
          <t>MOFU</t>
        </is>
      </c>
      <c r="K166" t="inlineStr">
        <is>
          <t>Dubai</t>
        </is>
      </c>
      <c r="L166" t="inlineStr">
        <is>
          <t>Category</t>
        </is>
      </c>
      <c r="M166">
        <f>IFERROR(VLOOKUP($A166,'Semrush Import'!$A:$D,2,FALSE),"")</f>
        <v/>
      </c>
      <c r="N166">
        <f>IFERROR(VLOOKUP($A166,'Semrush Import'!$A:$D,3,FALSE),"")</f>
        <v/>
      </c>
      <c r="O166">
        <f>IFERROR(VLOOKUP($A166,'Semrush Import'!$A:$D,4,FALSE),"")</f>
        <v/>
      </c>
      <c r="P166">
        <f>IFERROR(VLOOKUP($A166,'KP Import'!$A:$B,2,FALSE),"")</f>
        <v/>
      </c>
      <c r="Q166">
        <f>IF(M166="","",ROUND(M166/(N166+10),1))</f>
        <v/>
      </c>
      <c r="R166">
        <f>IF(Q166="","",IF(Q166&gt;=20,"A - Go first",IF(Q166&gt;=5,"B - Next","C - Later")))</f>
        <v/>
      </c>
      <c r="S166" t="inlineStr">
        <is>
          <t>To do</t>
        </is>
      </c>
      <c r="T166" t="inlineStr"/>
    </row>
    <row r="167">
      <c r="A167" t="inlineStr">
        <is>
          <t>sushi rice online dubai</t>
        </is>
      </c>
      <c r="B167" t="inlineStr">
        <is>
          <t>Phase 2 - B2C (later)</t>
        </is>
      </c>
      <c r="C167" t="inlineStr">
        <is>
          <t>Consumer / household</t>
        </is>
      </c>
      <c r="D167" t="inlineStr">
        <is>
          <t>Shop (B2C)</t>
        </is>
      </c>
      <c r="E167" t="inlineStr">
        <is>
          <t>Secondary (long-tail)</t>
        </is>
      </c>
      <c r="F167" t="inlineStr">
        <is>
          <t>H3 / body paragraph / table row / image alt</t>
        </is>
      </c>
      <c r="G167" t="inlineStr">
        <is>
          <t>Transactional</t>
        </is>
      </c>
      <c r="H167" t="inlineStr">
        <is>
          <t>Specialty</t>
        </is>
      </c>
      <c r="I167" t="inlineStr">
        <is>
          <t>Transactional</t>
        </is>
      </c>
      <c r="J167" t="inlineStr">
        <is>
          <t>BOFU</t>
        </is>
      </c>
      <c r="K167" t="inlineStr">
        <is>
          <t>Dubai</t>
        </is>
      </c>
      <c r="L167" t="inlineStr">
        <is>
          <t>Category</t>
        </is>
      </c>
      <c r="M167">
        <f>IFERROR(VLOOKUP($A167,'Semrush Import'!$A:$D,2,FALSE),"")</f>
        <v/>
      </c>
      <c r="N167">
        <f>IFERROR(VLOOKUP($A167,'Semrush Import'!$A:$D,3,FALSE),"")</f>
        <v/>
      </c>
      <c r="O167">
        <f>IFERROR(VLOOKUP($A167,'Semrush Import'!$A:$D,4,FALSE),"")</f>
        <v/>
      </c>
      <c r="P167">
        <f>IFERROR(VLOOKUP($A167,'KP Import'!$A:$B,2,FALSE),"")</f>
        <v/>
      </c>
      <c r="Q167">
        <f>IF(M167="","",ROUND(M167/(N167+10),1))</f>
        <v/>
      </c>
      <c r="R167">
        <f>IF(Q167="","",IF(Q167&gt;=20,"A - Go first",IF(Q167&gt;=5,"B - Next","C - Later")))</f>
        <v/>
      </c>
      <c r="S167" t="inlineStr">
        <is>
          <t>To do</t>
        </is>
      </c>
      <c r="T167" t="inlineStr"/>
    </row>
    <row r="168">
      <c r="A168" t="inlineStr">
        <is>
          <t>sushi rice wholesale dubai</t>
        </is>
      </c>
      <c r="B168" t="inlineStr">
        <is>
          <t>Phase 1 - B2B now</t>
        </is>
      </c>
      <c r="C168" t="inlineStr">
        <is>
          <t>Wholesalers / bulk buyers</t>
        </is>
      </c>
      <c r="D168" t="inlineStr">
        <is>
          <t>Specialty &amp; South Indian Rice</t>
        </is>
      </c>
      <c r="E168" t="inlineStr">
        <is>
          <t>Secondary (long-tail)</t>
        </is>
      </c>
      <c r="F168" t="inlineStr">
        <is>
          <t>H3 / body paragraph / table row / image alt</t>
        </is>
      </c>
      <c r="G168" t="inlineStr">
        <is>
          <t>Wholesale/B2B</t>
        </is>
      </c>
      <c r="H168" t="inlineStr">
        <is>
          <t>Specialty</t>
        </is>
      </c>
      <c r="I168" t="inlineStr">
        <is>
          <t>Transactional (B2B)</t>
        </is>
      </c>
      <c r="J168" t="inlineStr">
        <is>
          <t>BOFU</t>
        </is>
      </c>
      <c r="K168" t="inlineStr">
        <is>
          <t>Dubai</t>
        </is>
      </c>
      <c r="L168" t="inlineStr">
        <is>
          <t>Landing</t>
        </is>
      </c>
      <c r="M168">
        <f>IFERROR(VLOOKUP($A168,'Semrush Import'!$A:$D,2,FALSE),"")</f>
        <v/>
      </c>
      <c r="N168">
        <f>IFERROR(VLOOKUP($A168,'Semrush Import'!$A:$D,3,FALSE),"")</f>
        <v/>
      </c>
      <c r="O168">
        <f>IFERROR(VLOOKUP($A168,'Semrush Import'!$A:$D,4,FALSE),"")</f>
        <v/>
      </c>
      <c r="P168">
        <f>IFERROR(VLOOKUP($A168,'KP Import'!$A:$B,2,FALSE),"")</f>
        <v/>
      </c>
      <c r="Q168">
        <f>IF(M168="","",ROUND(M168/(N168+10),1))</f>
        <v/>
      </c>
      <c r="R168">
        <f>IF(Q168="","",IF(Q168&gt;=20,"A - Go first",IF(Q168&gt;=5,"B - Next","C - Later")))</f>
        <v/>
      </c>
      <c r="S168" t="inlineStr">
        <is>
          <t>To do</t>
        </is>
      </c>
      <c r="T168" t="inlineStr"/>
    </row>
    <row r="169">
      <c r="A169" t="inlineStr">
        <is>
          <t>sushi rice supplier uae</t>
        </is>
      </c>
      <c r="B169" t="inlineStr">
        <is>
          <t>Phase 1 - B2B now</t>
        </is>
      </c>
      <c r="C169" t="inlineStr">
        <is>
          <t>Wholesalers / bulk buyers</t>
        </is>
      </c>
      <c r="D169" t="inlineStr">
        <is>
          <t>Specialty &amp; South Indian Rice</t>
        </is>
      </c>
      <c r="E169" t="inlineStr">
        <is>
          <t>Secondary (long-tail)</t>
        </is>
      </c>
      <c r="F169" t="inlineStr">
        <is>
          <t>H3 / body paragraph / table row / image alt</t>
        </is>
      </c>
      <c r="G169" t="inlineStr">
        <is>
          <t>Wholesale/B2B</t>
        </is>
      </c>
      <c r="H169" t="inlineStr">
        <is>
          <t>Specialty</t>
        </is>
      </c>
      <c r="I169" t="inlineStr">
        <is>
          <t>Transactional (B2B)</t>
        </is>
      </c>
      <c r="J169" t="inlineStr">
        <is>
          <t>BOFU</t>
        </is>
      </c>
      <c r="K169" t="inlineStr">
        <is>
          <t>UAE</t>
        </is>
      </c>
      <c r="L169" t="inlineStr">
        <is>
          <t>Landing</t>
        </is>
      </c>
      <c r="M169">
        <f>IFERROR(VLOOKUP($A169,'Semrush Import'!$A:$D,2,FALSE),"")</f>
        <v/>
      </c>
      <c r="N169">
        <f>IFERROR(VLOOKUP($A169,'Semrush Import'!$A:$D,3,FALSE),"")</f>
        <v/>
      </c>
      <c r="O169">
        <f>IFERROR(VLOOKUP($A169,'Semrush Import'!$A:$D,4,FALSE),"")</f>
        <v/>
      </c>
      <c r="P169">
        <f>IFERROR(VLOOKUP($A169,'KP Import'!$A:$B,2,FALSE),"")</f>
        <v/>
      </c>
      <c r="Q169">
        <f>IF(M169="","",ROUND(M169/(N169+10),1))</f>
        <v/>
      </c>
      <c r="R169">
        <f>IF(Q169="","",IF(Q169&gt;=20,"A - Go first",IF(Q169&gt;=5,"B - Next","C - Later")))</f>
        <v/>
      </c>
      <c r="S169" t="inlineStr">
        <is>
          <t>To do</t>
        </is>
      </c>
      <c r="T169" t="inlineStr"/>
    </row>
    <row r="170">
      <c r="A170" t="inlineStr">
        <is>
          <t>arborio rice</t>
        </is>
      </c>
      <c r="B170" t="inlineStr">
        <is>
          <t>Phase 1 - B2B now</t>
        </is>
      </c>
      <c r="C170" t="inlineStr">
        <is>
          <t>Wholesalers / bulk buyers</t>
        </is>
      </c>
      <c r="D170" t="inlineStr">
        <is>
          <t>Specialty &amp; South Indian Rice</t>
        </is>
      </c>
      <c r="E170" t="inlineStr">
        <is>
          <t>Secondary (short)</t>
        </is>
      </c>
      <c r="F170" t="inlineStr">
        <is>
          <t>H2 heading + 1st paragraph under it</t>
        </is>
      </c>
      <c r="G170" t="inlineStr">
        <is>
          <t>Core product</t>
        </is>
      </c>
      <c r="H170" t="inlineStr">
        <is>
          <t>Specialty</t>
        </is>
      </c>
      <c r="I170" t="inlineStr">
        <is>
          <t>Informational/Commercial</t>
        </is>
      </c>
      <c r="J170" t="inlineStr">
        <is>
          <t>TOFU</t>
        </is>
      </c>
      <c r="K170" t="inlineStr">
        <is>
          <t>UAE (generic)</t>
        </is>
      </c>
      <c r="L170" t="inlineStr">
        <is>
          <t>Category</t>
        </is>
      </c>
      <c r="M170">
        <f>IFERROR(VLOOKUP($A170,'Semrush Import'!$A:$D,2,FALSE),"")</f>
        <v/>
      </c>
      <c r="N170">
        <f>IFERROR(VLOOKUP($A170,'Semrush Import'!$A:$D,3,FALSE),"")</f>
        <v/>
      </c>
      <c r="O170">
        <f>IFERROR(VLOOKUP($A170,'Semrush Import'!$A:$D,4,FALSE),"")</f>
        <v/>
      </c>
      <c r="P170">
        <f>IFERROR(VLOOKUP($A170,'KP Import'!$A:$B,2,FALSE),"")</f>
        <v/>
      </c>
      <c r="Q170">
        <f>IF(M170="","",ROUND(M170/(N170+10),1))</f>
        <v/>
      </c>
      <c r="R170">
        <f>IF(Q170="","",IF(Q170&gt;=20,"A - Go first",IF(Q170&gt;=5,"B - Next","C - Later")))</f>
        <v/>
      </c>
      <c r="S170" t="inlineStr">
        <is>
          <t>To do</t>
        </is>
      </c>
      <c r="T170" t="inlineStr"/>
    </row>
    <row r="171">
      <c r="A171" t="inlineStr">
        <is>
          <t>buy arborio rice online</t>
        </is>
      </c>
      <c r="B171" t="inlineStr">
        <is>
          <t>Phase 2 - B2C (later)</t>
        </is>
      </c>
      <c r="C171" t="inlineStr">
        <is>
          <t>Consumer / household</t>
        </is>
      </c>
      <c r="D171" t="inlineStr">
        <is>
          <t>Shop (B2C)</t>
        </is>
      </c>
      <c r="E171" t="inlineStr">
        <is>
          <t>Secondary (long-tail)</t>
        </is>
      </c>
      <c r="F171" t="inlineStr">
        <is>
          <t>H3 / body paragraph / table row / image alt</t>
        </is>
      </c>
      <c r="G171" t="inlineStr">
        <is>
          <t>Transactional</t>
        </is>
      </c>
      <c r="H171" t="inlineStr">
        <is>
          <t>Specialty</t>
        </is>
      </c>
      <c r="I171" t="inlineStr">
        <is>
          <t>Transactional</t>
        </is>
      </c>
      <c r="J171" t="inlineStr">
        <is>
          <t>BOFU</t>
        </is>
      </c>
      <c r="K171" t="inlineStr">
        <is>
          <t>UAE (generic)</t>
        </is>
      </c>
      <c r="L171" t="inlineStr">
        <is>
          <t>Category</t>
        </is>
      </c>
      <c r="M171">
        <f>IFERROR(VLOOKUP($A171,'Semrush Import'!$A:$D,2,FALSE),"")</f>
        <v/>
      </c>
      <c r="N171">
        <f>IFERROR(VLOOKUP($A171,'Semrush Import'!$A:$D,3,FALSE),"")</f>
        <v/>
      </c>
      <c r="O171">
        <f>IFERROR(VLOOKUP($A171,'Semrush Import'!$A:$D,4,FALSE),"")</f>
        <v/>
      </c>
      <c r="P171">
        <f>IFERROR(VLOOKUP($A171,'KP Import'!$A:$B,2,FALSE),"")</f>
        <v/>
      </c>
      <c r="Q171">
        <f>IF(M171="","",ROUND(M171/(N171+10),1))</f>
        <v/>
      </c>
      <c r="R171">
        <f>IF(Q171="","",IF(Q171&gt;=20,"A - Go first",IF(Q171&gt;=5,"B - Next","C - Later")))</f>
        <v/>
      </c>
      <c r="S171" t="inlineStr">
        <is>
          <t>To do</t>
        </is>
      </c>
      <c r="T171" t="inlineStr"/>
    </row>
    <row r="172">
      <c r="A172" t="inlineStr">
        <is>
          <t>arborio rice price in uae</t>
        </is>
      </c>
      <c r="B172" t="inlineStr">
        <is>
          <t>Phase 1 - B2B now</t>
        </is>
      </c>
      <c r="C172" t="inlineStr">
        <is>
          <t>Wholesalers / bulk buyers</t>
        </is>
      </c>
      <c r="D172" t="inlineStr">
        <is>
          <t>Specialty &amp; South Indian Rice</t>
        </is>
      </c>
      <c r="E172" t="inlineStr">
        <is>
          <t>Secondary (long-tail)</t>
        </is>
      </c>
      <c r="F172" t="inlineStr">
        <is>
          <t>H3 / body paragraph / table row / image alt</t>
        </is>
      </c>
      <c r="G172" t="inlineStr">
        <is>
          <t>Price</t>
        </is>
      </c>
      <c r="H172" t="inlineStr">
        <is>
          <t>Specialty</t>
        </is>
      </c>
      <c r="I172" t="inlineStr">
        <is>
          <t>Commercial/Transactional</t>
        </is>
      </c>
      <c r="J172" t="inlineStr">
        <is>
          <t>MOFU</t>
        </is>
      </c>
      <c r="K172" t="inlineStr">
        <is>
          <t>UAE</t>
        </is>
      </c>
      <c r="L172" t="inlineStr">
        <is>
          <t>Category</t>
        </is>
      </c>
      <c r="M172">
        <f>IFERROR(VLOOKUP($A172,'Semrush Import'!$A:$D,2,FALSE),"")</f>
        <v/>
      </c>
      <c r="N172">
        <f>IFERROR(VLOOKUP($A172,'Semrush Import'!$A:$D,3,FALSE),"")</f>
        <v/>
      </c>
      <c r="O172">
        <f>IFERROR(VLOOKUP($A172,'Semrush Import'!$A:$D,4,FALSE),"")</f>
        <v/>
      </c>
      <c r="P172">
        <f>IFERROR(VLOOKUP($A172,'KP Import'!$A:$B,2,FALSE),"")</f>
        <v/>
      </c>
      <c r="Q172">
        <f>IF(M172="","",ROUND(M172/(N172+10),1))</f>
        <v/>
      </c>
      <c r="R172">
        <f>IF(Q172="","",IF(Q172&gt;=20,"A - Go first",IF(Q172&gt;=5,"B - Next","C - Later")))</f>
        <v/>
      </c>
      <c r="S172" t="inlineStr">
        <is>
          <t>To do</t>
        </is>
      </c>
      <c r="T172" t="inlineStr"/>
    </row>
    <row r="173">
      <c r="A173" t="inlineStr">
        <is>
          <t>arborio rice price in dubai</t>
        </is>
      </c>
      <c r="B173" t="inlineStr">
        <is>
          <t>Phase 1 - B2B now</t>
        </is>
      </c>
      <c r="C173" t="inlineStr">
        <is>
          <t>Wholesalers / bulk buyers</t>
        </is>
      </c>
      <c r="D173" t="inlineStr">
        <is>
          <t>Specialty &amp; South Indian Rice</t>
        </is>
      </c>
      <c r="E173" t="inlineStr">
        <is>
          <t>Secondary (long-tail)</t>
        </is>
      </c>
      <c r="F173" t="inlineStr">
        <is>
          <t>H3 / body paragraph / table row / image alt</t>
        </is>
      </c>
      <c r="G173" t="inlineStr">
        <is>
          <t>Price</t>
        </is>
      </c>
      <c r="H173" t="inlineStr">
        <is>
          <t>Specialty</t>
        </is>
      </c>
      <c r="I173" t="inlineStr">
        <is>
          <t>Commercial/Transactional</t>
        </is>
      </c>
      <c r="J173" t="inlineStr">
        <is>
          <t>MOFU</t>
        </is>
      </c>
      <c r="K173" t="inlineStr">
        <is>
          <t>Dubai</t>
        </is>
      </c>
      <c r="L173" t="inlineStr">
        <is>
          <t>Category</t>
        </is>
      </c>
      <c r="M173">
        <f>IFERROR(VLOOKUP($A173,'Semrush Import'!$A:$D,2,FALSE),"")</f>
        <v/>
      </c>
      <c r="N173">
        <f>IFERROR(VLOOKUP($A173,'Semrush Import'!$A:$D,3,FALSE),"")</f>
        <v/>
      </c>
      <c r="O173">
        <f>IFERROR(VLOOKUP($A173,'Semrush Import'!$A:$D,4,FALSE),"")</f>
        <v/>
      </c>
      <c r="P173">
        <f>IFERROR(VLOOKUP($A173,'KP Import'!$A:$B,2,FALSE),"")</f>
        <v/>
      </c>
      <c r="Q173">
        <f>IF(M173="","",ROUND(M173/(N173+10),1))</f>
        <v/>
      </c>
      <c r="R173">
        <f>IF(Q173="","",IF(Q173&gt;=20,"A - Go first",IF(Q173&gt;=5,"B - Next","C - Later")))</f>
        <v/>
      </c>
      <c r="S173" t="inlineStr">
        <is>
          <t>To do</t>
        </is>
      </c>
      <c r="T173" t="inlineStr"/>
    </row>
    <row r="174">
      <c r="A174" t="inlineStr">
        <is>
          <t>arborio rice online dubai</t>
        </is>
      </c>
      <c r="B174" t="inlineStr">
        <is>
          <t>Phase 2 - B2C (later)</t>
        </is>
      </c>
      <c r="C174" t="inlineStr">
        <is>
          <t>Consumer / household</t>
        </is>
      </c>
      <c r="D174" t="inlineStr">
        <is>
          <t>Shop (B2C)</t>
        </is>
      </c>
      <c r="E174" t="inlineStr">
        <is>
          <t>Secondary (long-tail)</t>
        </is>
      </c>
      <c r="F174" t="inlineStr">
        <is>
          <t>H3 / body paragraph / table row / image alt</t>
        </is>
      </c>
      <c r="G174" t="inlineStr">
        <is>
          <t>Transactional</t>
        </is>
      </c>
      <c r="H174" t="inlineStr">
        <is>
          <t>Specialty</t>
        </is>
      </c>
      <c r="I174" t="inlineStr">
        <is>
          <t>Transactional</t>
        </is>
      </c>
      <c r="J174" t="inlineStr">
        <is>
          <t>BOFU</t>
        </is>
      </c>
      <c r="K174" t="inlineStr">
        <is>
          <t>Dubai</t>
        </is>
      </c>
      <c r="L174" t="inlineStr">
        <is>
          <t>Category</t>
        </is>
      </c>
      <c r="M174">
        <f>IFERROR(VLOOKUP($A174,'Semrush Import'!$A:$D,2,FALSE),"")</f>
        <v/>
      </c>
      <c r="N174">
        <f>IFERROR(VLOOKUP($A174,'Semrush Import'!$A:$D,3,FALSE),"")</f>
        <v/>
      </c>
      <c r="O174">
        <f>IFERROR(VLOOKUP($A174,'Semrush Import'!$A:$D,4,FALSE),"")</f>
        <v/>
      </c>
      <c r="P174">
        <f>IFERROR(VLOOKUP($A174,'KP Import'!$A:$B,2,FALSE),"")</f>
        <v/>
      </c>
      <c r="Q174">
        <f>IF(M174="","",ROUND(M174/(N174+10),1))</f>
        <v/>
      </c>
      <c r="R174">
        <f>IF(Q174="","",IF(Q174&gt;=20,"A - Go first",IF(Q174&gt;=5,"B - Next","C - Later")))</f>
        <v/>
      </c>
      <c r="S174" t="inlineStr">
        <is>
          <t>To do</t>
        </is>
      </c>
      <c r="T174" t="inlineStr"/>
    </row>
    <row r="175">
      <c r="A175" t="inlineStr">
        <is>
          <t>arborio rice wholesale dubai</t>
        </is>
      </c>
      <c r="B175" t="inlineStr">
        <is>
          <t>Phase 1 - B2B now</t>
        </is>
      </c>
      <c r="C175" t="inlineStr">
        <is>
          <t>Wholesalers / bulk buyers</t>
        </is>
      </c>
      <c r="D175" t="inlineStr">
        <is>
          <t>Specialty &amp; South Indian Rice</t>
        </is>
      </c>
      <c r="E175" t="inlineStr">
        <is>
          <t>Secondary (long-tail)</t>
        </is>
      </c>
      <c r="F175" t="inlineStr">
        <is>
          <t>H3 / body paragraph / table row / image alt</t>
        </is>
      </c>
      <c r="G175" t="inlineStr">
        <is>
          <t>Wholesale/B2B</t>
        </is>
      </c>
      <c r="H175" t="inlineStr">
        <is>
          <t>Specialty</t>
        </is>
      </c>
      <c r="I175" t="inlineStr">
        <is>
          <t>Transactional (B2B)</t>
        </is>
      </c>
      <c r="J175" t="inlineStr">
        <is>
          <t>BOFU</t>
        </is>
      </c>
      <c r="K175" t="inlineStr">
        <is>
          <t>Dubai</t>
        </is>
      </c>
      <c r="L175" t="inlineStr">
        <is>
          <t>Landing</t>
        </is>
      </c>
      <c r="M175">
        <f>IFERROR(VLOOKUP($A175,'Semrush Import'!$A:$D,2,FALSE),"")</f>
        <v/>
      </c>
      <c r="N175">
        <f>IFERROR(VLOOKUP($A175,'Semrush Import'!$A:$D,3,FALSE),"")</f>
        <v/>
      </c>
      <c r="O175">
        <f>IFERROR(VLOOKUP($A175,'Semrush Import'!$A:$D,4,FALSE),"")</f>
        <v/>
      </c>
      <c r="P175">
        <f>IFERROR(VLOOKUP($A175,'KP Import'!$A:$B,2,FALSE),"")</f>
        <v/>
      </c>
      <c r="Q175">
        <f>IF(M175="","",ROUND(M175/(N175+10),1))</f>
        <v/>
      </c>
      <c r="R175">
        <f>IF(Q175="","",IF(Q175&gt;=20,"A - Go first",IF(Q175&gt;=5,"B - Next","C - Later")))</f>
        <v/>
      </c>
      <c r="S175" t="inlineStr">
        <is>
          <t>To do</t>
        </is>
      </c>
      <c r="T175" t="inlineStr"/>
    </row>
    <row r="176">
      <c r="A176" t="inlineStr">
        <is>
          <t>arborio rice supplier uae</t>
        </is>
      </c>
      <c r="B176" t="inlineStr">
        <is>
          <t>Phase 1 - B2B now</t>
        </is>
      </c>
      <c r="C176" t="inlineStr">
        <is>
          <t>Wholesalers / bulk buyers</t>
        </is>
      </c>
      <c r="D176" t="inlineStr">
        <is>
          <t>Specialty &amp; South Indian Rice</t>
        </is>
      </c>
      <c r="E176" t="inlineStr">
        <is>
          <t>Secondary (long-tail)</t>
        </is>
      </c>
      <c r="F176" t="inlineStr">
        <is>
          <t>H3 / body paragraph / table row / image alt</t>
        </is>
      </c>
      <c r="G176" t="inlineStr">
        <is>
          <t>Wholesale/B2B</t>
        </is>
      </c>
      <c r="H176" t="inlineStr">
        <is>
          <t>Specialty</t>
        </is>
      </c>
      <c r="I176" t="inlineStr">
        <is>
          <t>Transactional (B2B)</t>
        </is>
      </c>
      <c r="J176" t="inlineStr">
        <is>
          <t>BOFU</t>
        </is>
      </c>
      <c r="K176" t="inlineStr">
        <is>
          <t>UAE</t>
        </is>
      </c>
      <c r="L176" t="inlineStr">
        <is>
          <t>Landing</t>
        </is>
      </c>
      <c r="M176">
        <f>IFERROR(VLOOKUP($A176,'Semrush Import'!$A:$D,2,FALSE),"")</f>
        <v/>
      </c>
      <c r="N176">
        <f>IFERROR(VLOOKUP($A176,'Semrush Import'!$A:$D,3,FALSE),"")</f>
        <v/>
      </c>
      <c r="O176">
        <f>IFERROR(VLOOKUP($A176,'Semrush Import'!$A:$D,4,FALSE),"")</f>
        <v/>
      </c>
      <c r="P176">
        <f>IFERROR(VLOOKUP($A176,'KP Import'!$A:$B,2,FALSE),"")</f>
        <v/>
      </c>
      <c r="Q176">
        <f>IF(M176="","",ROUND(M176/(N176+10),1))</f>
        <v/>
      </c>
      <c r="R176">
        <f>IF(Q176="","",IF(Q176&gt;=20,"A - Go first",IF(Q176&gt;=5,"B - Next","C - Later")))</f>
        <v/>
      </c>
      <c r="S176" t="inlineStr">
        <is>
          <t>To do</t>
        </is>
      </c>
      <c r="T176" t="inlineStr"/>
    </row>
    <row r="177">
      <c r="A177" t="inlineStr">
        <is>
          <t>brown rice</t>
        </is>
      </c>
      <c r="B177" t="inlineStr">
        <is>
          <t>Phase 1 - B2B now</t>
        </is>
      </c>
      <c r="C177" t="inlineStr">
        <is>
          <t>Wholesalers / bulk buyers</t>
        </is>
      </c>
      <c r="D177" t="inlineStr">
        <is>
          <t>Specialty &amp; South Indian Rice</t>
        </is>
      </c>
      <c r="E177" t="inlineStr">
        <is>
          <t>Secondary (short)</t>
        </is>
      </c>
      <c r="F177" t="inlineStr">
        <is>
          <t>H2 heading + 1st paragraph under it</t>
        </is>
      </c>
      <c r="G177" t="inlineStr">
        <is>
          <t>Core product</t>
        </is>
      </c>
      <c r="H177" t="inlineStr">
        <is>
          <t>Healthy</t>
        </is>
      </c>
      <c r="I177" t="inlineStr">
        <is>
          <t>Informational/Commercial</t>
        </is>
      </c>
      <c r="J177" t="inlineStr">
        <is>
          <t>TOFU</t>
        </is>
      </c>
      <c r="K177" t="inlineStr">
        <is>
          <t>UAE (generic)</t>
        </is>
      </c>
      <c r="L177" t="inlineStr">
        <is>
          <t>Category</t>
        </is>
      </c>
      <c r="M177">
        <f>IFERROR(VLOOKUP($A177,'Semrush Import'!$A:$D,2,FALSE),"")</f>
        <v/>
      </c>
      <c r="N177">
        <f>IFERROR(VLOOKUP($A177,'Semrush Import'!$A:$D,3,FALSE),"")</f>
        <v/>
      </c>
      <c r="O177">
        <f>IFERROR(VLOOKUP($A177,'Semrush Import'!$A:$D,4,FALSE),"")</f>
        <v/>
      </c>
      <c r="P177">
        <f>IFERROR(VLOOKUP($A177,'KP Import'!$A:$B,2,FALSE),"")</f>
        <v/>
      </c>
      <c r="Q177">
        <f>IF(M177="","",ROUND(M177/(N177+10),1))</f>
        <v/>
      </c>
      <c r="R177">
        <f>IF(Q177="","",IF(Q177&gt;=20,"A - Go first",IF(Q177&gt;=5,"B - Next","C - Later")))</f>
        <v/>
      </c>
      <c r="S177" t="inlineStr">
        <is>
          <t>To do</t>
        </is>
      </c>
      <c r="T177" t="inlineStr"/>
    </row>
    <row r="178">
      <c r="A178" t="inlineStr">
        <is>
          <t>buy brown rice online</t>
        </is>
      </c>
      <c r="B178" t="inlineStr">
        <is>
          <t>Phase 2 - B2C (later)</t>
        </is>
      </c>
      <c r="C178" t="inlineStr">
        <is>
          <t>Consumer / household</t>
        </is>
      </c>
      <c r="D178" t="inlineStr">
        <is>
          <t>Shop (B2C)</t>
        </is>
      </c>
      <c r="E178" t="inlineStr">
        <is>
          <t>Secondary (long-tail)</t>
        </is>
      </c>
      <c r="F178" t="inlineStr">
        <is>
          <t>H3 / body paragraph / table row / image alt</t>
        </is>
      </c>
      <c r="G178" t="inlineStr">
        <is>
          <t>Transactional</t>
        </is>
      </c>
      <c r="H178" t="inlineStr">
        <is>
          <t>Healthy</t>
        </is>
      </c>
      <c r="I178" t="inlineStr">
        <is>
          <t>Transactional</t>
        </is>
      </c>
      <c r="J178" t="inlineStr">
        <is>
          <t>BOFU</t>
        </is>
      </c>
      <c r="K178" t="inlineStr">
        <is>
          <t>UAE (generic)</t>
        </is>
      </c>
      <c r="L178" t="inlineStr">
        <is>
          <t>Category</t>
        </is>
      </c>
      <c r="M178">
        <f>IFERROR(VLOOKUP($A178,'Semrush Import'!$A:$D,2,FALSE),"")</f>
        <v/>
      </c>
      <c r="N178">
        <f>IFERROR(VLOOKUP($A178,'Semrush Import'!$A:$D,3,FALSE),"")</f>
        <v/>
      </c>
      <c r="O178">
        <f>IFERROR(VLOOKUP($A178,'Semrush Import'!$A:$D,4,FALSE),"")</f>
        <v/>
      </c>
      <c r="P178">
        <f>IFERROR(VLOOKUP($A178,'KP Import'!$A:$B,2,FALSE),"")</f>
        <v/>
      </c>
      <c r="Q178">
        <f>IF(M178="","",ROUND(M178/(N178+10),1))</f>
        <v/>
      </c>
      <c r="R178">
        <f>IF(Q178="","",IF(Q178&gt;=20,"A - Go first",IF(Q178&gt;=5,"B - Next","C - Later")))</f>
        <v/>
      </c>
      <c r="S178" t="inlineStr">
        <is>
          <t>To do</t>
        </is>
      </c>
      <c r="T178" t="inlineStr"/>
    </row>
    <row r="179">
      <c r="A179" t="inlineStr">
        <is>
          <t>brown rice price in uae</t>
        </is>
      </c>
      <c r="B179" t="inlineStr">
        <is>
          <t>Phase 1 - B2B now</t>
        </is>
      </c>
      <c r="C179" t="inlineStr">
        <is>
          <t>Wholesalers / bulk buyers</t>
        </is>
      </c>
      <c r="D179" t="inlineStr">
        <is>
          <t>Specialty &amp; South Indian Rice</t>
        </is>
      </c>
      <c r="E179" t="inlineStr">
        <is>
          <t>Secondary (long-tail)</t>
        </is>
      </c>
      <c r="F179" t="inlineStr">
        <is>
          <t>H3 / body paragraph / table row / image alt</t>
        </is>
      </c>
      <c r="G179" t="inlineStr">
        <is>
          <t>Price</t>
        </is>
      </c>
      <c r="H179" t="inlineStr">
        <is>
          <t>Healthy</t>
        </is>
      </c>
      <c r="I179" t="inlineStr">
        <is>
          <t>Commercial/Transactional</t>
        </is>
      </c>
      <c r="J179" t="inlineStr">
        <is>
          <t>MOFU</t>
        </is>
      </c>
      <c r="K179" t="inlineStr">
        <is>
          <t>UAE</t>
        </is>
      </c>
      <c r="L179" t="inlineStr">
        <is>
          <t>Category</t>
        </is>
      </c>
      <c r="M179">
        <f>IFERROR(VLOOKUP($A179,'Semrush Import'!$A:$D,2,FALSE),"")</f>
        <v/>
      </c>
      <c r="N179">
        <f>IFERROR(VLOOKUP($A179,'Semrush Import'!$A:$D,3,FALSE),"")</f>
        <v/>
      </c>
      <c r="O179">
        <f>IFERROR(VLOOKUP($A179,'Semrush Import'!$A:$D,4,FALSE),"")</f>
        <v/>
      </c>
      <c r="P179">
        <f>IFERROR(VLOOKUP($A179,'KP Import'!$A:$B,2,FALSE),"")</f>
        <v/>
      </c>
      <c r="Q179">
        <f>IF(M179="","",ROUND(M179/(N179+10),1))</f>
        <v/>
      </c>
      <c r="R179">
        <f>IF(Q179="","",IF(Q179&gt;=20,"A - Go first",IF(Q179&gt;=5,"B - Next","C - Later")))</f>
        <v/>
      </c>
      <c r="S179" t="inlineStr">
        <is>
          <t>To do</t>
        </is>
      </c>
      <c r="T179" t="inlineStr"/>
    </row>
    <row r="180">
      <c r="A180" t="inlineStr">
        <is>
          <t>brown rice price in dubai</t>
        </is>
      </c>
      <c r="B180" t="inlineStr">
        <is>
          <t>Phase 1 - B2B now</t>
        </is>
      </c>
      <c r="C180" t="inlineStr">
        <is>
          <t>Wholesalers / bulk buyers</t>
        </is>
      </c>
      <c r="D180" t="inlineStr">
        <is>
          <t>Specialty &amp; South Indian Rice</t>
        </is>
      </c>
      <c r="E180" t="inlineStr">
        <is>
          <t>Secondary (long-tail)</t>
        </is>
      </c>
      <c r="F180" t="inlineStr">
        <is>
          <t>H3 / body paragraph / table row / image alt</t>
        </is>
      </c>
      <c r="G180" t="inlineStr">
        <is>
          <t>Price</t>
        </is>
      </c>
      <c r="H180" t="inlineStr">
        <is>
          <t>Healthy</t>
        </is>
      </c>
      <c r="I180" t="inlineStr">
        <is>
          <t>Commercial/Transactional</t>
        </is>
      </c>
      <c r="J180" t="inlineStr">
        <is>
          <t>MOFU</t>
        </is>
      </c>
      <c r="K180" t="inlineStr">
        <is>
          <t>Dubai</t>
        </is>
      </c>
      <c r="L180" t="inlineStr">
        <is>
          <t>Category</t>
        </is>
      </c>
      <c r="M180">
        <f>IFERROR(VLOOKUP($A180,'Semrush Import'!$A:$D,2,FALSE),"")</f>
        <v/>
      </c>
      <c r="N180">
        <f>IFERROR(VLOOKUP($A180,'Semrush Import'!$A:$D,3,FALSE),"")</f>
        <v/>
      </c>
      <c r="O180">
        <f>IFERROR(VLOOKUP($A180,'Semrush Import'!$A:$D,4,FALSE),"")</f>
        <v/>
      </c>
      <c r="P180">
        <f>IFERROR(VLOOKUP($A180,'KP Import'!$A:$B,2,FALSE),"")</f>
        <v/>
      </c>
      <c r="Q180">
        <f>IF(M180="","",ROUND(M180/(N180+10),1))</f>
        <v/>
      </c>
      <c r="R180">
        <f>IF(Q180="","",IF(Q180&gt;=20,"A - Go first",IF(Q180&gt;=5,"B - Next","C - Later")))</f>
        <v/>
      </c>
      <c r="S180" t="inlineStr">
        <is>
          <t>To do</t>
        </is>
      </c>
      <c r="T180" t="inlineStr"/>
    </row>
    <row r="181">
      <c r="A181" t="inlineStr">
        <is>
          <t>brown rice online dubai</t>
        </is>
      </c>
      <c r="B181" t="inlineStr">
        <is>
          <t>Phase 2 - B2C (later)</t>
        </is>
      </c>
      <c r="C181" t="inlineStr">
        <is>
          <t>Consumer / household</t>
        </is>
      </c>
      <c r="D181" t="inlineStr">
        <is>
          <t>Shop (B2C)</t>
        </is>
      </c>
      <c r="E181" t="inlineStr">
        <is>
          <t>Secondary (long-tail)</t>
        </is>
      </c>
      <c r="F181" t="inlineStr">
        <is>
          <t>H3 / body paragraph / table row / image alt</t>
        </is>
      </c>
      <c r="G181" t="inlineStr">
        <is>
          <t>Transactional</t>
        </is>
      </c>
      <c r="H181" t="inlineStr">
        <is>
          <t>Healthy</t>
        </is>
      </c>
      <c r="I181" t="inlineStr">
        <is>
          <t>Transactional</t>
        </is>
      </c>
      <c r="J181" t="inlineStr">
        <is>
          <t>BOFU</t>
        </is>
      </c>
      <c r="K181" t="inlineStr">
        <is>
          <t>Dubai</t>
        </is>
      </c>
      <c r="L181" t="inlineStr">
        <is>
          <t>Category</t>
        </is>
      </c>
      <c r="M181">
        <f>IFERROR(VLOOKUP($A181,'Semrush Import'!$A:$D,2,FALSE),"")</f>
        <v/>
      </c>
      <c r="N181">
        <f>IFERROR(VLOOKUP($A181,'Semrush Import'!$A:$D,3,FALSE),"")</f>
        <v/>
      </c>
      <c r="O181">
        <f>IFERROR(VLOOKUP($A181,'Semrush Import'!$A:$D,4,FALSE),"")</f>
        <v/>
      </c>
      <c r="P181">
        <f>IFERROR(VLOOKUP($A181,'KP Import'!$A:$B,2,FALSE),"")</f>
        <v/>
      </c>
      <c r="Q181">
        <f>IF(M181="","",ROUND(M181/(N181+10),1))</f>
        <v/>
      </c>
      <c r="R181">
        <f>IF(Q181="","",IF(Q181&gt;=20,"A - Go first",IF(Q181&gt;=5,"B - Next","C - Later")))</f>
        <v/>
      </c>
      <c r="S181" t="inlineStr">
        <is>
          <t>To do</t>
        </is>
      </c>
      <c r="T181" t="inlineStr"/>
    </row>
    <row r="182">
      <c r="A182" t="inlineStr">
        <is>
          <t>brown rice wholesale dubai</t>
        </is>
      </c>
      <c r="B182" t="inlineStr">
        <is>
          <t>Phase 1 - B2B now</t>
        </is>
      </c>
      <c r="C182" t="inlineStr">
        <is>
          <t>Wholesalers / bulk buyers</t>
        </is>
      </c>
      <c r="D182" t="inlineStr">
        <is>
          <t>Specialty &amp; South Indian Rice</t>
        </is>
      </c>
      <c r="E182" t="inlineStr">
        <is>
          <t>Secondary (long-tail)</t>
        </is>
      </c>
      <c r="F182" t="inlineStr">
        <is>
          <t>H3 / body paragraph / table row / image alt</t>
        </is>
      </c>
      <c r="G182" t="inlineStr">
        <is>
          <t>Wholesale/B2B</t>
        </is>
      </c>
      <c r="H182" t="inlineStr">
        <is>
          <t>Healthy</t>
        </is>
      </c>
      <c r="I182" t="inlineStr">
        <is>
          <t>Transactional (B2B)</t>
        </is>
      </c>
      <c r="J182" t="inlineStr">
        <is>
          <t>BOFU</t>
        </is>
      </c>
      <c r="K182" t="inlineStr">
        <is>
          <t>Dubai</t>
        </is>
      </c>
      <c r="L182" t="inlineStr">
        <is>
          <t>Landing</t>
        </is>
      </c>
      <c r="M182">
        <f>IFERROR(VLOOKUP($A182,'Semrush Import'!$A:$D,2,FALSE),"")</f>
        <v/>
      </c>
      <c r="N182">
        <f>IFERROR(VLOOKUP($A182,'Semrush Import'!$A:$D,3,FALSE),"")</f>
        <v/>
      </c>
      <c r="O182">
        <f>IFERROR(VLOOKUP($A182,'Semrush Import'!$A:$D,4,FALSE),"")</f>
        <v/>
      </c>
      <c r="P182">
        <f>IFERROR(VLOOKUP($A182,'KP Import'!$A:$B,2,FALSE),"")</f>
        <v/>
      </c>
      <c r="Q182">
        <f>IF(M182="","",ROUND(M182/(N182+10),1))</f>
        <v/>
      </c>
      <c r="R182">
        <f>IF(Q182="","",IF(Q182&gt;=20,"A - Go first",IF(Q182&gt;=5,"B - Next","C - Later")))</f>
        <v/>
      </c>
      <c r="S182" t="inlineStr">
        <is>
          <t>To do</t>
        </is>
      </c>
      <c r="T182" t="inlineStr"/>
    </row>
    <row r="183">
      <c r="A183" t="inlineStr">
        <is>
          <t>brown rice supplier uae</t>
        </is>
      </c>
      <c r="B183" t="inlineStr">
        <is>
          <t>Phase 1 - B2B now</t>
        </is>
      </c>
      <c r="C183" t="inlineStr">
        <is>
          <t>Wholesalers / bulk buyers</t>
        </is>
      </c>
      <c r="D183" t="inlineStr">
        <is>
          <t>Specialty &amp; South Indian Rice</t>
        </is>
      </c>
      <c r="E183" t="inlineStr">
        <is>
          <t>Secondary (long-tail)</t>
        </is>
      </c>
      <c r="F183" t="inlineStr">
        <is>
          <t>H3 / body paragraph / table row / image alt</t>
        </is>
      </c>
      <c r="G183" t="inlineStr">
        <is>
          <t>Wholesale/B2B</t>
        </is>
      </c>
      <c r="H183" t="inlineStr">
        <is>
          <t>Healthy</t>
        </is>
      </c>
      <c r="I183" t="inlineStr">
        <is>
          <t>Transactional (B2B)</t>
        </is>
      </c>
      <c r="J183" t="inlineStr">
        <is>
          <t>BOFU</t>
        </is>
      </c>
      <c r="K183" t="inlineStr">
        <is>
          <t>UAE</t>
        </is>
      </c>
      <c r="L183" t="inlineStr">
        <is>
          <t>Landing</t>
        </is>
      </c>
      <c r="M183">
        <f>IFERROR(VLOOKUP($A183,'Semrush Import'!$A:$D,2,FALSE),"")</f>
        <v/>
      </c>
      <c r="N183">
        <f>IFERROR(VLOOKUP($A183,'Semrush Import'!$A:$D,3,FALSE),"")</f>
        <v/>
      </c>
      <c r="O183">
        <f>IFERROR(VLOOKUP($A183,'Semrush Import'!$A:$D,4,FALSE),"")</f>
        <v/>
      </c>
      <c r="P183">
        <f>IFERROR(VLOOKUP($A183,'KP Import'!$A:$B,2,FALSE),"")</f>
        <v/>
      </c>
      <c r="Q183">
        <f>IF(M183="","",ROUND(M183/(N183+10),1))</f>
        <v/>
      </c>
      <c r="R183">
        <f>IF(Q183="","",IF(Q183&gt;=20,"A - Go first",IF(Q183&gt;=5,"B - Next","C - Later")))</f>
        <v/>
      </c>
      <c r="S183" t="inlineStr">
        <is>
          <t>To do</t>
        </is>
      </c>
      <c r="T183" t="inlineStr"/>
    </row>
    <row r="184">
      <c r="A184" t="inlineStr">
        <is>
          <t>red rice</t>
        </is>
      </c>
      <c r="B184" t="inlineStr">
        <is>
          <t>Phase 1 - B2B now</t>
        </is>
      </c>
      <c r="C184" t="inlineStr">
        <is>
          <t>Wholesalers / bulk buyers</t>
        </is>
      </c>
      <c r="D184" t="inlineStr">
        <is>
          <t>Specialty &amp; South Indian Rice</t>
        </is>
      </c>
      <c r="E184" t="inlineStr">
        <is>
          <t>Secondary (short)</t>
        </is>
      </c>
      <c r="F184" t="inlineStr">
        <is>
          <t>H2 heading + 1st paragraph under it</t>
        </is>
      </c>
      <c r="G184" t="inlineStr">
        <is>
          <t>Core product</t>
        </is>
      </c>
      <c r="H184" t="inlineStr">
        <is>
          <t>Healthy</t>
        </is>
      </c>
      <c r="I184" t="inlineStr">
        <is>
          <t>Informational/Commercial</t>
        </is>
      </c>
      <c r="J184" t="inlineStr">
        <is>
          <t>TOFU</t>
        </is>
      </c>
      <c r="K184" t="inlineStr">
        <is>
          <t>UAE (generic)</t>
        </is>
      </c>
      <c r="L184" t="inlineStr">
        <is>
          <t>Category</t>
        </is>
      </c>
      <c r="M184">
        <f>IFERROR(VLOOKUP($A184,'Semrush Import'!$A:$D,2,FALSE),"")</f>
        <v/>
      </c>
      <c r="N184">
        <f>IFERROR(VLOOKUP($A184,'Semrush Import'!$A:$D,3,FALSE),"")</f>
        <v/>
      </c>
      <c r="O184">
        <f>IFERROR(VLOOKUP($A184,'Semrush Import'!$A:$D,4,FALSE),"")</f>
        <v/>
      </c>
      <c r="P184">
        <f>IFERROR(VLOOKUP($A184,'KP Import'!$A:$B,2,FALSE),"")</f>
        <v/>
      </c>
      <c r="Q184">
        <f>IF(M184="","",ROUND(M184/(N184+10),1))</f>
        <v/>
      </c>
      <c r="R184">
        <f>IF(Q184="","",IF(Q184&gt;=20,"A - Go first",IF(Q184&gt;=5,"B - Next","C - Later")))</f>
        <v/>
      </c>
      <c r="S184" t="inlineStr">
        <is>
          <t>To do</t>
        </is>
      </c>
      <c r="T184" t="inlineStr"/>
    </row>
    <row r="185">
      <c r="A185" t="inlineStr">
        <is>
          <t>buy red rice online</t>
        </is>
      </c>
      <c r="B185" t="inlineStr">
        <is>
          <t>Phase 2 - B2C (later)</t>
        </is>
      </c>
      <c r="C185" t="inlineStr">
        <is>
          <t>Consumer / household</t>
        </is>
      </c>
      <c r="D185" t="inlineStr">
        <is>
          <t>Shop (B2C)</t>
        </is>
      </c>
      <c r="E185" t="inlineStr">
        <is>
          <t>Secondary (long-tail)</t>
        </is>
      </c>
      <c r="F185" t="inlineStr">
        <is>
          <t>H3 / body paragraph / table row / image alt</t>
        </is>
      </c>
      <c r="G185" t="inlineStr">
        <is>
          <t>Transactional</t>
        </is>
      </c>
      <c r="H185" t="inlineStr">
        <is>
          <t>Healthy</t>
        </is>
      </c>
      <c r="I185" t="inlineStr">
        <is>
          <t>Transactional</t>
        </is>
      </c>
      <c r="J185" t="inlineStr">
        <is>
          <t>BOFU</t>
        </is>
      </c>
      <c r="K185" t="inlineStr">
        <is>
          <t>UAE (generic)</t>
        </is>
      </c>
      <c r="L185" t="inlineStr">
        <is>
          <t>Category</t>
        </is>
      </c>
      <c r="M185">
        <f>IFERROR(VLOOKUP($A185,'Semrush Import'!$A:$D,2,FALSE),"")</f>
        <v/>
      </c>
      <c r="N185">
        <f>IFERROR(VLOOKUP($A185,'Semrush Import'!$A:$D,3,FALSE),"")</f>
        <v/>
      </c>
      <c r="O185">
        <f>IFERROR(VLOOKUP($A185,'Semrush Import'!$A:$D,4,FALSE),"")</f>
        <v/>
      </c>
      <c r="P185">
        <f>IFERROR(VLOOKUP($A185,'KP Import'!$A:$B,2,FALSE),"")</f>
        <v/>
      </c>
      <c r="Q185">
        <f>IF(M185="","",ROUND(M185/(N185+10),1))</f>
        <v/>
      </c>
      <c r="R185">
        <f>IF(Q185="","",IF(Q185&gt;=20,"A - Go first",IF(Q185&gt;=5,"B - Next","C - Later")))</f>
        <v/>
      </c>
      <c r="S185" t="inlineStr">
        <is>
          <t>To do</t>
        </is>
      </c>
      <c r="T185" t="inlineStr"/>
    </row>
    <row r="186">
      <c r="A186" t="inlineStr">
        <is>
          <t>red rice price in uae</t>
        </is>
      </c>
      <c r="B186" t="inlineStr">
        <is>
          <t>Phase 1 - B2B now</t>
        </is>
      </c>
      <c r="C186" t="inlineStr">
        <is>
          <t>Wholesalers / bulk buyers</t>
        </is>
      </c>
      <c r="D186" t="inlineStr">
        <is>
          <t>Specialty &amp; South Indian Rice</t>
        </is>
      </c>
      <c r="E186" t="inlineStr">
        <is>
          <t>Secondary (long-tail)</t>
        </is>
      </c>
      <c r="F186" t="inlineStr">
        <is>
          <t>H3 / body paragraph / table row / image alt</t>
        </is>
      </c>
      <c r="G186" t="inlineStr">
        <is>
          <t>Price</t>
        </is>
      </c>
      <c r="H186" t="inlineStr">
        <is>
          <t>Healthy</t>
        </is>
      </c>
      <c r="I186" t="inlineStr">
        <is>
          <t>Commercial/Transactional</t>
        </is>
      </c>
      <c r="J186" t="inlineStr">
        <is>
          <t>MOFU</t>
        </is>
      </c>
      <c r="K186" t="inlineStr">
        <is>
          <t>UAE</t>
        </is>
      </c>
      <c r="L186" t="inlineStr">
        <is>
          <t>Category</t>
        </is>
      </c>
      <c r="M186">
        <f>IFERROR(VLOOKUP($A186,'Semrush Import'!$A:$D,2,FALSE),"")</f>
        <v/>
      </c>
      <c r="N186">
        <f>IFERROR(VLOOKUP($A186,'Semrush Import'!$A:$D,3,FALSE),"")</f>
        <v/>
      </c>
      <c r="O186">
        <f>IFERROR(VLOOKUP($A186,'Semrush Import'!$A:$D,4,FALSE),"")</f>
        <v/>
      </c>
      <c r="P186">
        <f>IFERROR(VLOOKUP($A186,'KP Import'!$A:$B,2,FALSE),"")</f>
        <v/>
      </c>
      <c r="Q186">
        <f>IF(M186="","",ROUND(M186/(N186+10),1))</f>
        <v/>
      </c>
      <c r="R186">
        <f>IF(Q186="","",IF(Q186&gt;=20,"A - Go first",IF(Q186&gt;=5,"B - Next","C - Later")))</f>
        <v/>
      </c>
      <c r="S186" t="inlineStr">
        <is>
          <t>To do</t>
        </is>
      </c>
      <c r="T186" t="inlineStr"/>
    </row>
    <row r="187">
      <c r="A187" t="inlineStr">
        <is>
          <t>red rice price in dubai</t>
        </is>
      </c>
      <c r="B187" t="inlineStr">
        <is>
          <t>Phase 1 - B2B now</t>
        </is>
      </c>
      <c r="C187" t="inlineStr">
        <is>
          <t>Wholesalers / bulk buyers</t>
        </is>
      </c>
      <c r="D187" t="inlineStr">
        <is>
          <t>Specialty &amp; South Indian Rice</t>
        </is>
      </c>
      <c r="E187" t="inlineStr">
        <is>
          <t>Secondary (long-tail)</t>
        </is>
      </c>
      <c r="F187" t="inlineStr">
        <is>
          <t>H3 / body paragraph / table row / image alt</t>
        </is>
      </c>
      <c r="G187" t="inlineStr">
        <is>
          <t>Price</t>
        </is>
      </c>
      <c r="H187" t="inlineStr">
        <is>
          <t>Healthy</t>
        </is>
      </c>
      <c r="I187" t="inlineStr">
        <is>
          <t>Commercial/Transactional</t>
        </is>
      </c>
      <c r="J187" t="inlineStr">
        <is>
          <t>MOFU</t>
        </is>
      </c>
      <c r="K187" t="inlineStr">
        <is>
          <t>Dubai</t>
        </is>
      </c>
      <c r="L187" t="inlineStr">
        <is>
          <t>Category</t>
        </is>
      </c>
      <c r="M187">
        <f>IFERROR(VLOOKUP($A187,'Semrush Import'!$A:$D,2,FALSE),"")</f>
        <v/>
      </c>
      <c r="N187">
        <f>IFERROR(VLOOKUP($A187,'Semrush Import'!$A:$D,3,FALSE),"")</f>
        <v/>
      </c>
      <c r="O187">
        <f>IFERROR(VLOOKUP($A187,'Semrush Import'!$A:$D,4,FALSE),"")</f>
        <v/>
      </c>
      <c r="P187">
        <f>IFERROR(VLOOKUP($A187,'KP Import'!$A:$B,2,FALSE),"")</f>
        <v/>
      </c>
      <c r="Q187">
        <f>IF(M187="","",ROUND(M187/(N187+10),1))</f>
        <v/>
      </c>
      <c r="R187">
        <f>IF(Q187="","",IF(Q187&gt;=20,"A - Go first",IF(Q187&gt;=5,"B - Next","C - Later")))</f>
        <v/>
      </c>
      <c r="S187" t="inlineStr">
        <is>
          <t>To do</t>
        </is>
      </c>
      <c r="T187" t="inlineStr"/>
    </row>
    <row r="188">
      <c r="A188" t="inlineStr">
        <is>
          <t>red rice online dubai</t>
        </is>
      </c>
      <c r="B188" t="inlineStr">
        <is>
          <t>Phase 2 - B2C (later)</t>
        </is>
      </c>
      <c r="C188" t="inlineStr">
        <is>
          <t>Consumer / household</t>
        </is>
      </c>
      <c r="D188" t="inlineStr">
        <is>
          <t>Shop (B2C)</t>
        </is>
      </c>
      <c r="E188" t="inlineStr">
        <is>
          <t>Secondary (long-tail)</t>
        </is>
      </c>
      <c r="F188" t="inlineStr">
        <is>
          <t>H3 / body paragraph / table row / image alt</t>
        </is>
      </c>
      <c r="G188" t="inlineStr">
        <is>
          <t>Transactional</t>
        </is>
      </c>
      <c r="H188" t="inlineStr">
        <is>
          <t>Healthy</t>
        </is>
      </c>
      <c r="I188" t="inlineStr">
        <is>
          <t>Transactional</t>
        </is>
      </c>
      <c r="J188" t="inlineStr">
        <is>
          <t>BOFU</t>
        </is>
      </c>
      <c r="K188" t="inlineStr">
        <is>
          <t>Dubai</t>
        </is>
      </c>
      <c r="L188" t="inlineStr">
        <is>
          <t>Category</t>
        </is>
      </c>
      <c r="M188">
        <f>IFERROR(VLOOKUP($A188,'Semrush Import'!$A:$D,2,FALSE),"")</f>
        <v/>
      </c>
      <c r="N188">
        <f>IFERROR(VLOOKUP($A188,'Semrush Import'!$A:$D,3,FALSE),"")</f>
        <v/>
      </c>
      <c r="O188">
        <f>IFERROR(VLOOKUP($A188,'Semrush Import'!$A:$D,4,FALSE),"")</f>
        <v/>
      </c>
      <c r="P188">
        <f>IFERROR(VLOOKUP($A188,'KP Import'!$A:$B,2,FALSE),"")</f>
        <v/>
      </c>
      <c r="Q188">
        <f>IF(M188="","",ROUND(M188/(N188+10),1))</f>
        <v/>
      </c>
      <c r="R188">
        <f>IF(Q188="","",IF(Q188&gt;=20,"A - Go first",IF(Q188&gt;=5,"B - Next","C - Later")))</f>
        <v/>
      </c>
      <c r="S188" t="inlineStr">
        <is>
          <t>To do</t>
        </is>
      </c>
      <c r="T188" t="inlineStr"/>
    </row>
    <row r="189">
      <c r="A189" t="inlineStr">
        <is>
          <t>red rice wholesale dubai</t>
        </is>
      </c>
      <c r="B189" t="inlineStr">
        <is>
          <t>Phase 1 - B2B now</t>
        </is>
      </c>
      <c r="C189" t="inlineStr">
        <is>
          <t>Wholesalers / bulk buyers</t>
        </is>
      </c>
      <c r="D189" t="inlineStr">
        <is>
          <t>Specialty &amp; South Indian Rice</t>
        </is>
      </c>
      <c r="E189" t="inlineStr">
        <is>
          <t>Secondary (long-tail)</t>
        </is>
      </c>
      <c r="F189" t="inlineStr">
        <is>
          <t>H3 / body paragraph / table row / image alt</t>
        </is>
      </c>
      <c r="G189" t="inlineStr">
        <is>
          <t>Wholesale/B2B</t>
        </is>
      </c>
      <c r="H189" t="inlineStr">
        <is>
          <t>Healthy</t>
        </is>
      </c>
      <c r="I189" t="inlineStr">
        <is>
          <t>Transactional (B2B)</t>
        </is>
      </c>
      <c r="J189" t="inlineStr">
        <is>
          <t>BOFU</t>
        </is>
      </c>
      <c r="K189" t="inlineStr">
        <is>
          <t>Dubai</t>
        </is>
      </c>
      <c r="L189" t="inlineStr">
        <is>
          <t>Landing</t>
        </is>
      </c>
      <c r="M189">
        <f>IFERROR(VLOOKUP($A189,'Semrush Import'!$A:$D,2,FALSE),"")</f>
        <v/>
      </c>
      <c r="N189">
        <f>IFERROR(VLOOKUP($A189,'Semrush Import'!$A:$D,3,FALSE),"")</f>
        <v/>
      </c>
      <c r="O189">
        <f>IFERROR(VLOOKUP($A189,'Semrush Import'!$A:$D,4,FALSE),"")</f>
        <v/>
      </c>
      <c r="P189">
        <f>IFERROR(VLOOKUP($A189,'KP Import'!$A:$B,2,FALSE),"")</f>
        <v/>
      </c>
      <c r="Q189">
        <f>IF(M189="","",ROUND(M189/(N189+10),1))</f>
        <v/>
      </c>
      <c r="R189">
        <f>IF(Q189="","",IF(Q189&gt;=20,"A - Go first",IF(Q189&gt;=5,"B - Next","C - Later")))</f>
        <v/>
      </c>
      <c r="S189" t="inlineStr">
        <is>
          <t>To do</t>
        </is>
      </c>
      <c r="T189" t="inlineStr"/>
    </row>
    <row r="190">
      <c r="A190" t="inlineStr">
        <is>
          <t>red rice supplier uae</t>
        </is>
      </c>
      <c r="B190" t="inlineStr">
        <is>
          <t>Phase 1 - B2B now</t>
        </is>
      </c>
      <c r="C190" t="inlineStr">
        <is>
          <t>Wholesalers / bulk buyers</t>
        </is>
      </c>
      <c r="D190" t="inlineStr">
        <is>
          <t>Specialty &amp; South Indian Rice</t>
        </is>
      </c>
      <c r="E190" t="inlineStr">
        <is>
          <t>Secondary (long-tail)</t>
        </is>
      </c>
      <c r="F190" t="inlineStr">
        <is>
          <t>H3 / body paragraph / table row / image alt</t>
        </is>
      </c>
      <c r="G190" t="inlineStr">
        <is>
          <t>Wholesale/B2B</t>
        </is>
      </c>
      <c r="H190" t="inlineStr">
        <is>
          <t>Healthy</t>
        </is>
      </c>
      <c r="I190" t="inlineStr">
        <is>
          <t>Transactional (B2B)</t>
        </is>
      </c>
      <c r="J190" t="inlineStr">
        <is>
          <t>BOFU</t>
        </is>
      </c>
      <c r="K190" t="inlineStr">
        <is>
          <t>UAE</t>
        </is>
      </c>
      <c r="L190" t="inlineStr">
        <is>
          <t>Landing</t>
        </is>
      </c>
      <c r="M190">
        <f>IFERROR(VLOOKUP($A190,'Semrush Import'!$A:$D,2,FALSE),"")</f>
        <v/>
      </c>
      <c r="N190">
        <f>IFERROR(VLOOKUP($A190,'Semrush Import'!$A:$D,3,FALSE),"")</f>
        <v/>
      </c>
      <c r="O190">
        <f>IFERROR(VLOOKUP($A190,'Semrush Import'!$A:$D,4,FALSE),"")</f>
        <v/>
      </c>
      <c r="P190">
        <f>IFERROR(VLOOKUP($A190,'KP Import'!$A:$B,2,FALSE),"")</f>
        <v/>
      </c>
      <c r="Q190">
        <f>IF(M190="","",ROUND(M190/(N190+10),1))</f>
        <v/>
      </c>
      <c r="R190">
        <f>IF(Q190="","",IF(Q190&gt;=20,"A - Go first",IF(Q190&gt;=5,"B - Next","C - Later")))</f>
        <v/>
      </c>
      <c r="S190" t="inlineStr">
        <is>
          <t>To do</t>
        </is>
      </c>
      <c r="T190" t="inlineStr"/>
    </row>
    <row r="191">
      <c r="A191" t="inlineStr">
        <is>
          <t>black rice</t>
        </is>
      </c>
      <c r="B191" t="inlineStr">
        <is>
          <t>Phase 1 - B2B now</t>
        </is>
      </c>
      <c r="C191" t="inlineStr">
        <is>
          <t>Wholesalers / bulk buyers</t>
        </is>
      </c>
      <c r="D191" t="inlineStr">
        <is>
          <t>Specialty &amp; South Indian Rice</t>
        </is>
      </c>
      <c r="E191" t="inlineStr">
        <is>
          <t>Secondary (short)</t>
        </is>
      </c>
      <c r="F191" t="inlineStr">
        <is>
          <t>H2 heading + 1st paragraph under it</t>
        </is>
      </c>
      <c r="G191" t="inlineStr">
        <is>
          <t>Core product</t>
        </is>
      </c>
      <c r="H191" t="inlineStr">
        <is>
          <t>Healthy</t>
        </is>
      </c>
      <c r="I191" t="inlineStr">
        <is>
          <t>Informational/Commercial</t>
        </is>
      </c>
      <c r="J191" t="inlineStr">
        <is>
          <t>TOFU</t>
        </is>
      </c>
      <c r="K191" t="inlineStr">
        <is>
          <t>UAE (generic)</t>
        </is>
      </c>
      <c r="L191" t="inlineStr">
        <is>
          <t>Category</t>
        </is>
      </c>
      <c r="M191">
        <f>IFERROR(VLOOKUP($A191,'Semrush Import'!$A:$D,2,FALSE),"")</f>
        <v/>
      </c>
      <c r="N191">
        <f>IFERROR(VLOOKUP($A191,'Semrush Import'!$A:$D,3,FALSE),"")</f>
        <v/>
      </c>
      <c r="O191">
        <f>IFERROR(VLOOKUP($A191,'Semrush Import'!$A:$D,4,FALSE),"")</f>
        <v/>
      </c>
      <c r="P191">
        <f>IFERROR(VLOOKUP($A191,'KP Import'!$A:$B,2,FALSE),"")</f>
        <v/>
      </c>
      <c r="Q191">
        <f>IF(M191="","",ROUND(M191/(N191+10),1))</f>
        <v/>
      </c>
      <c r="R191">
        <f>IF(Q191="","",IF(Q191&gt;=20,"A - Go first",IF(Q191&gt;=5,"B - Next","C - Later")))</f>
        <v/>
      </c>
      <c r="S191" t="inlineStr">
        <is>
          <t>To do</t>
        </is>
      </c>
      <c r="T191" t="inlineStr"/>
    </row>
    <row r="192">
      <c r="A192" t="inlineStr">
        <is>
          <t>buy black rice online</t>
        </is>
      </c>
      <c r="B192" t="inlineStr">
        <is>
          <t>Phase 2 - B2C (later)</t>
        </is>
      </c>
      <c r="C192" t="inlineStr">
        <is>
          <t>Consumer / household</t>
        </is>
      </c>
      <c r="D192" t="inlineStr">
        <is>
          <t>Shop (B2C)</t>
        </is>
      </c>
      <c r="E192" t="inlineStr">
        <is>
          <t>Secondary (long-tail)</t>
        </is>
      </c>
      <c r="F192" t="inlineStr">
        <is>
          <t>H3 / body paragraph / table row / image alt</t>
        </is>
      </c>
      <c r="G192" t="inlineStr">
        <is>
          <t>Transactional</t>
        </is>
      </c>
      <c r="H192" t="inlineStr">
        <is>
          <t>Healthy</t>
        </is>
      </c>
      <c r="I192" t="inlineStr">
        <is>
          <t>Transactional</t>
        </is>
      </c>
      <c r="J192" t="inlineStr">
        <is>
          <t>BOFU</t>
        </is>
      </c>
      <c r="K192" t="inlineStr">
        <is>
          <t>UAE (generic)</t>
        </is>
      </c>
      <c r="L192" t="inlineStr">
        <is>
          <t>Category</t>
        </is>
      </c>
      <c r="M192">
        <f>IFERROR(VLOOKUP($A192,'Semrush Import'!$A:$D,2,FALSE),"")</f>
        <v/>
      </c>
      <c r="N192">
        <f>IFERROR(VLOOKUP($A192,'Semrush Import'!$A:$D,3,FALSE),"")</f>
        <v/>
      </c>
      <c r="O192">
        <f>IFERROR(VLOOKUP($A192,'Semrush Import'!$A:$D,4,FALSE),"")</f>
        <v/>
      </c>
      <c r="P192">
        <f>IFERROR(VLOOKUP($A192,'KP Import'!$A:$B,2,FALSE),"")</f>
        <v/>
      </c>
      <c r="Q192">
        <f>IF(M192="","",ROUND(M192/(N192+10),1))</f>
        <v/>
      </c>
      <c r="R192">
        <f>IF(Q192="","",IF(Q192&gt;=20,"A - Go first",IF(Q192&gt;=5,"B - Next","C - Later")))</f>
        <v/>
      </c>
      <c r="S192" t="inlineStr">
        <is>
          <t>To do</t>
        </is>
      </c>
      <c r="T192" t="inlineStr"/>
    </row>
    <row r="193">
      <c r="A193" t="inlineStr">
        <is>
          <t>black rice price in uae</t>
        </is>
      </c>
      <c r="B193" t="inlineStr">
        <is>
          <t>Phase 1 - B2B now</t>
        </is>
      </c>
      <c r="C193" t="inlineStr">
        <is>
          <t>Wholesalers / bulk buyers</t>
        </is>
      </c>
      <c r="D193" t="inlineStr">
        <is>
          <t>Specialty &amp; South Indian Rice</t>
        </is>
      </c>
      <c r="E193" t="inlineStr">
        <is>
          <t>Secondary (long-tail)</t>
        </is>
      </c>
      <c r="F193" t="inlineStr">
        <is>
          <t>H3 / body paragraph / table row / image alt</t>
        </is>
      </c>
      <c r="G193" t="inlineStr">
        <is>
          <t>Price</t>
        </is>
      </c>
      <c r="H193" t="inlineStr">
        <is>
          <t>Healthy</t>
        </is>
      </c>
      <c r="I193" t="inlineStr">
        <is>
          <t>Commercial/Transactional</t>
        </is>
      </c>
      <c r="J193" t="inlineStr">
        <is>
          <t>MOFU</t>
        </is>
      </c>
      <c r="K193" t="inlineStr">
        <is>
          <t>UAE</t>
        </is>
      </c>
      <c r="L193" t="inlineStr">
        <is>
          <t>Category</t>
        </is>
      </c>
      <c r="M193">
        <f>IFERROR(VLOOKUP($A193,'Semrush Import'!$A:$D,2,FALSE),"")</f>
        <v/>
      </c>
      <c r="N193">
        <f>IFERROR(VLOOKUP($A193,'Semrush Import'!$A:$D,3,FALSE),"")</f>
        <v/>
      </c>
      <c r="O193">
        <f>IFERROR(VLOOKUP($A193,'Semrush Import'!$A:$D,4,FALSE),"")</f>
        <v/>
      </c>
      <c r="P193">
        <f>IFERROR(VLOOKUP($A193,'KP Import'!$A:$B,2,FALSE),"")</f>
        <v/>
      </c>
      <c r="Q193">
        <f>IF(M193="","",ROUND(M193/(N193+10),1))</f>
        <v/>
      </c>
      <c r="R193">
        <f>IF(Q193="","",IF(Q193&gt;=20,"A - Go first",IF(Q193&gt;=5,"B - Next","C - Later")))</f>
        <v/>
      </c>
      <c r="S193" t="inlineStr">
        <is>
          <t>To do</t>
        </is>
      </c>
      <c r="T193" t="inlineStr"/>
    </row>
    <row r="194">
      <c r="A194" t="inlineStr">
        <is>
          <t>black rice price in dubai</t>
        </is>
      </c>
      <c r="B194" t="inlineStr">
        <is>
          <t>Phase 1 - B2B now</t>
        </is>
      </c>
      <c r="C194" t="inlineStr">
        <is>
          <t>Wholesalers / bulk buyers</t>
        </is>
      </c>
      <c r="D194" t="inlineStr">
        <is>
          <t>Specialty &amp; South Indian Rice</t>
        </is>
      </c>
      <c r="E194" t="inlineStr">
        <is>
          <t>Secondary (long-tail)</t>
        </is>
      </c>
      <c r="F194" t="inlineStr">
        <is>
          <t>H3 / body paragraph / table row / image alt</t>
        </is>
      </c>
      <c r="G194" t="inlineStr">
        <is>
          <t>Price</t>
        </is>
      </c>
      <c r="H194" t="inlineStr">
        <is>
          <t>Healthy</t>
        </is>
      </c>
      <c r="I194" t="inlineStr">
        <is>
          <t>Commercial/Transactional</t>
        </is>
      </c>
      <c r="J194" t="inlineStr">
        <is>
          <t>MOFU</t>
        </is>
      </c>
      <c r="K194" t="inlineStr">
        <is>
          <t>Dubai</t>
        </is>
      </c>
      <c r="L194" t="inlineStr">
        <is>
          <t>Category</t>
        </is>
      </c>
      <c r="M194">
        <f>IFERROR(VLOOKUP($A194,'Semrush Import'!$A:$D,2,FALSE),"")</f>
        <v/>
      </c>
      <c r="N194">
        <f>IFERROR(VLOOKUP($A194,'Semrush Import'!$A:$D,3,FALSE),"")</f>
        <v/>
      </c>
      <c r="O194">
        <f>IFERROR(VLOOKUP($A194,'Semrush Import'!$A:$D,4,FALSE),"")</f>
        <v/>
      </c>
      <c r="P194">
        <f>IFERROR(VLOOKUP($A194,'KP Import'!$A:$B,2,FALSE),"")</f>
        <v/>
      </c>
      <c r="Q194">
        <f>IF(M194="","",ROUND(M194/(N194+10),1))</f>
        <v/>
      </c>
      <c r="R194">
        <f>IF(Q194="","",IF(Q194&gt;=20,"A - Go first",IF(Q194&gt;=5,"B - Next","C - Later")))</f>
        <v/>
      </c>
      <c r="S194" t="inlineStr">
        <is>
          <t>To do</t>
        </is>
      </c>
      <c r="T194" t="inlineStr"/>
    </row>
    <row r="195">
      <c r="A195" t="inlineStr">
        <is>
          <t>black rice online dubai</t>
        </is>
      </c>
      <c r="B195" t="inlineStr">
        <is>
          <t>Phase 2 - B2C (later)</t>
        </is>
      </c>
      <c r="C195" t="inlineStr">
        <is>
          <t>Consumer / household</t>
        </is>
      </c>
      <c r="D195" t="inlineStr">
        <is>
          <t>Shop (B2C)</t>
        </is>
      </c>
      <c r="E195" t="inlineStr">
        <is>
          <t>Secondary (long-tail)</t>
        </is>
      </c>
      <c r="F195" t="inlineStr">
        <is>
          <t>H3 / body paragraph / table row / image alt</t>
        </is>
      </c>
      <c r="G195" t="inlineStr">
        <is>
          <t>Transactional</t>
        </is>
      </c>
      <c r="H195" t="inlineStr">
        <is>
          <t>Healthy</t>
        </is>
      </c>
      <c r="I195" t="inlineStr">
        <is>
          <t>Transactional</t>
        </is>
      </c>
      <c r="J195" t="inlineStr">
        <is>
          <t>BOFU</t>
        </is>
      </c>
      <c r="K195" t="inlineStr">
        <is>
          <t>Dubai</t>
        </is>
      </c>
      <c r="L195" t="inlineStr">
        <is>
          <t>Category</t>
        </is>
      </c>
      <c r="M195">
        <f>IFERROR(VLOOKUP($A195,'Semrush Import'!$A:$D,2,FALSE),"")</f>
        <v/>
      </c>
      <c r="N195">
        <f>IFERROR(VLOOKUP($A195,'Semrush Import'!$A:$D,3,FALSE),"")</f>
        <v/>
      </c>
      <c r="O195">
        <f>IFERROR(VLOOKUP($A195,'Semrush Import'!$A:$D,4,FALSE),"")</f>
        <v/>
      </c>
      <c r="P195">
        <f>IFERROR(VLOOKUP($A195,'KP Import'!$A:$B,2,FALSE),"")</f>
        <v/>
      </c>
      <c r="Q195">
        <f>IF(M195="","",ROUND(M195/(N195+10),1))</f>
        <v/>
      </c>
      <c r="R195">
        <f>IF(Q195="","",IF(Q195&gt;=20,"A - Go first",IF(Q195&gt;=5,"B - Next","C - Later")))</f>
        <v/>
      </c>
      <c r="S195" t="inlineStr">
        <is>
          <t>To do</t>
        </is>
      </c>
      <c r="T195" t="inlineStr"/>
    </row>
    <row r="196">
      <c r="A196" t="inlineStr">
        <is>
          <t>black rice wholesale dubai</t>
        </is>
      </c>
      <c r="B196" t="inlineStr">
        <is>
          <t>Phase 1 - B2B now</t>
        </is>
      </c>
      <c r="C196" t="inlineStr">
        <is>
          <t>Wholesalers / bulk buyers</t>
        </is>
      </c>
      <c r="D196" t="inlineStr">
        <is>
          <t>Specialty &amp; South Indian Rice</t>
        </is>
      </c>
      <c r="E196" t="inlineStr">
        <is>
          <t>Secondary (long-tail)</t>
        </is>
      </c>
      <c r="F196" t="inlineStr">
        <is>
          <t>H3 / body paragraph / table row / image alt</t>
        </is>
      </c>
      <c r="G196" t="inlineStr">
        <is>
          <t>Wholesale/B2B</t>
        </is>
      </c>
      <c r="H196" t="inlineStr">
        <is>
          <t>Healthy</t>
        </is>
      </c>
      <c r="I196" t="inlineStr">
        <is>
          <t>Transactional (B2B)</t>
        </is>
      </c>
      <c r="J196" t="inlineStr">
        <is>
          <t>BOFU</t>
        </is>
      </c>
      <c r="K196" t="inlineStr">
        <is>
          <t>Dubai</t>
        </is>
      </c>
      <c r="L196" t="inlineStr">
        <is>
          <t>Landing</t>
        </is>
      </c>
      <c r="M196">
        <f>IFERROR(VLOOKUP($A196,'Semrush Import'!$A:$D,2,FALSE),"")</f>
        <v/>
      </c>
      <c r="N196">
        <f>IFERROR(VLOOKUP($A196,'Semrush Import'!$A:$D,3,FALSE),"")</f>
        <v/>
      </c>
      <c r="O196">
        <f>IFERROR(VLOOKUP($A196,'Semrush Import'!$A:$D,4,FALSE),"")</f>
        <v/>
      </c>
      <c r="P196">
        <f>IFERROR(VLOOKUP($A196,'KP Import'!$A:$B,2,FALSE),"")</f>
        <v/>
      </c>
      <c r="Q196">
        <f>IF(M196="","",ROUND(M196/(N196+10),1))</f>
        <v/>
      </c>
      <c r="R196">
        <f>IF(Q196="","",IF(Q196&gt;=20,"A - Go first",IF(Q196&gt;=5,"B - Next","C - Later")))</f>
        <v/>
      </c>
      <c r="S196" t="inlineStr">
        <is>
          <t>To do</t>
        </is>
      </c>
      <c r="T196" t="inlineStr"/>
    </row>
    <row r="197">
      <c r="A197" t="inlineStr">
        <is>
          <t>black rice supplier uae</t>
        </is>
      </c>
      <c r="B197" t="inlineStr">
        <is>
          <t>Phase 1 - B2B now</t>
        </is>
      </c>
      <c r="C197" t="inlineStr">
        <is>
          <t>Wholesalers / bulk buyers</t>
        </is>
      </c>
      <c r="D197" t="inlineStr">
        <is>
          <t>Specialty &amp; South Indian Rice</t>
        </is>
      </c>
      <c r="E197" t="inlineStr">
        <is>
          <t>Secondary (long-tail)</t>
        </is>
      </c>
      <c r="F197" t="inlineStr">
        <is>
          <t>H3 / body paragraph / table row / image alt</t>
        </is>
      </c>
      <c r="G197" t="inlineStr">
        <is>
          <t>Wholesale/B2B</t>
        </is>
      </c>
      <c r="H197" t="inlineStr">
        <is>
          <t>Healthy</t>
        </is>
      </c>
      <c r="I197" t="inlineStr">
        <is>
          <t>Transactional (B2B)</t>
        </is>
      </c>
      <c r="J197" t="inlineStr">
        <is>
          <t>BOFU</t>
        </is>
      </c>
      <c r="K197" t="inlineStr">
        <is>
          <t>UAE</t>
        </is>
      </c>
      <c r="L197" t="inlineStr">
        <is>
          <t>Landing</t>
        </is>
      </c>
      <c r="M197">
        <f>IFERROR(VLOOKUP($A197,'Semrush Import'!$A:$D,2,FALSE),"")</f>
        <v/>
      </c>
      <c r="N197">
        <f>IFERROR(VLOOKUP($A197,'Semrush Import'!$A:$D,3,FALSE),"")</f>
        <v/>
      </c>
      <c r="O197">
        <f>IFERROR(VLOOKUP($A197,'Semrush Import'!$A:$D,4,FALSE),"")</f>
        <v/>
      </c>
      <c r="P197">
        <f>IFERROR(VLOOKUP($A197,'KP Import'!$A:$B,2,FALSE),"")</f>
        <v/>
      </c>
      <c r="Q197">
        <f>IF(M197="","",ROUND(M197/(N197+10),1))</f>
        <v/>
      </c>
      <c r="R197">
        <f>IF(Q197="","",IF(Q197&gt;=20,"A - Go first",IF(Q197&gt;=5,"B - Next","C - Later")))</f>
        <v/>
      </c>
      <c r="S197" t="inlineStr">
        <is>
          <t>To do</t>
        </is>
      </c>
      <c r="T197" t="inlineStr"/>
    </row>
    <row r="198">
      <c r="A198" t="inlineStr">
        <is>
          <t>wild rice</t>
        </is>
      </c>
      <c r="B198" t="inlineStr">
        <is>
          <t>Phase 1 - B2B now</t>
        </is>
      </c>
      <c r="C198" t="inlineStr">
        <is>
          <t>Wholesalers / bulk buyers</t>
        </is>
      </c>
      <c r="D198" t="inlineStr">
        <is>
          <t>Specialty &amp; South Indian Rice</t>
        </is>
      </c>
      <c r="E198" t="inlineStr">
        <is>
          <t>Secondary (short)</t>
        </is>
      </c>
      <c r="F198" t="inlineStr">
        <is>
          <t>H2 heading + 1st paragraph under it</t>
        </is>
      </c>
      <c r="G198" t="inlineStr">
        <is>
          <t>Core product</t>
        </is>
      </c>
      <c r="H198" t="inlineStr">
        <is>
          <t>Healthy</t>
        </is>
      </c>
      <c r="I198" t="inlineStr">
        <is>
          <t>Informational/Commercial</t>
        </is>
      </c>
      <c r="J198" t="inlineStr">
        <is>
          <t>TOFU</t>
        </is>
      </c>
      <c r="K198" t="inlineStr">
        <is>
          <t>UAE (generic)</t>
        </is>
      </c>
      <c r="L198" t="inlineStr">
        <is>
          <t>Category</t>
        </is>
      </c>
      <c r="M198">
        <f>IFERROR(VLOOKUP($A198,'Semrush Import'!$A:$D,2,FALSE),"")</f>
        <v/>
      </c>
      <c r="N198">
        <f>IFERROR(VLOOKUP($A198,'Semrush Import'!$A:$D,3,FALSE),"")</f>
        <v/>
      </c>
      <c r="O198">
        <f>IFERROR(VLOOKUP($A198,'Semrush Import'!$A:$D,4,FALSE),"")</f>
        <v/>
      </c>
      <c r="P198">
        <f>IFERROR(VLOOKUP($A198,'KP Import'!$A:$B,2,FALSE),"")</f>
        <v/>
      </c>
      <c r="Q198">
        <f>IF(M198="","",ROUND(M198/(N198+10),1))</f>
        <v/>
      </c>
      <c r="R198">
        <f>IF(Q198="","",IF(Q198&gt;=20,"A - Go first",IF(Q198&gt;=5,"B - Next","C - Later")))</f>
        <v/>
      </c>
      <c r="S198" t="inlineStr">
        <is>
          <t>To do</t>
        </is>
      </c>
      <c r="T198" t="inlineStr"/>
    </row>
    <row r="199">
      <c r="A199" t="inlineStr">
        <is>
          <t>buy wild rice online</t>
        </is>
      </c>
      <c r="B199" t="inlineStr">
        <is>
          <t>Phase 2 - B2C (later)</t>
        </is>
      </c>
      <c r="C199" t="inlineStr">
        <is>
          <t>Consumer / household</t>
        </is>
      </c>
      <c r="D199" t="inlineStr">
        <is>
          <t>Shop (B2C)</t>
        </is>
      </c>
      <c r="E199" t="inlineStr">
        <is>
          <t>Secondary (long-tail)</t>
        </is>
      </c>
      <c r="F199" t="inlineStr">
        <is>
          <t>H3 / body paragraph / table row / image alt</t>
        </is>
      </c>
      <c r="G199" t="inlineStr">
        <is>
          <t>Transactional</t>
        </is>
      </c>
      <c r="H199" t="inlineStr">
        <is>
          <t>Healthy</t>
        </is>
      </c>
      <c r="I199" t="inlineStr">
        <is>
          <t>Transactional</t>
        </is>
      </c>
      <c r="J199" t="inlineStr">
        <is>
          <t>BOFU</t>
        </is>
      </c>
      <c r="K199" t="inlineStr">
        <is>
          <t>UAE (generic)</t>
        </is>
      </c>
      <c r="L199" t="inlineStr">
        <is>
          <t>Category</t>
        </is>
      </c>
      <c r="M199">
        <f>IFERROR(VLOOKUP($A199,'Semrush Import'!$A:$D,2,FALSE),"")</f>
        <v/>
      </c>
      <c r="N199">
        <f>IFERROR(VLOOKUP($A199,'Semrush Import'!$A:$D,3,FALSE),"")</f>
        <v/>
      </c>
      <c r="O199">
        <f>IFERROR(VLOOKUP($A199,'Semrush Import'!$A:$D,4,FALSE),"")</f>
        <v/>
      </c>
      <c r="P199">
        <f>IFERROR(VLOOKUP($A199,'KP Import'!$A:$B,2,FALSE),"")</f>
        <v/>
      </c>
      <c r="Q199">
        <f>IF(M199="","",ROUND(M199/(N199+10),1))</f>
        <v/>
      </c>
      <c r="R199">
        <f>IF(Q199="","",IF(Q199&gt;=20,"A - Go first",IF(Q199&gt;=5,"B - Next","C - Later")))</f>
        <v/>
      </c>
      <c r="S199" t="inlineStr">
        <is>
          <t>To do</t>
        </is>
      </c>
      <c r="T199" t="inlineStr"/>
    </row>
    <row r="200">
      <c r="A200" t="inlineStr">
        <is>
          <t>wild rice price in uae</t>
        </is>
      </c>
      <c r="B200" t="inlineStr">
        <is>
          <t>Phase 1 - B2B now</t>
        </is>
      </c>
      <c r="C200" t="inlineStr">
        <is>
          <t>Wholesalers / bulk buyers</t>
        </is>
      </c>
      <c r="D200" t="inlineStr">
        <is>
          <t>Specialty &amp; South Indian Rice</t>
        </is>
      </c>
      <c r="E200" t="inlineStr">
        <is>
          <t>Secondary (long-tail)</t>
        </is>
      </c>
      <c r="F200" t="inlineStr">
        <is>
          <t>H3 / body paragraph / table row / image alt</t>
        </is>
      </c>
      <c r="G200" t="inlineStr">
        <is>
          <t>Price</t>
        </is>
      </c>
      <c r="H200" t="inlineStr">
        <is>
          <t>Healthy</t>
        </is>
      </c>
      <c r="I200" t="inlineStr">
        <is>
          <t>Commercial/Transactional</t>
        </is>
      </c>
      <c r="J200" t="inlineStr">
        <is>
          <t>MOFU</t>
        </is>
      </c>
      <c r="K200" t="inlineStr">
        <is>
          <t>UAE</t>
        </is>
      </c>
      <c r="L200" t="inlineStr">
        <is>
          <t>Category</t>
        </is>
      </c>
      <c r="M200">
        <f>IFERROR(VLOOKUP($A200,'Semrush Import'!$A:$D,2,FALSE),"")</f>
        <v/>
      </c>
      <c r="N200">
        <f>IFERROR(VLOOKUP($A200,'Semrush Import'!$A:$D,3,FALSE),"")</f>
        <v/>
      </c>
      <c r="O200">
        <f>IFERROR(VLOOKUP($A200,'Semrush Import'!$A:$D,4,FALSE),"")</f>
        <v/>
      </c>
      <c r="P200">
        <f>IFERROR(VLOOKUP($A200,'KP Import'!$A:$B,2,FALSE),"")</f>
        <v/>
      </c>
      <c r="Q200">
        <f>IF(M200="","",ROUND(M200/(N200+10),1))</f>
        <v/>
      </c>
      <c r="R200">
        <f>IF(Q200="","",IF(Q200&gt;=20,"A - Go first",IF(Q200&gt;=5,"B - Next","C - Later")))</f>
        <v/>
      </c>
      <c r="S200" t="inlineStr">
        <is>
          <t>To do</t>
        </is>
      </c>
      <c r="T200" t="inlineStr"/>
    </row>
    <row r="201">
      <c r="A201" t="inlineStr">
        <is>
          <t>wild rice price in dubai</t>
        </is>
      </c>
      <c r="B201" t="inlineStr">
        <is>
          <t>Phase 1 - B2B now</t>
        </is>
      </c>
      <c r="C201" t="inlineStr">
        <is>
          <t>Wholesalers / bulk buyers</t>
        </is>
      </c>
      <c r="D201" t="inlineStr">
        <is>
          <t>Specialty &amp; South Indian Rice</t>
        </is>
      </c>
      <c r="E201" t="inlineStr">
        <is>
          <t>Secondary (long-tail)</t>
        </is>
      </c>
      <c r="F201" t="inlineStr">
        <is>
          <t>H3 / body paragraph / table row / image alt</t>
        </is>
      </c>
      <c r="G201" t="inlineStr">
        <is>
          <t>Price</t>
        </is>
      </c>
      <c r="H201" t="inlineStr">
        <is>
          <t>Healthy</t>
        </is>
      </c>
      <c r="I201" t="inlineStr">
        <is>
          <t>Commercial/Transactional</t>
        </is>
      </c>
      <c r="J201" t="inlineStr">
        <is>
          <t>MOFU</t>
        </is>
      </c>
      <c r="K201" t="inlineStr">
        <is>
          <t>Dubai</t>
        </is>
      </c>
      <c r="L201" t="inlineStr">
        <is>
          <t>Category</t>
        </is>
      </c>
      <c r="M201">
        <f>IFERROR(VLOOKUP($A201,'Semrush Import'!$A:$D,2,FALSE),"")</f>
        <v/>
      </c>
      <c r="N201">
        <f>IFERROR(VLOOKUP($A201,'Semrush Import'!$A:$D,3,FALSE),"")</f>
        <v/>
      </c>
      <c r="O201">
        <f>IFERROR(VLOOKUP($A201,'Semrush Import'!$A:$D,4,FALSE),"")</f>
        <v/>
      </c>
      <c r="P201">
        <f>IFERROR(VLOOKUP($A201,'KP Import'!$A:$B,2,FALSE),"")</f>
        <v/>
      </c>
      <c r="Q201">
        <f>IF(M201="","",ROUND(M201/(N201+10),1))</f>
        <v/>
      </c>
      <c r="R201">
        <f>IF(Q201="","",IF(Q201&gt;=20,"A - Go first",IF(Q201&gt;=5,"B - Next","C - Later")))</f>
        <v/>
      </c>
      <c r="S201" t="inlineStr">
        <is>
          <t>To do</t>
        </is>
      </c>
      <c r="T201" t="inlineStr"/>
    </row>
    <row r="202">
      <c r="A202" t="inlineStr">
        <is>
          <t>wild rice online dubai</t>
        </is>
      </c>
      <c r="B202" t="inlineStr">
        <is>
          <t>Phase 2 - B2C (later)</t>
        </is>
      </c>
      <c r="C202" t="inlineStr">
        <is>
          <t>Consumer / household</t>
        </is>
      </c>
      <c r="D202" t="inlineStr">
        <is>
          <t>Shop (B2C)</t>
        </is>
      </c>
      <c r="E202" t="inlineStr">
        <is>
          <t>Secondary (long-tail)</t>
        </is>
      </c>
      <c r="F202" t="inlineStr">
        <is>
          <t>H3 / body paragraph / table row / image alt</t>
        </is>
      </c>
      <c r="G202" t="inlineStr">
        <is>
          <t>Transactional</t>
        </is>
      </c>
      <c r="H202" t="inlineStr">
        <is>
          <t>Healthy</t>
        </is>
      </c>
      <c r="I202" t="inlineStr">
        <is>
          <t>Transactional</t>
        </is>
      </c>
      <c r="J202" t="inlineStr">
        <is>
          <t>BOFU</t>
        </is>
      </c>
      <c r="K202" t="inlineStr">
        <is>
          <t>Dubai</t>
        </is>
      </c>
      <c r="L202" t="inlineStr">
        <is>
          <t>Category</t>
        </is>
      </c>
      <c r="M202">
        <f>IFERROR(VLOOKUP($A202,'Semrush Import'!$A:$D,2,FALSE),"")</f>
        <v/>
      </c>
      <c r="N202">
        <f>IFERROR(VLOOKUP($A202,'Semrush Import'!$A:$D,3,FALSE),"")</f>
        <v/>
      </c>
      <c r="O202">
        <f>IFERROR(VLOOKUP($A202,'Semrush Import'!$A:$D,4,FALSE),"")</f>
        <v/>
      </c>
      <c r="P202">
        <f>IFERROR(VLOOKUP($A202,'KP Import'!$A:$B,2,FALSE),"")</f>
        <v/>
      </c>
      <c r="Q202">
        <f>IF(M202="","",ROUND(M202/(N202+10),1))</f>
        <v/>
      </c>
      <c r="R202">
        <f>IF(Q202="","",IF(Q202&gt;=20,"A - Go first",IF(Q202&gt;=5,"B - Next","C - Later")))</f>
        <v/>
      </c>
      <c r="S202" t="inlineStr">
        <is>
          <t>To do</t>
        </is>
      </c>
      <c r="T202" t="inlineStr"/>
    </row>
    <row r="203">
      <c r="A203" t="inlineStr">
        <is>
          <t>wild rice wholesale dubai</t>
        </is>
      </c>
      <c r="B203" t="inlineStr">
        <is>
          <t>Phase 1 - B2B now</t>
        </is>
      </c>
      <c r="C203" t="inlineStr">
        <is>
          <t>Wholesalers / bulk buyers</t>
        </is>
      </c>
      <c r="D203" t="inlineStr">
        <is>
          <t>Specialty &amp; South Indian Rice</t>
        </is>
      </c>
      <c r="E203" t="inlineStr">
        <is>
          <t>Secondary (long-tail)</t>
        </is>
      </c>
      <c r="F203" t="inlineStr">
        <is>
          <t>H3 / body paragraph / table row / image alt</t>
        </is>
      </c>
      <c r="G203" t="inlineStr">
        <is>
          <t>Wholesale/B2B</t>
        </is>
      </c>
      <c r="H203" t="inlineStr">
        <is>
          <t>Healthy</t>
        </is>
      </c>
      <c r="I203" t="inlineStr">
        <is>
          <t>Transactional (B2B)</t>
        </is>
      </c>
      <c r="J203" t="inlineStr">
        <is>
          <t>BOFU</t>
        </is>
      </c>
      <c r="K203" t="inlineStr">
        <is>
          <t>Dubai</t>
        </is>
      </c>
      <c r="L203" t="inlineStr">
        <is>
          <t>Landing</t>
        </is>
      </c>
      <c r="M203">
        <f>IFERROR(VLOOKUP($A203,'Semrush Import'!$A:$D,2,FALSE),"")</f>
        <v/>
      </c>
      <c r="N203">
        <f>IFERROR(VLOOKUP($A203,'Semrush Import'!$A:$D,3,FALSE),"")</f>
        <v/>
      </c>
      <c r="O203">
        <f>IFERROR(VLOOKUP($A203,'Semrush Import'!$A:$D,4,FALSE),"")</f>
        <v/>
      </c>
      <c r="P203">
        <f>IFERROR(VLOOKUP($A203,'KP Import'!$A:$B,2,FALSE),"")</f>
        <v/>
      </c>
      <c r="Q203">
        <f>IF(M203="","",ROUND(M203/(N203+10),1))</f>
        <v/>
      </c>
      <c r="R203">
        <f>IF(Q203="","",IF(Q203&gt;=20,"A - Go first",IF(Q203&gt;=5,"B - Next","C - Later")))</f>
        <v/>
      </c>
      <c r="S203" t="inlineStr">
        <is>
          <t>To do</t>
        </is>
      </c>
      <c r="T203" t="inlineStr"/>
    </row>
    <row r="204">
      <c r="A204" t="inlineStr">
        <is>
          <t>wild rice supplier uae</t>
        </is>
      </c>
      <c r="B204" t="inlineStr">
        <is>
          <t>Phase 1 - B2B now</t>
        </is>
      </c>
      <c r="C204" t="inlineStr">
        <is>
          <t>Wholesalers / bulk buyers</t>
        </is>
      </c>
      <c r="D204" t="inlineStr">
        <is>
          <t>Specialty &amp; South Indian Rice</t>
        </is>
      </c>
      <c r="E204" t="inlineStr">
        <is>
          <t>Secondary (long-tail)</t>
        </is>
      </c>
      <c r="F204" t="inlineStr">
        <is>
          <t>H3 / body paragraph / table row / image alt</t>
        </is>
      </c>
      <c r="G204" t="inlineStr">
        <is>
          <t>Wholesale/B2B</t>
        </is>
      </c>
      <c r="H204" t="inlineStr">
        <is>
          <t>Healthy</t>
        </is>
      </c>
      <c r="I204" t="inlineStr">
        <is>
          <t>Transactional (B2B)</t>
        </is>
      </c>
      <c r="J204" t="inlineStr">
        <is>
          <t>BOFU</t>
        </is>
      </c>
      <c r="K204" t="inlineStr">
        <is>
          <t>UAE</t>
        </is>
      </c>
      <c r="L204" t="inlineStr">
        <is>
          <t>Landing</t>
        </is>
      </c>
      <c r="M204">
        <f>IFERROR(VLOOKUP($A204,'Semrush Import'!$A:$D,2,FALSE),"")</f>
        <v/>
      </c>
      <c r="N204">
        <f>IFERROR(VLOOKUP($A204,'Semrush Import'!$A:$D,3,FALSE),"")</f>
        <v/>
      </c>
      <c r="O204">
        <f>IFERROR(VLOOKUP($A204,'Semrush Import'!$A:$D,4,FALSE),"")</f>
        <v/>
      </c>
      <c r="P204">
        <f>IFERROR(VLOOKUP($A204,'KP Import'!$A:$B,2,FALSE),"")</f>
        <v/>
      </c>
      <c r="Q204">
        <f>IF(M204="","",ROUND(M204/(N204+10),1))</f>
        <v/>
      </c>
      <c r="R204">
        <f>IF(Q204="","",IF(Q204&gt;=20,"A - Go first",IF(Q204&gt;=5,"B - Next","C - Later")))</f>
        <v/>
      </c>
      <c r="S204" t="inlineStr">
        <is>
          <t>To do</t>
        </is>
      </c>
      <c r="T204" t="inlineStr"/>
    </row>
    <row r="205">
      <c r="A205" t="inlineStr">
        <is>
          <t>low gi rice</t>
        </is>
      </c>
      <c r="B205" t="inlineStr">
        <is>
          <t>Phase 1 - B2B now</t>
        </is>
      </c>
      <c r="C205" t="inlineStr">
        <is>
          <t>Wholesalers / bulk buyers</t>
        </is>
      </c>
      <c r="D205" t="inlineStr">
        <is>
          <t>Specialty &amp; South Indian Rice</t>
        </is>
      </c>
      <c r="E205" t="inlineStr">
        <is>
          <t>Secondary (short)</t>
        </is>
      </c>
      <c r="F205" t="inlineStr">
        <is>
          <t>H2 heading + 1st paragraph under it</t>
        </is>
      </c>
      <c r="G205" t="inlineStr">
        <is>
          <t>Core product</t>
        </is>
      </c>
      <c r="H205" t="inlineStr">
        <is>
          <t>Healthy</t>
        </is>
      </c>
      <c r="I205" t="inlineStr">
        <is>
          <t>Informational/Commercial</t>
        </is>
      </c>
      <c r="J205" t="inlineStr">
        <is>
          <t>TOFU</t>
        </is>
      </c>
      <c r="K205" t="inlineStr">
        <is>
          <t>UAE (generic)</t>
        </is>
      </c>
      <c r="L205" t="inlineStr">
        <is>
          <t>Category</t>
        </is>
      </c>
      <c r="M205">
        <f>IFERROR(VLOOKUP($A205,'Semrush Import'!$A:$D,2,FALSE),"")</f>
        <v/>
      </c>
      <c r="N205">
        <f>IFERROR(VLOOKUP($A205,'Semrush Import'!$A:$D,3,FALSE),"")</f>
        <v/>
      </c>
      <c r="O205">
        <f>IFERROR(VLOOKUP($A205,'Semrush Import'!$A:$D,4,FALSE),"")</f>
        <v/>
      </c>
      <c r="P205">
        <f>IFERROR(VLOOKUP($A205,'KP Import'!$A:$B,2,FALSE),"")</f>
        <v/>
      </c>
      <c r="Q205">
        <f>IF(M205="","",ROUND(M205/(N205+10),1))</f>
        <v/>
      </c>
      <c r="R205">
        <f>IF(Q205="","",IF(Q205&gt;=20,"A - Go first",IF(Q205&gt;=5,"B - Next","C - Later")))</f>
        <v/>
      </c>
      <c r="S205" t="inlineStr">
        <is>
          <t>To do</t>
        </is>
      </c>
      <c r="T205" t="inlineStr"/>
    </row>
    <row r="206">
      <c r="A206" t="inlineStr">
        <is>
          <t>buy low gi rice online</t>
        </is>
      </c>
      <c r="B206" t="inlineStr">
        <is>
          <t>Phase 2 - B2C (later)</t>
        </is>
      </c>
      <c r="C206" t="inlineStr">
        <is>
          <t>Consumer / household</t>
        </is>
      </c>
      <c r="D206" t="inlineStr">
        <is>
          <t>Shop (B2C)</t>
        </is>
      </c>
      <c r="E206" t="inlineStr">
        <is>
          <t>Secondary (long-tail)</t>
        </is>
      </c>
      <c r="F206" t="inlineStr">
        <is>
          <t>H3 / body paragraph / table row / image alt</t>
        </is>
      </c>
      <c r="G206" t="inlineStr">
        <is>
          <t>Transactional</t>
        </is>
      </c>
      <c r="H206" t="inlineStr">
        <is>
          <t>Healthy</t>
        </is>
      </c>
      <c r="I206" t="inlineStr">
        <is>
          <t>Transactional</t>
        </is>
      </c>
      <c r="J206" t="inlineStr">
        <is>
          <t>BOFU</t>
        </is>
      </c>
      <c r="K206" t="inlineStr">
        <is>
          <t>UAE (generic)</t>
        </is>
      </c>
      <c r="L206" t="inlineStr">
        <is>
          <t>Category</t>
        </is>
      </c>
      <c r="M206">
        <f>IFERROR(VLOOKUP($A206,'Semrush Import'!$A:$D,2,FALSE),"")</f>
        <v/>
      </c>
      <c r="N206">
        <f>IFERROR(VLOOKUP($A206,'Semrush Import'!$A:$D,3,FALSE),"")</f>
        <v/>
      </c>
      <c r="O206">
        <f>IFERROR(VLOOKUP($A206,'Semrush Import'!$A:$D,4,FALSE),"")</f>
        <v/>
      </c>
      <c r="P206">
        <f>IFERROR(VLOOKUP($A206,'KP Import'!$A:$B,2,FALSE),"")</f>
        <v/>
      </c>
      <c r="Q206">
        <f>IF(M206="","",ROUND(M206/(N206+10),1))</f>
        <v/>
      </c>
      <c r="R206">
        <f>IF(Q206="","",IF(Q206&gt;=20,"A - Go first",IF(Q206&gt;=5,"B - Next","C - Later")))</f>
        <v/>
      </c>
      <c r="S206" t="inlineStr">
        <is>
          <t>To do</t>
        </is>
      </c>
      <c r="T206" t="inlineStr"/>
    </row>
    <row r="207">
      <c r="A207" t="inlineStr">
        <is>
          <t>low gi rice price in uae</t>
        </is>
      </c>
      <c r="B207" t="inlineStr">
        <is>
          <t>Phase 1 - B2B now</t>
        </is>
      </c>
      <c r="C207" t="inlineStr">
        <is>
          <t>Wholesalers / bulk buyers</t>
        </is>
      </c>
      <c r="D207" t="inlineStr">
        <is>
          <t>Specialty &amp; South Indian Rice</t>
        </is>
      </c>
      <c r="E207" t="inlineStr">
        <is>
          <t>Secondary (long-tail)</t>
        </is>
      </c>
      <c r="F207" t="inlineStr">
        <is>
          <t>H3 / body paragraph / table row / image alt</t>
        </is>
      </c>
      <c r="G207" t="inlineStr">
        <is>
          <t>Price</t>
        </is>
      </c>
      <c r="H207" t="inlineStr">
        <is>
          <t>Healthy</t>
        </is>
      </c>
      <c r="I207" t="inlineStr">
        <is>
          <t>Commercial/Transactional</t>
        </is>
      </c>
      <c r="J207" t="inlineStr">
        <is>
          <t>MOFU</t>
        </is>
      </c>
      <c r="K207" t="inlineStr">
        <is>
          <t>UAE</t>
        </is>
      </c>
      <c r="L207" t="inlineStr">
        <is>
          <t>Category</t>
        </is>
      </c>
      <c r="M207">
        <f>IFERROR(VLOOKUP($A207,'Semrush Import'!$A:$D,2,FALSE),"")</f>
        <v/>
      </c>
      <c r="N207">
        <f>IFERROR(VLOOKUP($A207,'Semrush Import'!$A:$D,3,FALSE),"")</f>
        <v/>
      </c>
      <c r="O207">
        <f>IFERROR(VLOOKUP($A207,'Semrush Import'!$A:$D,4,FALSE),"")</f>
        <v/>
      </c>
      <c r="P207">
        <f>IFERROR(VLOOKUP($A207,'KP Import'!$A:$B,2,FALSE),"")</f>
        <v/>
      </c>
      <c r="Q207">
        <f>IF(M207="","",ROUND(M207/(N207+10),1))</f>
        <v/>
      </c>
      <c r="R207">
        <f>IF(Q207="","",IF(Q207&gt;=20,"A - Go first",IF(Q207&gt;=5,"B - Next","C - Later")))</f>
        <v/>
      </c>
      <c r="S207" t="inlineStr">
        <is>
          <t>To do</t>
        </is>
      </c>
      <c r="T207" t="inlineStr"/>
    </row>
    <row r="208">
      <c r="A208" t="inlineStr">
        <is>
          <t>low gi rice price in dubai</t>
        </is>
      </c>
      <c r="B208" t="inlineStr">
        <is>
          <t>Phase 1 - B2B now</t>
        </is>
      </c>
      <c r="C208" t="inlineStr">
        <is>
          <t>Wholesalers / bulk buyers</t>
        </is>
      </c>
      <c r="D208" t="inlineStr">
        <is>
          <t>Specialty &amp; South Indian Rice</t>
        </is>
      </c>
      <c r="E208" t="inlineStr">
        <is>
          <t>Secondary (long-tail)</t>
        </is>
      </c>
      <c r="F208" t="inlineStr">
        <is>
          <t>H3 / body paragraph / table row / image alt</t>
        </is>
      </c>
      <c r="G208" t="inlineStr">
        <is>
          <t>Price</t>
        </is>
      </c>
      <c r="H208" t="inlineStr">
        <is>
          <t>Healthy</t>
        </is>
      </c>
      <c r="I208" t="inlineStr">
        <is>
          <t>Commercial/Transactional</t>
        </is>
      </c>
      <c r="J208" t="inlineStr">
        <is>
          <t>MOFU</t>
        </is>
      </c>
      <c r="K208" t="inlineStr">
        <is>
          <t>Dubai</t>
        </is>
      </c>
      <c r="L208" t="inlineStr">
        <is>
          <t>Category</t>
        </is>
      </c>
      <c r="M208">
        <f>IFERROR(VLOOKUP($A208,'Semrush Import'!$A:$D,2,FALSE),"")</f>
        <v/>
      </c>
      <c r="N208">
        <f>IFERROR(VLOOKUP($A208,'Semrush Import'!$A:$D,3,FALSE),"")</f>
        <v/>
      </c>
      <c r="O208">
        <f>IFERROR(VLOOKUP($A208,'Semrush Import'!$A:$D,4,FALSE),"")</f>
        <v/>
      </c>
      <c r="P208">
        <f>IFERROR(VLOOKUP($A208,'KP Import'!$A:$B,2,FALSE),"")</f>
        <v/>
      </c>
      <c r="Q208">
        <f>IF(M208="","",ROUND(M208/(N208+10),1))</f>
        <v/>
      </c>
      <c r="R208">
        <f>IF(Q208="","",IF(Q208&gt;=20,"A - Go first",IF(Q208&gt;=5,"B - Next","C - Later")))</f>
        <v/>
      </c>
      <c r="S208" t="inlineStr">
        <is>
          <t>To do</t>
        </is>
      </c>
      <c r="T208" t="inlineStr"/>
    </row>
    <row r="209">
      <c r="A209" t="inlineStr">
        <is>
          <t>low gi rice online dubai</t>
        </is>
      </c>
      <c r="B209" t="inlineStr">
        <is>
          <t>Phase 2 - B2C (later)</t>
        </is>
      </c>
      <c r="C209" t="inlineStr">
        <is>
          <t>Consumer / household</t>
        </is>
      </c>
      <c r="D209" t="inlineStr">
        <is>
          <t>Shop (B2C)</t>
        </is>
      </c>
      <c r="E209" t="inlineStr">
        <is>
          <t>Secondary (long-tail)</t>
        </is>
      </c>
      <c r="F209" t="inlineStr">
        <is>
          <t>H3 / body paragraph / table row / image alt</t>
        </is>
      </c>
      <c r="G209" t="inlineStr">
        <is>
          <t>Transactional</t>
        </is>
      </c>
      <c r="H209" t="inlineStr">
        <is>
          <t>Healthy</t>
        </is>
      </c>
      <c r="I209" t="inlineStr">
        <is>
          <t>Transactional</t>
        </is>
      </c>
      <c r="J209" t="inlineStr">
        <is>
          <t>BOFU</t>
        </is>
      </c>
      <c r="K209" t="inlineStr">
        <is>
          <t>Dubai</t>
        </is>
      </c>
      <c r="L209" t="inlineStr">
        <is>
          <t>Category</t>
        </is>
      </c>
      <c r="M209">
        <f>IFERROR(VLOOKUP($A209,'Semrush Import'!$A:$D,2,FALSE),"")</f>
        <v/>
      </c>
      <c r="N209">
        <f>IFERROR(VLOOKUP($A209,'Semrush Import'!$A:$D,3,FALSE),"")</f>
        <v/>
      </c>
      <c r="O209">
        <f>IFERROR(VLOOKUP($A209,'Semrush Import'!$A:$D,4,FALSE),"")</f>
        <v/>
      </c>
      <c r="P209">
        <f>IFERROR(VLOOKUP($A209,'KP Import'!$A:$B,2,FALSE),"")</f>
        <v/>
      </c>
      <c r="Q209">
        <f>IF(M209="","",ROUND(M209/(N209+10),1))</f>
        <v/>
      </c>
      <c r="R209">
        <f>IF(Q209="","",IF(Q209&gt;=20,"A - Go first",IF(Q209&gt;=5,"B - Next","C - Later")))</f>
        <v/>
      </c>
      <c r="S209" t="inlineStr">
        <is>
          <t>To do</t>
        </is>
      </c>
      <c r="T209" t="inlineStr"/>
    </row>
    <row r="210">
      <c r="A210" t="inlineStr">
        <is>
          <t>low gi rice wholesale dubai</t>
        </is>
      </c>
      <c r="B210" t="inlineStr">
        <is>
          <t>Phase 1 - B2B now</t>
        </is>
      </c>
      <c r="C210" t="inlineStr">
        <is>
          <t>Wholesalers / bulk buyers</t>
        </is>
      </c>
      <c r="D210" t="inlineStr">
        <is>
          <t>Specialty &amp; South Indian Rice</t>
        </is>
      </c>
      <c r="E210" t="inlineStr">
        <is>
          <t>Secondary (long-tail)</t>
        </is>
      </c>
      <c r="F210" t="inlineStr">
        <is>
          <t>H3 / body paragraph / table row / image alt</t>
        </is>
      </c>
      <c r="G210" t="inlineStr">
        <is>
          <t>Wholesale/B2B</t>
        </is>
      </c>
      <c r="H210" t="inlineStr">
        <is>
          <t>Healthy</t>
        </is>
      </c>
      <c r="I210" t="inlineStr">
        <is>
          <t>Transactional (B2B)</t>
        </is>
      </c>
      <c r="J210" t="inlineStr">
        <is>
          <t>BOFU</t>
        </is>
      </c>
      <c r="K210" t="inlineStr">
        <is>
          <t>Dubai</t>
        </is>
      </c>
      <c r="L210" t="inlineStr">
        <is>
          <t>Landing</t>
        </is>
      </c>
      <c r="M210">
        <f>IFERROR(VLOOKUP($A210,'Semrush Import'!$A:$D,2,FALSE),"")</f>
        <v/>
      </c>
      <c r="N210">
        <f>IFERROR(VLOOKUP($A210,'Semrush Import'!$A:$D,3,FALSE),"")</f>
        <v/>
      </c>
      <c r="O210">
        <f>IFERROR(VLOOKUP($A210,'Semrush Import'!$A:$D,4,FALSE),"")</f>
        <v/>
      </c>
      <c r="P210">
        <f>IFERROR(VLOOKUP($A210,'KP Import'!$A:$B,2,FALSE),"")</f>
        <v/>
      </c>
      <c r="Q210">
        <f>IF(M210="","",ROUND(M210/(N210+10),1))</f>
        <v/>
      </c>
      <c r="R210">
        <f>IF(Q210="","",IF(Q210&gt;=20,"A - Go first",IF(Q210&gt;=5,"B - Next","C - Later")))</f>
        <v/>
      </c>
      <c r="S210" t="inlineStr">
        <is>
          <t>To do</t>
        </is>
      </c>
      <c r="T210" t="inlineStr"/>
    </row>
    <row r="211">
      <c r="A211" t="inlineStr">
        <is>
          <t>low gi rice supplier uae</t>
        </is>
      </c>
      <c r="B211" t="inlineStr">
        <is>
          <t>Phase 1 - B2B now</t>
        </is>
      </c>
      <c r="C211" t="inlineStr">
        <is>
          <t>Wholesalers / bulk buyers</t>
        </is>
      </c>
      <c r="D211" t="inlineStr">
        <is>
          <t>Specialty &amp; South Indian Rice</t>
        </is>
      </c>
      <c r="E211" t="inlineStr">
        <is>
          <t>Secondary (long-tail)</t>
        </is>
      </c>
      <c r="F211" t="inlineStr">
        <is>
          <t>H3 / body paragraph / table row / image alt</t>
        </is>
      </c>
      <c r="G211" t="inlineStr">
        <is>
          <t>Wholesale/B2B</t>
        </is>
      </c>
      <c r="H211" t="inlineStr">
        <is>
          <t>Healthy</t>
        </is>
      </c>
      <c r="I211" t="inlineStr">
        <is>
          <t>Transactional (B2B)</t>
        </is>
      </c>
      <c r="J211" t="inlineStr">
        <is>
          <t>BOFU</t>
        </is>
      </c>
      <c r="K211" t="inlineStr">
        <is>
          <t>UAE</t>
        </is>
      </c>
      <c r="L211" t="inlineStr">
        <is>
          <t>Landing</t>
        </is>
      </c>
      <c r="M211">
        <f>IFERROR(VLOOKUP($A211,'Semrush Import'!$A:$D,2,FALSE),"")</f>
        <v/>
      </c>
      <c r="N211">
        <f>IFERROR(VLOOKUP($A211,'Semrush Import'!$A:$D,3,FALSE),"")</f>
        <v/>
      </c>
      <c r="O211">
        <f>IFERROR(VLOOKUP($A211,'Semrush Import'!$A:$D,4,FALSE),"")</f>
        <v/>
      </c>
      <c r="P211">
        <f>IFERROR(VLOOKUP($A211,'KP Import'!$A:$B,2,FALSE),"")</f>
        <v/>
      </c>
      <c r="Q211">
        <f>IF(M211="","",ROUND(M211/(N211+10),1))</f>
        <v/>
      </c>
      <c r="R211">
        <f>IF(Q211="","",IF(Q211&gt;=20,"A - Go first",IF(Q211&gt;=5,"B - Next","C - Later")))</f>
        <v/>
      </c>
      <c r="S211" t="inlineStr">
        <is>
          <t>To do</t>
        </is>
      </c>
      <c r="T211" t="inlineStr"/>
    </row>
    <row r="212">
      <c r="A212" t="inlineStr">
        <is>
          <t>biryani rice</t>
        </is>
      </c>
      <c r="B212" t="inlineStr">
        <is>
          <t>Phase 1 - B2B now</t>
        </is>
      </c>
      <c r="C212" t="inlineStr">
        <is>
          <t>Wholesalers / bulk buyers</t>
        </is>
      </c>
      <c r="D212" t="inlineStr">
        <is>
          <t>Biryani &amp; Kabsa Rice (B2C)</t>
        </is>
      </c>
      <c r="E212" t="inlineStr">
        <is>
          <t>Secondary (short)</t>
        </is>
      </c>
      <c r="F212" t="inlineStr">
        <is>
          <t>H2 heading + 1st paragraph under it</t>
        </is>
      </c>
      <c r="G212" t="inlineStr">
        <is>
          <t>Core product</t>
        </is>
      </c>
      <c r="H212" t="inlineStr">
        <is>
          <t>Use-case</t>
        </is>
      </c>
      <c r="I212" t="inlineStr">
        <is>
          <t>Informational/Commercial</t>
        </is>
      </c>
      <c r="J212" t="inlineStr">
        <is>
          <t>TOFU</t>
        </is>
      </c>
      <c r="K212" t="inlineStr">
        <is>
          <t>UAE (generic)</t>
        </is>
      </c>
      <c r="L212" t="inlineStr">
        <is>
          <t>Landing/Blog</t>
        </is>
      </c>
      <c r="M212">
        <f>IFERROR(VLOOKUP($A212,'Semrush Import'!$A:$D,2,FALSE),"")</f>
        <v/>
      </c>
      <c r="N212">
        <f>IFERROR(VLOOKUP($A212,'Semrush Import'!$A:$D,3,FALSE),"")</f>
        <v/>
      </c>
      <c r="O212">
        <f>IFERROR(VLOOKUP($A212,'Semrush Import'!$A:$D,4,FALSE),"")</f>
        <v/>
      </c>
      <c r="P212">
        <f>IFERROR(VLOOKUP($A212,'KP Import'!$A:$B,2,FALSE),"")</f>
        <v/>
      </c>
      <c r="Q212">
        <f>IF(M212="","",ROUND(M212/(N212+10),1))</f>
        <v/>
      </c>
      <c r="R212">
        <f>IF(Q212="","",IF(Q212&gt;=20,"A - Go first",IF(Q212&gt;=5,"B - Next","C - Later")))</f>
        <v/>
      </c>
      <c r="S212" t="inlineStr">
        <is>
          <t>To do</t>
        </is>
      </c>
      <c r="T212" t="inlineStr"/>
    </row>
    <row r="213">
      <c r="A213" t="inlineStr">
        <is>
          <t>buy biryani rice online</t>
        </is>
      </c>
      <c r="B213" t="inlineStr">
        <is>
          <t>Phase 2 - B2C (later)</t>
        </is>
      </c>
      <c r="C213" t="inlineStr">
        <is>
          <t>Consumer / household</t>
        </is>
      </c>
      <c r="D213" t="inlineStr">
        <is>
          <t>Biryani &amp; Kabsa Rice (B2C)</t>
        </is>
      </c>
      <c r="E213" t="inlineStr">
        <is>
          <t>Secondary (long-tail)</t>
        </is>
      </c>
      <c r="F213" t="inlineStr">
        <is>
          <t>H3 / body paragraph / table row / image alt</t>
        </is>
      </c>
      <c r="G213" t="inlineStr">
        <is>
          <t>Transactional</t>
        </is>
      </c>
      <c r="H213" t="inlineStr">
        <is>
          <t>Use-case</t>
        </is>
      </c>
      <c r="I213" t="inlineStr">
        <is>
          <t>Transactional</t>
        </is>
      </c>
      <c r="J213" t="inlineStr">
        <is>
          <t>BOFU</t>
        </is>
      </c>
      <c r="K213" t="inlineStr">
        <is>
          <t>UAE (generic)</t>
        </is>
      </c>
      <c r="L213" t="inlineStr">
        <is>
          <t>Landing/Blog</t>
        </is>
      </c>
      <c r="M213">
        <f>IFERROR(VLOOKUP($A213,'Semrush Import'!$A:$D,2,FALSE),"")</f>
        <v/>
      </c>
      <c r="N213">
        <f>IFERROR(VLOOKUP($A213,'Semrush Import'!$A:$D,3,FALSE),"")</f>
        <v/>
      </c>
      <c r="O213">
        <f>IFERROR(VLOOKUP($A213,'Semrush Import'!$A:$D,4,FALSE),"")</f>
        <v/>
      </c>
      <c r="P213">
        <f>IFERROR(VLOOKUP($A213,'KP Import'!$A:$B,2,FALSE),"")</f>
        <v/>
      </c>
      <c r="Q213">
        <f>IF(M213="","",ROUND(M213/(N213+10),1))</f>
        <v/>
      </c>
      <c r="R213">
        <f>IF(Q213="","",IF(Q213&gt;=20,"A - Go first",IF(Q213&gt;=5,"B - Next","C - Later")))</f>
        <v/>
      </c>
      <c r="S213" t="inlineStr">
        <is>
          <t>To do</t>
        </is>
      </c>
      <c r="T213" t="inlineStr"/>
    </row>
    <row r="214">
      <c r="A214" t="inlineStr">
        <is>
          <t>biryani rice price in uae</t>
        </is>
      </c>
      <c r="B214" t="inlineStr">
        <is>
          <t>Phase 1 - B2B now</t>
        </is>
      </c>
      <c r="C214" t="inlineStr">
        <is>
          <t>Wholesalers / bulk buyers</t>
        </is>
      </c>
      <c r="D214" t="inlineStr">
        <is>
          <t>Biryani &amp; Kabsa Rice (B2C)</t>
        </is>
      </c>
      <c r="E214" t="inlineStr">
        <is>
          <t>Secondary (long-tail)</t>
        </is>
      </c>
      <c r="F214" t="inlineStr">
        <is>
          <t>H3 / body paragraph / table row / image alt</t>
        </is>
      </c>
      <c r="G214" t="inlineStr">
        <is>
          <t>Price</t>
        </is>
      </c>
      <c r="H214" t="inlineStr">
        <is>
          <t>Use-case</t>
        </is>
      </c>
      <c r="I214" t="inlineStr">
        <is>
          <t>Commercial/Transactional</t>
        </is>
      </c>
      <c r="J214" t="inlineStr">
        <is>
          <t>MOFU</t>
        </is>
      </c>
      <c r="K214" t="inlineStr">
        <is>
          <t>UAE</t>
        </is>
      </c>
      <c r="L214" t="inlineStr">
        <is>
          <t>Landing/Blog</t>
        </is>
      </c>
      <c r="M214">
        <f>IFERROR(VLOOKUP($A214,'Semrush Import'!$A:$D,2,FALSE),"")</f>
        <v/>
      </c>
      <c r="N214">
        <f>IFERROR(VLOOKUP($A214,'Semrush Import'!$A:$D,3,FALSE),"")</f>
        <v/>
      </c>
      <c r="O214">
        <f>IFERROR(VLOOKUP($A214,'Semrush Import'!$A:$D,4,FALSE),"")</f>
        <v/>
      </c>
      <c r="P214">
        <f>IFERROR(VLOOKUP($A214,'KP Import'!$A:$B,2,FALSE),"")</f>
        <v/>
      </c>
      <c r="Q214">
        <f>IF(M214="","",ROUND(M214/(N214+10),1))</f>
        <v/>
      </c>
      <c r="R214">
        <f>IF(Q214="","",IF(Q214&gt;=20,"A - Go first",IF(Q214&gt;=5,"B - Next","C - Later")))</f>
        <v/>
      </c>
      <c r="S214" t="inlineStr">
        <is>
          <t>To do</t>
        </is>
      </c>
      <c r="T214" t="inlineStr"/>
    </row>
    <row r="215">
      <c r="A215" t="inlineStr">
        <is>
          <t>biryani rice price in dubai</t>
        </is>
      </c>
      <c r="B215" t="inlineStr">
        <is>
          <t>Phase 1 - B2B now</t>
        </is>
      </c>
      <c r="C215" t="inlineStr">
        <is>
          <t>Wholesalers / bulk buyers</t>
        </is>
      </c>
      <c r="D215" t="inlineStr">
        <is>
          <t>Biryani &amp; Kabsa Rice (B2C)</t>
        </is>
      </c>
      <c r="E215" t="inlineStr">
        <is>
          <t>Secondary (long-tail)</t>
        </is>
      </c>
      <c r="F215" t="inlineStr">
        <is>
          <t>H3 / body paragraph / table row / image alt</t>
        </is>
      </c>
      <c r="G215" t="inlineStr">
        <is>
          <t>Price</t>
        </is>
      </c>
      <c r="H215" t="inlineStr">
        <is>
          <t>Use-case</t>
        </is>
      </c>
      <c r="I215" t="inlineStr">
        <is>
          <t>Commercial/Transactional</t>
        </is>
      </c>
      <c r="J215" t="inlineStr">
        <is>
          <t>MOFU</t>
        </is>
      </c>
      <c r="K215" t="inlineStr">
        <is>
          <t>Dubai</t>
        </is>
      </c>
      <c r="L215" t="inlineStr">
        <is>
          <t>Landing/Blog</t>
        </is>
      </c>
      <c r="M215">
        <f>IFERROR(VLOOKUP($A215,'Semrush Import'!$A:$D,2,FALSE),"")</f>
        <v/>
      </c>
      <c r="N215">
        <f>IFERROR(VLOOKUP($A215,'Semrush Import'!$A:$D,3,FALSE),"")</f>
        <v/>
      </c>
      <c r="O215">
        <f>IFERROR(VLOOKUP($A215,'Semrush Import'!$A:$D,4,FALSE),"")</f>
        <v/>
      </c>
      <c r="P215">
        <f>IFERROR(VLOOKUP($A215,'KP Import'!$A:$B,2,FALSE),"")</f>
        <v/>
      </c>
      <c r="Q215">
        <f>IF(M215="","",ROUND(M215/(N215+10),1))</f>
        <v/>
      </c>
      <c r="R215">
        <f>IF(Q215="","",IF(Q215&gt;=20,"A - Go first",IF(Q215&gt;=5,"B - Next","C - Later")))</f>
        <v/>
      </c>
      <c r="S215" t="inlineStr">
        <is>
          <t>To do</t>
        </is>
      </c>
      <c r="T215" t="inlineStr"/>
    </row>
    <row r="216">
      <c r="A216" t="inlineStr">
        <is>
          <t>biryani rice online dubai</t>
        </is>
      </c>
      <c r="B216" t="inlineStr">
        <is>
          <t>Phase 2 - B2C (later)</t>
        </is>
      </c>
      <c r="C216" t="inlineStr">
        <is>
          <t>Consumer / household</t>
        </is>
      </c>
      <c r="D216" t="inlineStr">
        <is>
          <t>Biryani &amp; Kabsa Rice (B2C)</t>
        </is>
      </c>
      <c r="E216" t="inlineStr">
        <is>
          <t>Secondary (long-tail)</t>
        </is>
      </c>
      <c r="F216" t="inlineStr">
        <is>
          <t>H3 / body paragraph / table row / image alt</t>
        </is>
      </c>
      <c r="G216" t="inlineStr">
        <is>
          <t>Transactional</t>
        </is>
      </c>
      <c r="H216" t="inlineStr">
        <is>
          <t>Use-case</t>
        </is>
      </c>
      <c r="I216" t="inlineStr">
        <is>
          <t>Transactional</t>
        </is>
      </c>
      <c r="J216" t="inlineStr">
        <is>
          <t>BOFU</t>
        </is>
      </c>
      <c r="K216" t="inlineStr">
        <is>
          <t>Dubai</t>
        </is>
      </c>
      <c r="L216" t="inlineStr">
        <is>
          <t>Landing/Blog</t>
        </is>
      </c>
      <c r="M216">
        <f>IFERROR(VLOOKUP($A216,'Semrush Import'!$A:$D,2,FALSE),"")</f>
        <v/>
      </c>
      <c r="N216">
        <f>IFERROR(VLOOKUP($A216,'Semrush Import'!$A:$D,3,FALSE),"")</f>
        <v/>
      </c>
      <c r="O216">
        <f>IFERROR(VLOOKUP($A216,'Semrush Import'!$A:$D,4,FALSE),"")</f>
        <v/>
      </c>
      <c r="P216">
        <f>IFERROR(VLOOKUP($A216,'KP Import'!$A:$B,2,FALSE),"")</f>
        <v/>
      </c>
      <c r="Q216">
        <f>IF(M216="","",ROUND(M216/(N216+10),1))</f>
        <v/>
      </c>
      <c r="R216">
        <f>IF(Q216="","",IF(Q216&gt;=20,"A - Go first",IF(Q216&gt;=5,"B - Next","C - Later")))</f>
        <v/>
      </c>
      <c r="S216" t="inlineStr">
        <is>
          <t>To do</t>
        </is>
      </c>
      <c r="T216" t="inlineStr"/>
    </row>
    <row r="217">
      <c r="A217" t="inlineStr">
        <is>
          <t>biryani rice wholesale dubai</t>
        </is>
      </c>
      <c r="B217" t="inlineStr">
        <is>
          <t>Phase 1 - B2B now</t>
        </is>
      </c>
      <c r="C217" t="inlineStr">
        <is>
          <t>Wholesalers / bulk buyers</t>
        </is>
      </c>
      <c r="D217" t="inlineStr">
        <is>
          <t>Biryani &amp; Kabsa Rice (B2C)</t>
        </is>
      </c>
      <c r="E217" t="inlineStr">
        <is>
          <t>Secondary (long-tail)</t>
        </is>
      </c>
      <c r="F217" t="inlineStr">
        <is>
          <t>H3 / body paragraph / table row / image alt</t>
        </is>
      </c>
      <c r="G217" t="inlineStr">
        <is>
          <t>Wholesale/B2B</t>
        </is>
      </c>
      <c r="H217" t="inlineStr">
        <is>
          <t>Use-case</t>
        </is>
      </c>
      <c r="I217" t="inlineStr">
        <is>
          <t>Transactional (B2B)</t>
        </is>
      </c>
      <c r="J217" t="inlineStr">
        <is>
          <t>BOFU</t>
        </is>
      </c>
      <c r="K217" t="inlineStr">
        <is>
          <t>Dubai</t>
        </is>
      </c>
      <c r="L217" t="inlineStr">
        <is>
          <t>Landing</t>
        </is>
      </c>
      <c r="M217">
        <f>IFERROR(VLOOKUP($A217,'Semrush Import'!$A:$D,2,FALSE),"")</f>
        <v/>
      </c>
      <c r="N217">
        <f>IFERROR(VLOOKUP($A217,'Semrush Import'!$A:$D,3,FALSE),"")</f>
        <v/>
      </c>
      <c r="O217">
        <f>IFERROR(VLOOKUP($A217,'Semrush Import'!$A:$D,4,FALSE),"")</f>
        <v/>
      </c>
      <c r="P217">
        <f>IFERROR(VLOOKUP($A217,'KP Import'!$A:$B,2,FALSE),"")</f>
        <v/>
      </c>
      <c r="Q217">
        <f>IF(M217="","",ROUND(M217/(N217+10),1))</f>
        <v/>
      </c>
      <c r="R217">
        <f>IF(Q217="","",IF(Q217&gt;=20,"A - Go first",IF(Q217&gt;=5,"B - Next","C - Later")))</f>
        <v/>
      </c>
      <c r="S217" t="inlineStr">
        <is>
          <t>To do</t>
        </is>
      </c>
      <c r="T217" t="inlineStr"/>
    </row>
    <row r="218">
      <c r="A218" t="inlineStr">
        <is>
          <t>biryani rice supplier uae</t>
        </is>
      </c>
      <c r="B218" t="inlineStr">
        <is>
          <t>Phase 1 - B2B now</t>
        </is>
      </c>
      <c r="C218" t="inlineStr">
        <is>
          <t>Wholesalers / bulk buyers</t>
        </is>
      </c>
      <c r="D218" t="inlineStr">
        <is>
          <t>Biryani &amp; Kabsa Rice (B2C)</t>
        </is>
      </c>
      <c r="E218" t="inlineStr">
        <is>
          <t>Secondary (long-tail)</t>
        </is>
      </c>
      <c r="F218" t="inlineStr">
        <is>
          <t>H3 / body paragraph / table row / image alt</t>
        </is>
      </c>
      <c r="G218" t="inlineStr">
        <is>
          <t>Wholesale/B2B</t>
        </is>
      </c>
      <c r="H218" t="inlineStr">
        <is>
          <t>Use-case</t>
        </is>
      </c>
      <c r="I218" t="inlineStr">
        <is>
          <t>Transactional (B2B)</t>
        </is>
      </c>
      <c r="J218" t="inlineStr">
        <is>
          <t>BOFU</t>
        </is>
      </c>
      <c r="K218" t="inlineStr">
        <is>
          <t>UAE</t>
        </is>
      </c>
      <c r="L218" t="inlineStr">
        <is>
          <t>Landing</t>
        </is>
      </c>
      <c r="M218">
        <f>IFERROR(VLOOKUP($A218,'Semrush Import'!$A:$D,2,FALSE),"")</f>
        <v/>
      </c>
      <c r="N218">
        <f>IFERROR(VLOOKUP($A218,'Semrush Import'!$A:$D,3,FALSE),"")</f>
        <v/>
      </c>
      <c r="O218">
        <f>IFERROR(VLOOKUP($A218,'Semrush Import'!$A:$D,4,FALSE),"")</f>
        <v/>
      </c>
      <c r="P218">
        <f>IFERROR(VLOOKUP($A218,'KP Import'!$A:$B,2,FALSE),"")</f>
        <v/>
      </c>
      <c r="Q218">
        <f>IF(M218="","",ROUND(M218/(N218+10),1))</f>
        <v/>
      </c>
      <c r="R218">
        <f>IF(Q218="","",IF(Q218&gt;=20,"A - Go first",IF(Q218&gt;=5,"B - Next","C - Later")))</f>
        <v/>
      </c>
      <c r="S218" t="inlineStr">
        <is>
          <t>To do</t>
        </is>
      </c>
      <c r="T218" t="inlineStr"/>
    </row>
    <row r="219">
      <c r="A219" t="inlineStr">
        <is>
          <t>rice for biryani</t>
        </is>
      </c>
      <c r="B219" t="inlineStr">
        <is>
          <t>Phase 1 - B2B now</t>
        </is>
      </c>
      <c r="C219" t="inlineStr">
        <is>
          <t>Wholesalers / bulk buyers</t>
        </is>
      </c>
      <c r="D219" t="inlineStr">
        <is>
          <t>Biryani &amp; Kabsa Rice (B2C)</t>
        </is>
      </c>
      <c r="E219" t="inlineStr">
        <is>
          <t>PRIMARY</t>
        </is>
      </c>
      <c r="F219" t="inlineStr">
        <is>
          <t>URL slug + SEO title + H1 + meta description + first 100 words</t>
        </is>
      </c>
      <c r="G219" t="inlineStr">
        <is>
          <t>Core product</t>
        </is>
      </c>
      <c r="H219" t="inlineStr">
        <is>
          <t>Use-case</t>
        </is>
      </c>
      <c r="I219" t="inlineStr">
        <is>
          <t>Informational/Commercial</t>
        </is>
      </c>
      <c r="J219" t="inlineStr">
        <is>
          <t>TOFU</t>
        </is>
      </c>
      <c r="K219" t="inlineStr">
        <is>
          <t>UAE (generic)</t>
        </is>
      </c>
      <c r="L219" t="inlineStr">
        <is>
          <t>Landing/Blog</t>
        </is>
      </c>
      <c r="M219">
        <f>IFERROR(VLOOKUP($A219,'Semrush Import'!$A:$D,2,FALSE),"")</f>
        <v/>
      </c>
      <c r="N219">
        <f>IFERROR(VLOOKUP($A219,'Semrush Import'!$A:$D,3,FALSE),"")</f>
        <v/>
      </c>
      <c r="O219">
        <f>IFERROR(VLOOKUP($A219,'Semrush Import'!$A:$D,4,FALSE),"")</f>
        <v/>
      </c>
      <c r="P219">
        <f>IFERROR(VLOOKUP($A219,'KP Import'!$A:$B,2,FALSE),"")</f>
        <v/>
      </c>
      <c r="Q219">
        <f>IF(M219="","",ROUND(M219/(N219+10),1))</f>
        <v/>
      </c>
      <c r="R219">
        <f>IF(Q219="","",IF(Q219&gt;=20,"A - Go first",IF(Q219&gt;=5,"B - Next","C - Later")))</f>
        <v/>
      </c>
      <c r="S219" t="inlineStr">
        <is>
          <t>To do</t>
        </is>
      </c>
      <c r="T219" t="inlineStr"/>
    </row>
    <row r="220">
      <c r="A220" t="inlineStr">
        <is>
          <t>buy rice for biryani online</t>
        </is>
      </c>
      <c r="B220" t="inlineStr">
        <is>
          <t>Phase 2 - B2C (later)</t>
        </is>
      </c>
      <c r="C220" t="inlineStr">
        <is>
          <t>Consumer / household</t>
        </is>
      </c>
      <c r="D220" t="inlineStr">
        <is>
          <t>Biryani &amp; Kabsa Rice (B2C)</t>
        </is>
      </c>
      <c r="E220" t="inlineStr">
        <is>
          <t>Secondary (long-tail)</t>
        </is>
      </c>
      <c r="F220" t="inlineStr">
        <is>
          <t>H3 / body paragraph / table row / image alt</t>
        </is>
      </c>
      <c r="G220" t="inlineStr">
        <is>
          <t>Transactional</t>
        </is>
      </c>
      <c r="H220" t="inlineStr">
        <is>
          <t>Use-case</t>
        </is>
      </c>
      <c r="I220" t="inlineStr">
        <is>
          <t>Transactional</t>
        </is>
      </c>
      <c r="J220" t="inlineStr">
        <is>
          <t>BOFU</t>
        </is>
      </c>
      <c r="K220" t="inlineStr">
        <is>
          <t>UAE (generic)</t>
        </is>
      </c>
      <c r="L220" t="inlineStr">
        <is>
          <t>Landing/Blog</t>
        </is>
      </c>
      <c r="M220">
        <f>IFERROR(VLOOKUP($A220,'Semrush Import'!$A:$D,2,FALSE),"")</f>
        <v/>
      </c>
      <c r="N220">
        <f>IFERROR(VLOOKUP($A220,'Semrush Import'!$A:$D,3,FALSE),"")</f>
        <v/>
      </c>
      <c r="O220">
        <f>IFERROR(VLOOKUP($A220,'Semrush Import'!$A:$D,4,FALSE),"")</f>
        <v/>
      </c>
      <c r="P220">
        <f>IFERROR(VLOOKUP($A220,'KP Import'!$A:$B,2,FALSE),"")</f>
        <v/>
      </c>
      <c r="Q220">
        <f>IF(M220="","",ROUND(M220/(N220+10),1))</f>
        <v/>
      </c>
      <c r="R220">
        <f>IF(Q220="","",IF(Q220&gt;=20,"A - Go first",IF(Q220&gt;=5,"B - Next","C - Later")))</f>
        <v/>
      </c>
      <c r="S220" t="inlineStr">
        <is>
          <t>To do</t>
        </is>
      </c>
      <c r="T220" t="inlineStr"/>
    </row>
    <row r="221">
      <c r="A221" t="inlineStr">
        <is>
          <t>rice for biryani price in uae</t>
        </is>
      </c>
      <c r="B221" t="inlineStr">
        <is>
          <t>Phase 1 - B2B now</t>
        </is>
      </c>
      <c r="C221" t="inlineStr">
        <is>
          <t>Wholesalers / bulk buyers</t>
        </is>
      </c>
      <c r="D221" t="inlineStr">
        <is>
          <t>Biryani &amp; Kabsa Rice (B2C)</t>
        </is>
      </c>
      <c r="E221" t="inlineStr">
        <is>
          <t>Secondary (long-tail)</t>
        </is>
      </c>
      <c r="F221" t="inlineStr">
        <is>
          <t>H3 / body paragraph / table row / image alt</t>
        </is>
      </c>
      <c r="G221" t="inlineStr">
        <is>
          <t>Price</t>
        </is>
      </c>
      <c r="H221" t="inlineStr">
        <is>
          <t>Use-case</t>
        </is>
      </c>
      <c r="I221" t="inlineStr">
        <is>
          <t>Commercial/Transactional</t>
        </is>
      </c>
      <c r="J221" t="inlineStr">
        <is>
          <t>MOFU</t>
        </is>
      </c>
      <c r="K221" t="inlineStr">
        <is>
          <t>UAE</t>
        </is>
      </c>
      <c r="L221" t="inlineStr">
        <is>
          <t>Landing/Blog</t>
        </is>
      </c>
      <c r="M221">
        <f>IFERROR(VLOOKUP($A221,'Semrush Import'!$A:$D,2,FALSE),"")</f>
        <v/>
      </c>
      <c r="N221">
        <f>IFERROR(VLOOKUP($A221,'Semrush Import'!$A:$D,3,FALSE),"")</f>
        <v/>
      </c>
      <c r="O221">
        <f>IFERROR(VLOOKUP($A221,'Semrush Import'!$A:$D,4,FALSE),"")</f>
        <v/>
      </c>
      <c r="P221">
        <f>IFERROR(VLOOKUP($A221,'KP Import'!$A:$B,2,FALSE),"")</f>
        <v/>
      </c>
      <c r="Q221">
        <f>IF(M221="","",ROUND(M221/(N221+10),1))</f>
        <v/>
      </c>
      <c r="R221">
        <f>IF(Q221="","",IF(Q221&gt;=20,"A - Go first",IF(Q221&gt;=5,"B - Next","C - Later")))</f>
        <v/>
      </c>
      <c r="S221" t="inlineStr">
        <is>
          <t>To do</t>
        </is>
      </c>
      <c r="T221" t="inlineStr"/>
    </row>
    <row r="222">
      <c r="A222" t="inlineStr">
        <is>
          <t>rice for biryani price in dubai</t>
        </is>
      </c>
      <c r="B222" t="inlineStr">
        <is>
          <t>Phase 1 - B2B now</t>
        </is>
      </c>
      <c r="C222" t="inlineStr">
        <is>
          <t>Wholesalers / bulk buyers</t>
        </is>
      </c>
      <c r="D222" t="inlineStr">
        <is>
          <t>Biryani &amp; Kabsa Rice (B2C)</t>
        </is>
      </c>
      <c r="E222" t="inlineStr">
        <is>
          <t>Secondary (long-tail)</t>
        </is>
      </c>
      <c r="F222" t="inlineStr">
        <is>
          <t>H3 / body paragraph / table row / image alt</t>
        </is>
      </c>
      <c r="G222" t="inlineStr">
        <is>
          <t>Price</t>
        </is>
      </c>
      <c r="H222" t="inlineStr">
        <is>
          <t>Use-case</t>
        </is>
      </c>
      <c r="I222" t="inlineStr">
        <is>
          <t>Commercial/Transactional</t>
        </is>
      </c>
      <c r="J222" t="inlineStr">
        <is>
          <t>MOFU</t>
        </is>
      </c>
      <c r="K222" t="inlineStr">
        <is>
          <t>Dubai</t>
        </is>
      </c>
      <c r="L222" t="inlineStr">
        <is>
          <t>Landing/Blog</t>
        </is>
      </c>
      <c r="M222">
        <f>IFERROR(VLOOKUP($A222,'Semrush Import'!$A:$D,2,FALSE),"")</f>
        <v/>
      </c>
      <c r="N222">
        <f>IFERROR(VLOOKUP($A222,'Semrush Import'!$A:$D,3,FALSE),"")</f>
        <v/>
      </c>
      <c r="O222">
        <f>IFERROR(VLOOKUP($A222,'Semrush Import'!$A:$D,4,FALSE),"")</f>
        <v/>
      </c>
      <c r="P222">
        <f>IFERROR(VLOOKUP($A222,'KP Import'!$A:$B,2,FALSE),"")</f>
        <v/>
      </c>
      <c r="Q222">
        <f>IF(M222="","",ROUND(M222/(N222+10),1))</f>
        <v/>
      </c>
      <c r="R222">
        <f>IF(Q222="","",IF(Q222&gt;=20,"A - Go first",IF(Q222&gt;=5,"B - Next","C - Later")))</f>
        <v/>
      </c>
      <c r="S222" t="inlineStr">
        <is>
          <t>To do</t>
        </is>
      </c>
      <c r="T222" t="inlineStr"/>
    </row>
    <row r="223">
      <c r="A223" t="inlineStr">
        <is>
          <t>rice for biryani online dubai</t>
        </is>
      </c>
      <c r="B223" t="inlineStr">
        <is>
          <t>Phase 2 - B2C (later)</t>
        </is>
      </c>
      <c r="C223" t="inlineStr">
        <is>
          <t>Consumer / household</t>
        </is>
      </c>
      <c r="D223" t="inlineStr">
        <is>
          <t>Biryani &amp; Kabsa Rice (B2C)</t>
        </is>
      </c>
      <c r="E223" t="inlineStr">
        <is>
          <t>Secondary (long-tail)</t>
        </is>
      </c>
      <c r="F223" t="inlineStr">
        <is>
          <t>H3 / body paragraph / table row / image alt</t>
        </is>
      </c>
      <c r="G223" t="inlineStr">
        <is>
          <t>Transactional</t>
        </is>
      </c>
      <c r="H223" t="inlineStr">
        <is>
          <t>Use-case</t>
        </is>
      </c>
      <c r="I223" t="inlineStr">
        <is>
          <t>Transactional</t>
        </is>
      </c>
      <c r="J223" t="inlineStr">
        <is>
          <t>BOFU</t>
        </is>
      </c>
      <c r="K223" t="inlineStr">
        <is>
          <t>Dubai</t>
        </is>
      </c>
      <c r="L223" t="inlineStr">
        <is>
          <t>Landing/Blog</t>
        </is>
      </c>
      <c r="M223">
        <f>IFERROR(VLOOKUP($A223,'Semrush Import'!$A:$D,2,FALSE),"")</f>
        <v/>
      </c>
      <c r="N223">
        <f>IFERROR(VLOOKUP($A223,'Semrush Import'!$A:$D,3,FALSE),"")</f>
        <v/>
      </c>
      <c r="O223">
        <f>IFERROR(VLOOKUP($A223,'Semrush Import'!$A:$D,4,FALSE),"")</f>
        <v/>
      </c>
      <c r="P223">
        <f>IFERROR(VLOOKUP($A223,'KP Import'!$A:$B,2,FALSE),"")</f>
        <v/>
      </c>
      <c r="Q223">
        <f>IF(M223="","",ROUND(M223/(N223+10),1))</f>
        <v/>
      </c>
      <c r="R223">
        <f>IF(Q223="","",IF(Q223&gt;=20,"A - Go first",IF(Q223&gt;=5,"B - Next","C - Later")))</f>
        <v/>
      </c>
      <c r="S223" t="inlineStr">
        <is>
          <t>To do</t>
        </is>
      </c>
      <c r="T223" t="inlineStr"/>
    </row>
    <row r="224">
      <c r="A224" t="inlineStr">
        <is>
          <t>rice for biryani wholesale dubai</t>
        </is>
      </c>
      <c r="B224" t="inlineStr">
        <is>
          <t>Phase 1 - B2B now</t>
        </is>
      </c>
      <c r="C224" t="inlineStr">
        <is>
          <t>Wholesalers / bulk buyers</t>
        </is>
      </c>
      <c r="D224" t="inlineStr">
        <is>
          <t>Biryani &amp; Kabsa Rice (B2C)</t>
        </is>
      </c>
      <c r="E224" t="inlineStr">
        <is>
          <t>Secondary (long-tail)</t>
        </is>
      </c>
      <c r="F224" t="inlineStr">
        <is>
          <t>H3 / body paragraph / table row / image alt</t>
        </is>
      </c>
      <c r="G224" t="inlineStr">
        <is>
          <t>Wholesale/B2B</t>
        </is>
      </c>
      <c r="H224" t="inlineStr">
        <is>
          <t>Use-case</t>
        </is>
      </c>
      <c r="I224" t="inlineStr">
        <is>
          <t>Transactional (B2B)</t>
        </is>
      </c>
      <c r="J224" t="inlineStr">
        <is>
          <t>BOFU</t>
        </is>
      </c>
      <c r="K224" t="inlineStr">
        <is>
          <t>Dubai</t>
        </is>
      </c>
      <c r="L224" t="inlineStr">
        <is>
          <t>Landing</t>
        </is>
      </c>
      <c r="M224">
        <f>IFERROR(VLOOKUP($A224,'Semrush Import'!$A:$D,2,FALSE),"")</f>
        <v/>
      </c>
      <c r="N224">
        <f>IFERROR(VLOOKUP($A224,'Semrush Import'!$A:$D,3,FALSE),"")</f>
        <v/>
      </c>
      <c r="O224">
        <f>IFERROR(VLOOKUP($A224,'Semrush Import'!$A:$D,4,FALSE),"")</f>
        <v/>
      </c>
      <c r="P224">
        <f>IFERROR(VLOOKUP($A224,'KP Import'!$A:$B,2,FALSE),"")</f>
        <v/>
      </c>
      <c r="Q224">
        <f>IF(M224="","",ROUND(M224/(N224+10),1))</f>
        <v/>
      </c>
      <c r="R224">
        <f>IF(Q224="","",IF(Q224&gt;=20,"A - Go first",IF(Q224&gt;=5,"B - Next","C - Later")))</f>
        <v/>
      </c>
      <c r="S224" t="inlineStr">
        <is>
          <t>To do</t>
        </is>
      </c>
      <c r="T224" t="inlineStr"/>
    </row>
    <row r="225">
      <c r="A225" t="inlineStr">
        <is>
          <t>rice for biryani supplier uae</t>
        </is>
      </c>
      <c r="B225" t="inlineStr">
        <is>
          <t>Phase 1 - B2B now</t>
        </is>
      </c>
      <c r="C225" t="inlineStr">
        <is>
          <t>Wholesalers / bulk buyers</t>
        </is>
      </c>
      <c r="D225" t="inlineStr">
        <is>
          <t>Biryani &amp; Kabsa Rice (B2C)</t>
        </is>
      </c>
      <c r="E225" t="inlineStr">
        <is>
          <t>Secondary (long-tail)</t>
        </is>
      </c>
      <c r="F225" t="inlineStr">
        <is>
          <t>H3 / body paragraph / table row / image alt</t>
        </is>
      </c>
      <c r="G225" t="inlineStr">
        <is>
          <t>Wholesale/B2B</t>
        </is>
      </c>
      <c r="H225" t="inlineStr">
        <is>
          <t>Use-case</t>
        </is>
      </c>
      <c r="I225" t="inlineStr">
        <is>
          <t>Transactional (B2B)</t>
        </is>
      </c>
      <c r="J225" t="inlineStr">
        <is>
          <t>BOFU</t>
        </is>
      </c>
      <c r="K225" t="inlineStr">
        <is>
          <t>UAE</t>
        </is>
      </c>
      <c r="L225" t="inlineStr">
        <is>
          <t>Landing</t>
        </is>
      </c>
      <c r="M225">
        <f>IFERROR(VLOOKUP($A225,'Semrush Import'!$A:$D,2,FALSE),"")</f>
        <v/>
      </c>
      <c r="N225">
        <f>IFERROR(VLOOKUP($A225,'Semrush Import'!$A:$D,3,FALSE),"")</f>
        <v/>
      </c>
      <c r="O225">
        <f>IFERROR(VLOOKUP($A225,'Semrush Import'!$A:$D,4,FALSE),"")</f>
        <v/>
      </c>
      <c r="P225">
        <f>IFERROR(VLOOKUP($A225,'KP Import'!$A:$B,2,FALSE),"")</f>
        <v/>
      </c>
      <c r="Q225">
        <f>IF(M225="","",ROUND(M225/(N225+10),1))</f>
        <v/>
      </c>
      <c r="R225">
        <f>IF(Q225="","",IF(Q225&gt;=20,"A - Go first",IF(Q225&gt;=5,"B - Next","C - Later")))</f>
        <v/>
      </c>
      <c r="S225" t="inlineStr">
        <is>
          <t>To do</t>
        </is>
      </c>
      <c r="T225" t="inlineStr"/>
    </row>
    <row r="226">
      <c r="A226" t="inlineStr">
        <is>
          <t>rice for kabsa</t>
        </is>
      </c>
      <c r="B226" t="inlineStr">
        <is>
          <t>Phase 1 - B2B now</t>
        </is>
      </c>
      <c r="C226" t="inlineStr">
        <is>
          <t>Wholesalers / bulk buyers</t>
        </is>
      </c>
      <c r="D226" t="inlineStr">
        <is>
          <t>Biryani &amp; Kabsa Rice (B2C)</t>
        </is>
      </c>
      <c r="E226" t="inlineStr">
        <is>
          <t>Secondary (short)</t>
        </is>
      </c>
      <c r="F226" t="inlineStr">
        <is>
          <t>H2 heading + 1st paragraph under it</t>
        </is>
      </c>
      <c r="G226" t="inlineStr">
        <is>
          <t>Core product</t>
        </is>
      </c>
      <c r="H226" t="inlineStr">
        <is>
          <t>Use-case</t>
        </is>
      </c>
      <c r="I226" t="inlineStr">
        <is>
          <t>Informational/Commercial</t>
        </is>
      </c>
      <c r="J226" t="inlineStr">
        <is>
          <t>TOFU</t>
        </is>
      </c>
      <c r="K226" t="inlineStr">
        <is>
          <t>UAE (generic)</t>
        </is>
      </c>
      <c r="L226" t="inlineStr">
        <is>
          <t>Landing/Blog</t>
        </is>
      </c>
      <c r="M226">
        <f>IFERROR(VLOOKUP($A226,'Semrush Import'!$A:$D,2,FALSE),"")</f>
        <v/>
      </c>
      <c r="N226">
        <f>IFERROR(VLOOKUP($A226,'Semrush Import'!$A:$D,3,FALSE),"")</f>
        <v/>
      </c>
      <c r="O226">
        <f>IFERROR(VLOOKUP($A226,'Semrush Import'!$A:$D,4,FALSE),"")</f>
        <v/>
      </c>
      <c r="P226">
        <f>IFERROR(VLOOKUP($A226,'KP Import'!$A:$B,2,FALSE),"")</f>
        <v/>
      </c>
      <c r="Q226">
        <f>IF(M226="","",ROUND(M226/(N226+10),1))</f>
        <v/>
      </c>
      <c r="R226">
        <f>IF(Q226="","",IF(Q226&gt;=20,"A - Go first",IF(Q226&gt;=5,"B - Next","C - Later")))</f>
        <v/>
      </c>
      <c r="S226" t="inlineStr">
        <is>
          <t>To do</t>
        </is>
      </c>
      <c r="T226" t="inlineStr"/>
    </row>
    <row r="227">
      <c r="A227" t="inlineStr">
        <is>
          <t>buy rice for kabsa online</t>
        </is>
      </c>
      <c r="B227" t="inlineStr">
        <is>
          <t>Phase 2 - B2C (later)</t>
        </is>
      </c>
      <c r="C227" t="inlineStr">
        <is>
          <t>Consumer / household</t>
        </is>
      </c>
      <c r="D227" t="inlineStr">
        <is>
          <t>Biryani &amp; Kabsa Rice (B2C)</t>
        </is>
      </c>
      <c r="E227" t="inlineStr">
        <is>
          <t>Secondary (long-tail)</t>
        </is>
      </c>
      <c r="F227" t="inlineStr">
        <is>
          <t>H3 / body paragraph / table row / image alt</t>
        </is>
      </c>
      <c r="G227" t="inlineStr">
        <is>
          <t>Transactional</t>
        </is>
      </c>
      <c r="H227" t="inlineStr">
        <is>
          <t>Use-case</t>
        </is>
      </c>
      <c r="I227" t="inlineStr">
        <is>
          <t>Transactional</t>
        </is>
      </c>
      <c r="J227" t="inlineStr">
        <is>
          <t>BOFU</t>
        </is>
      </c>
      <c r="K227" t="inlineStr">
        <is>
          <t>UAE (generic)</t>
        </is>
      </c>
      <c r="L227" t="inlineStr">
        <is>
          <t>Landing/Blog</t>
        </is>
      </c>
      <c r="M227">
        <f>IFERROR(VLOOKUP($A227,'Semrush Import'!$A:$D,2,FALSE),"")</f>
        <v/>
      </c>
      <c r="N227">
        <f>IFERROR(VLOOKUP($A227,'Semrush Import'!$A:$D,3,FALSE),"")</f>
        <v/>
      </c>
      <c r="O227">
        <f>IFERROR(VLOOKUP($A227,'Semrush Import'!$A:$D,4,FALSE),"")</f>
        <v/>
      </c>
      <c r="P227">
        <f>IFERROR(VLOOKUP($A227,'KP Import'!$A:$B,2,FALSE),"")</f>
        <v/>
      </c>
      <c r="Q227">
        <f>IF(M227="","",ROUND(M227/(N227+10),1))</f>
        <v/>
      </c>
      <c r="R227">
        <f>IF(Q227="","",IF(Q227&gt;=20,"A - Go first",IF(Q227&gt;=5,"B - Next","C - Later")))</f>
        <v/>
      </c>
      <c r="S227" t="inlineStr">
        <is>
          <t>To do</t>
        </is>
      </c>
      <c r="T227" t="inlineStr"/>
    </row>
    <row r="228">
      <c r="A228" t="inlineStr">
        <is>
          <t>rice for kabsa price in uae</t>
        </is>
      </c>
      <c r="B228" t="inlineStr">
        <is>
          <t>Phase 1 - B2B now</t>
        </is>
      </c>
      <c r="C228" t="inlineStr">
        <is>
          <t>Wholesalers / bulk buyers</t>
        </is>
      </c>
      <c r="D228" t="inlineStr">
        <is>
          <t>Biryani &amp; Kabsa Rice (B2C)</t>
        </is>
      </c>
      <c r="E228" t="inlineStr">
        <is>
          <t>Secondary (long-tail)</t>
        </is>
      </c>
      <c r="F228" t="inlineStr">
        <is>
          <t>H3 / body paragraph / table row / image alt</t>
        </is>
      </c>
      <c r="G228" t="inlineStr">
        <is>
          <t>Price</t>
        </is>
      </c>
      <c r="H228" t="inlineStr">
        <is>
          <t>Use-case</t>
        </is>
      </c>
      <c r="I228" t="inlineStr">
        <is>
          <t>Commercial/Transactional</t>
        </is>
      </c>
      <c r="J228" t="inlineStr">
        <is>
          <t>MOFU</t>
        </is>
      </c>
      <c r="K228" t="inlineStr">
        <is>
          <t>UAE</t>
        </is>
      </c>
      <c r="L228" t="inlineStr">
        <is>
          <t>Landing/Blog</t>
        </is>
      </c>
      <c r="M228">
        <f>IFERROR(VLOOKUP($A228,'Semrush Import'!$A:$D,2,FALSE),"")</f>
        <v/>
      </c>
      <c r="N228">
        <f>IFERROR(VLOOKUP($A228,'Semrush Import'!$A:$D,3,FALSE),"")</f>
        <v/>
      </c>
      <c r="O228">
        <f>IFERROR(VLOOKUP($A228,'Semrush Import'!$A:$D,4,FALSE),"")</f>
        <v/>
      </c>
      <c r="P228">
        <f>IFERROR(VLOOKUP($A228,'KP Import'!$A:$B,2,FALSE),"")</f>
        <v/>
      </c>
      <c r="Q228">
        <f>IF(M228="","",ROUND(M228/(N228+10),1))</f>
        <v/>
      </c>
      <c r="R228">
        <f>IF(Q228="","",IF(Q228&gt;=20,"A - Go first",IF(Q228&gt;=5,"B - Next","C - Later")))</f>
        <v/>
      </c>
      <c r="S228" t="inlineStr">
        <is>
          <t>To do</t>
        </is>
      </c>
      <c r="T228" t="inlineStr"/>
    </row>
    <row r="229">
      <c r="A229" t="inlineStr">
        <is>
          <t>rice for kabsa price in dubai</t>
        </is>
      </c>
      <c r="B229" t="inlineStr">
        <is>
          <t>Phase 1 - B2B now</t>
        </is>
      </c>
      <c r="C229" t="inlineStr">
        <is>
          <t>Wholesalers / bulk buyers</t>
        </is>
      </c>
      <c r="D229" t="inlineStr">
        <is>
          <t>Biryani &amp; Kabsa Rice (B2C)</t>
        </is>
      </c>
      <c r="E229" t="inlineStr">
        <is>
          <t>Secondary (long-tail)</t>
        </is>
      </c>
      <c r="F229" t="inlineStr">
        <is>
          <t>H3 / body paragraph / table row / image alt</t>
        </is>
      </c>
      <c r="G229" t="inlineStr">
        <is>
          <t>Price</t>
        </is>
      </c>
      <c r="H229" t="inlineStr">
        <is>
          <t>Use-case</t>
        </is>
      </c>
      <c r="I229" t="inlineStr">
        <is>
          <t>Commercial/Transactional</t>
        </is>
      </c>
      <c r="J229" t="inlineStr">
        <is>
          <t>MOFU</t>
        </is>
      </c>
      <c r="K229" t="inlineStr">
        <is>
          <t>Dubai</t>
        </is>
      </c>
      <c r="L229" t="inlineStr">
        <is>
          <t>Landing/Blog</t>
        </is>
      </c>
      <c r="M229">
        <f>IFERROR(VLOOKUP($A229,'Semrush Import'!$A:$D,2,FALSE),"")</f>
        <v/>
      </c>
      <c r="N229">
        <f>IFERROR(VLOOKUP($A229,'Semrush Import'!$A:$D,3,FALSE),"")</f>
        <v/>
      </c>
      <c r="O229">
        <f>IFERROR(VLOOKUP($A229,'Semrush Import'!$A:$D,4,FALSE),"")</f>
        <v/>
      </c>
      <c r="P229">
        <f>IFERROR(VLOOKUP($A229,'KP Import'!$A:$B,2,FALSE),"")</f>
        <v/>
      </c>
      <c r="Q229">
        <f>IF(M229="","",ROUND(M229/(N229+10),1))</f>
        <v/>
      </c>
      <c r="R229">
        <f>IF(Q229="","",IF(Q229&gt;=20,"A - Go first",IF(Q229&gt;=5,"B - Next","C - Later")))</f>
        <v/>
      </c>
      <c r="S229" t="inlineStr">
        <is>
          <t>To do</t>
        </is>
      </c>
      <c r="T229" t="inlineStr"/>
    </row>
    <row r="230">
      <c r="A230" t="inlineStr">
        <is>
          <t>rice for kabsa online dubai</t>
        </is>
      </c>
      <c r="B230" t="inlineStr">
        <is>
          <t>Phase 2 - B2C (later)</t>
        </is>
      </c>
      <c r="C230" t="inlineStr">
        <is>
          <t>Consumer / household</t>
        </is>
      </c>
      <c r="D230" t="inlineStr">
        <is>
          <t>Biryani &amp; Kabsa Rice (B2C)</t>
        </is>
      </c>
      <c r="E230" t="inlineStr">
        <is>
          <t>Secondary (long-tail)</t>
        </is>
      </c>
      <c r="F230" t="inlineStr">
        <is>
          <t>H3 / body paragraph / table row / image alt</t>
        </is>
      </c>
      <c r="G230" t="inlineStr">
        <is>
          <t>Transactional</t>
        </is>
      </c>
      <c r="H230" t="inlineStr">
        <is>
          <t>Use-case</t>
        </is>
      </c>
      <c r="I230" t="inlineStr">
        <is>
          <t>Transactional</t>
        </is>
      </c>
      <c r="J230" t="inlineStr">
        <is>
          <t>BOFU</t>
        </is>
      </c>
      <c r="K230" t="inlineStr">
        <is>
          <t>Dubai</t>
        </is>
      </c>
      <c r="L230" t="inlineStr">
        <is>
          <t>Landing/Blog</t>
        </is>
      </c>
      <c r="M230">
        <f>IFERROR(VLOOKUP($A230,'Semrush Import'!$A:$D,2,FALSE),"")</f>
        <v/>
      </c>
      <c r="N230">
        <f>IFERROR(VLOOKUP($A230,'Semrush Import'!$A:$D,3,FALSE),"")</f>
        <v/>
      </c>
      <c r="O230">
        <f>IFERROR(VLOOKUP($A230,'Semrush Import'!$A:$D,4,FALSE),"")</f>
        <v/>
      </c>
      <c r="P230">
        <f>IFERROR(VLOOKUP($A230,'KP Import'!$A:$B,2,FALSE),"")</f>
        <v/>
      </c>
      <c r="Q230">
        <f>IF(M230="","",ROUND(M230/(N230+10),1))</f>
        <v/>
      </c>
      <c r="R230">
        <f>IF(Q230="","",IF(Q230&gt;=20,"A - Go first",IF(Q230&gt;=5,"B - Next","C - Later")))</f>
        <v/>
      </c>
      <c r="S230" t="inlineStr">
        <is>
          <t>To do</t>
        </is>
      </c>
      <c r="T230" t="inlineStr"/>
    </row>
    <row r="231">
      <c r="A231" t="inlineStr">
        <is>
          <t>rice for kabsa wholesale dubai</t>
        </is>
      </c>
      <c r="B231" t="inlineStr">
        <is>
          <t>Phase 1 - B2B now</t>
        </is>
      </c>
      <c r="C231" t="inlineStr">
        <is>
          <t>Wholesalers / bulk buyers</t>
        </is>
      </c>
      <c r="D231" t="inlineStr">
        <is>
          <t>Biryani &amp; Kabsa Rice (B2C)</t>
        </is>
      </c>
      <c r="E231" t="inlineStr">
        <is>
          <t>Secondary (long-tail)</t>
        </is>
      </c>
      <c r="F231" t="inlineStr">
        <is>
          <t>H3 / body paragraph / table row / image alt</t>
        </is>
      </c>
      <c r="G231" t="inlineStr">
        <is>
          <t>Wholesale/B2B</t>
        </is>
      </c>
      <c r="H231" t="inlineStr">
        <is>
          <t>Use-case</t>
        </is>
      </c>
      <c r="I231" t="inlineStr">
        <is>
          <t>Transactional (B2B)</t>
        </is>
      </c>
      <c r="J231" t="inlineStr">
        <is>
          <t>BOFU</t>
        </is>
      </c>
      <c r="K231" t="inlineStr">
        <is>
          <t>Dubai</t>
        </is>
      </c>
      <c r="L231" t="inlineStr">
        <is>
          <t>Landing</t>
        </is>
      </c>
      <c r="M231">
        <f>IFERROR(VLOOKUP($A231,'Semrush Import'!$A:$D,2,FALSE),"")</f>
        <v/>
      </c>
      <c r="N231">
        <f>IFERROR(VLOOKUP($A231,'Semrush Import'!$A:$D,3,FALSE),"")</f>
        <v/>
      </c>
      <c r="O231">
        <f>IFERROR(VLOOKUP($A231,'Semrush Import'!$A:$D,4,FALSE),"")</f>
        <v/>
      </c>
      <c r="P231">
        <f>IFERROR(VLOOKUP($A231,'KP Import'!$A:$B,2,FALSE),"")</f>
        <v/>
      </c>
      <c r="Q231">
        <f>IF(M231="","",ROUND(M231/(N231+10),1))</f>
        <v/>
      </c>
      <c r="R231">
        <f>IF(Q231="","",IF(Q231&gt;=20,"A - Go first",IF(Q231&gt;=5,"B - Next","C - Later")))</f>
        <v/>
      </c>
      <c r="S231" t="inlineStr">
        <is>
          <t>To do</t>
        </is>
      </c>
      <c r="T231" t="inlineStr"/>
    </row>
    <row r="232">
      <c r="A232" t="inlineStr">
        <is>
          <t>rice for kabsa supplier uae</t>
        </is>
      </c>
      <c r="B232" t="inlineStr">
        <is>
          <t>Phase 1 - B2B now</t>
        </is>
      </c>
      <c r="C232" t="inlineStr">
        <is>
          <t>Wholesalers / bulk buyers</t>
        </is>
      </c>
      <c r="D232" t="inlineStr">
        <is>
          <t>Biryani &amp; Kabsa Rice (B2C)</t>
        </is>
      </c>
      <c r="E232" t="inlineStr">
        <is>
          <t>Secondary (long-tail)</t>
        </is>
      </c>
      <c r="F232" t="inlineStr">
        <is>
          <t>H3 / body paragraph / table row / image alt</t>
        </is>
      </c>
      <c r="G232" t="inlineStr">
        <is>
          <t>Wholesale/B2B</t>
        </is>
      </c>
      <c r="H232" t="inlineStr">
        <is>
          <t>Use-case</t>
        </is>
      </c>
      <c r="I232" t="inlineStr">
        <is>
          <t>Transactional (B2B)</t>
        </is>
      </c>
      <c r="J232" t="inlineStr">
        <is>
          <t>BOFU</t>
        </is>
      </c>
      <c r="K232" t="inlineStr">
        <is>
          <t>UAE</t>
        </is>
      </c>
      <c r="L232" t="inlineStr">
        <is>
          <t>Landing</t>
        </is>
      </c>
      <c r="M232">
        <f>IFERROR(VLOOKUP($A232,'Semrush Import'!$A:$D,2,FALSE),"")</f>
        <v/>
      </c>
      <c r="N232">
        <f>IFERROR(VLOOKUP($A232,'Semrush Import'!$A:$D,3,FALSE),"")</f>
        <v/>
      </c>
      <c r="O232">
        <f>IFERROR(VLOOKUP($A232,'Semrush Import'!$A:$D,4,FALSE),"")</f>
        <v/>
      </c>
      <c r="P232">
        <f>IFERROR(VLOOKUP($A232,'KP Import'!$A:$B,2,FALSE),"")</f>
        <v/>
      </c>
      <c r="Q232">
        <f>IF(M232="","",ROUND(M232/(N232+10),1))</f>
        <v/>
      </c>
      <c r="R232">
        <f>IF(Q232="","",IF(Q232&gt;=20,"A - Go first",IF(Q232&gt;=5,"B - Next","C - Later")))</f>
        <v/>
      </c>
      <c r="S232" t="inlineStr">
        <is>
          <t>To do</t>
        </is>
      </c>
      <c r="T232" t="inlineStr"/>
    </row>
    <row r="233">
      <c r="A233" t="inlineStr">
        <is>
          <t>mandi rice</t>
        </is>
      </c>
      <c r="B233" t="inlineStr">
        <is>
          <t>Phase 1 - B2B now</t>
        </is>
      </c>
      <c r="C233" t="inlineStr">
        <is>
          <t>Wholesalers / bulk buyers</t>
        </is>
      </c>
      <c r="D233" t="inlineStr">
        <is>
          <t>Biryani &amp; Kabsa Rice (B2C)</t>
        </is>
      </c>
      <c r="E233" t="inlineStr">
        <is>
          <t>Secondary (short)</t>
        </is>
      </c>
      <c r="F233" t="inlineStr">
        <is>
          <t>H2 heading + 1st paragraph under it</t>
        </is>
      </c>
      <c r="G233" t="inlineStr">
        <is>
          <t>Core product</t>
        </is>
      </c>
      <c r="H233" t="inlineStr">
        <is>
          <t>Use-case</t>
        </is>
      </c>
      <c r="I233" t="inlineStr">
        <is>
          <t>Informational/Commercial</t>
        </is>
      </c>
      <c r="J233" t="inlineStr">
        <is>
          <t>TOFU</t>
        </is>
      </c>
      <c r="K233" t="inlineStr">
        <is>
          <t>UAE (generic)</t>
        </is>
      </c>
      <c r="L233" t="inlineStr">
        <is>
          <t>Landing/Blog</t>
        </is>
      </c>
      <c r="M233">
        <f>IFERROR(VLOOKUP($A233,'Semrush Import'!$A:$D,2,FALSE),"")</f>
        <v/>
      </c>
      <c r="N233">
        <f>IFERROR(VLOOKUP($A233,'Semrush Import'!$A:$D,3,FALSE),"")</f>
        <v/>
      </c>
      <c r="O233">
        <f>IFERROR(VLOOKUP($A233,'Semrush Import'!$A:$D,4,FALSE),"")</f>
        <v/>
      </c>
      <c r="P233">
        <f>IFERROR(VLOOKUP($A233,'KP Import'!$A:$B,2,FALSE),"")</f>
        <v/>
      </c>
      <c r="Q233">
        <f>IF(M233="","",ROUND(M233/(N233+10),1))</f>
        <v/>
      </c>
      <c r="R233">
        <f>IF(Q233="","",IF(Q233&gt;=20,"A - Go first",IF(Q233&gt;=5,"B - Next","C - Later")))</f>
        <v/>
      </c>
      <c r="S233" t="inlineStr">
        <is>
          <t>To do</t>
        </is>
      </c>
      <c r="T233" t="inlineStr"/>
    </row>
    <row r="234">
      <c r="A234" t="inlineStr">
        <is>
          <t>buy mandi rice online</t>
        </is>
      </c>
      <c r="B234" t="inlineStr">
        <is>
          <t>Phase 2 - B2C (later)</t>
        </is>
      </c>
      <c r="C234" t="inlineStr">
        <is>
          <t>Consumer / household</t>
        </is>
      </c>
      <c r="D234" t="inlineStr">
        <is>
          <t>Biryani &amp; Kabsa Rice (B2C)</t>
        </is>
      </c>
      <c r="E234" t="inlineStr">
        <is>
          <t>Secondary (long-tail)</t>
        </is>
      </c>
      <c r="F234" t="inlineStr">
        <is>
          <t>H3 / body paragraph / table row / image alt</t>
        </is>
      </c>
      <c r="G234" t="inlineStr">
        <is>
          <t>Transactional</t>
        </is>
      </c>
      <c r="H234" t="inlineStr">
        <is>
          <t>Use-case</t>
        </is>
      </c>
      <c r="I234" t="inlineStr">
        <is>
          <t>Transactional</t>
        </is>
      </c>
      <c r="J234" t="inlineStr">
        <is>
          <t>BOFU</t>
        </is>
      </c>
      <c r="K234" t="inlineStr">
        <is>
          <t>UAE (generic)</t>
        </is>
      </c>
      <c r="L234" t="inlineStr">
        <is>
          <t>Landing/Blog</t>
        </is>
      </c>
      <c r="M234">
        <f>IFERROR(VLOOKUP($A234,'Semrush Import'!$A:$D,2,FALSE),"")</f>
        <v/>
      </c>
      <c r="N234">
        <f>IFERROR(VLOOKUP($A234,'Semrush Import'!$A:$D,3,FALSE),"")</f>
        <v/>
      </c>
      <c r="O234">
        <f>IFERROR(VLOOKUP($A234,'Semrush Import'!$A:$D,4,FALSE),"")</f>
        <v/>
      </c>
      <c r="P234">
        <f>IFERROR(VLOOKUP($A234,'KP Import'!$A:$B,2,FALSE),"")</f>
        <v/>
      </c>
      <c r="Q234">
        <f>IF(M234="","",ROUND(M234/(N234+10),1))</f>
        <v/>
      </c>
      <c r="R234">
        <f>IF(Q234="","",IF(Q234&gt;=20,"A - Go first",IF(Q234&gt;=5,"B - Next","C - Later")))</f>
        <v/>
      </c>
      <c r="S234" t="inlineStr">
        <is>
          <t>To do</t>
        </is>
      </c>
      <c r="T234" t="inlineStr"/>
    </row>
    <row r="235">
      <c r="A235" t="inlineStr">
        <is>
          <t>mandi rice price in uae</t>
        </is>
      </c>
      <c r="B235" t="inlineStr">
        <is>
          <t>Phase 1 - B2B now</t>
        </is>
      </c>
      <c r="C235" t="inlineStr">
        <is>
          <t>Wholesalers / bulk buyers</t>
        </is>
      </c>
      <c r="D235" t="inlineStr">
        <is>
          <t>Biryani &amp; Kabsa Rice (B2C)</t>
        </is>
      </c>
      <c r="E235" t="inlineStr">
        <is>
          <t>Secondary (long-tail)</t>
        </is>
      </c>
      <c r="F235" t="inlineStr">
        <is>
          <t>H3 / body paragraph / table row / image alt</t>
        </is>
      </c>
      <c r="G235" t="inlineStr">
        <is>
          <t>Price</t>
        </is>
      </c>
      <c r="H235" t="inlineStr">
        <is>
          <t>Use-case</t>
        </is>
      </c>
      <c r="I235" t="inlineStr">
        <is>
          <t>Commercial/Transactional</t>
        </is>
      </c>
      <c r="J235" t="inlineStr">
        <is>
          <t>MOFU</t>
        </is>
      </c>
      <c r="K235" t="inlineStr">
        <is>
          <t>UAE</t>
        </is>
      </c>
      <c r="L235" t="inlineStr">
        <is>
          <t>Landing/Blog</t>
        </is>
      </c>
      <c r="M235">
        <f>IFERROR(VLOOKUP($A235,'Semrush Import'!$A:$D,2,FALSE),"")</f>
        <v/>
      </c>
      <c r="N235">
        <f>IFERROR(VLOOKUP($A235,'Semrush Import'!$A:$D,3,FALSE),"")</f>
        <v/>
      </c>
      <c r="O235">
        <f>IFERROR(VLOOKUP($A235,'Semrush Import'!$A:$D,4,FALSE),"")</f>
        <v/>
      </c>
      <c r="P235">
        <f>IFERROR(VLOOKUP($A235,'KP Import'!$A:$B,2,FALSE),"")</f>
        <v/>
      </c>
      <c r="Q235">
        <f>IF(M235="","",ROUND(M235/(N235+10),1))</f>
        <v/>
      </c>
      <c r="R235">
        <f>IF(Q235="","",IF(Q235&gt;=20,"A - Go first",IF(Q235&gt;=5,"B - Next","C - Later")))</f>
        <v/>
      </c>
      <c r="S235" t="inlineStr">
        <is>
          <t>To do</t>
        </is>
      </c>
      <c r="T235" t="inlineStr"/>
    </row>
    <row r="236">
      <c r="A236" t="inlineStr">
        <is>
          <t>mandi rice price in dubai</t>
        </is>
      </c>
      <c r="B236" t="inlineStr">
        <is>
          <t>Phase 1 - B2B now</t>
        </is>
      </c>
      <c r="C236" t="inlineStr">
        <is>
          <t>Wholesalers / bulk buyers</t>
        </is>
      </c>
      <c r="D236" t="inlineStr">
        <is>
          <t>Biryani &amp; Kabsa Rice (B2C)</t>
        </is>
      </c>
      <c r="E236" t="inlineStr">
        <is>
          <t>Secondary (long-tail)</t>
        </is>
      </c>
      <c r="F236" t="inlineStr">
        <is>
          <t>H3 / body paragraph / table row / image alt</t>
        </is>
      </c>
      <c r="G236" t="inlineStr">
        <is>
          <t>Price</t>
        </is>
      </c>
      <c r="H236" t="inlineStr">
        <is>
          <t>Use-case</t>
        </is>
      </c>
      <c r="I236" t="inlineStr">
        <is>
          <t>Commercial/Transactional</t>
        </is>
      </c>
      <c r="J236" t="inlineStr">
        <is>
          <t>MOFU</t>
        </is>
      </c>
      <c r="K236" t="inlineStr">
        <is>
          <t>Dubai</t>
        </is>
      </c>
      <c r="L236" t="inlineStr">
        <is>
          <t>Landing/Blog</t>
        </is>
      </c>
      <c r="M236">
        <f>IFERROR(VLOOKUP($A236,'Semrush Import'!$A:$D,2,FALSE),"")</f>
        <v/>
      </c>
      <c r="N236">
        <f>IFERROR(VLOOKUP($A236,'Semrush Import'!$A:$D,3,FALSE),"")</f>
        <v/>
      </c>
      <c r="O236">
        <f>IFERROR(VLOOKUP($A236,'Semrush Import'!$A:$D,4,FALSE),"")</f>
        <v/>
      </c>
      <c r="P236">
        <f>IFERROR(VLOOKUP($A236,'KP Import'!$A:$B,2,FALSE),"")</f>
        <v/>
      </c>
      <c r="Q236">
        <f>IF(M236="","",ROUND(M236/(N236+10),1))</f>
        <v/>
      </c>
      <c r="R236">
        <f>IF(Q236="","",IF(Q236&gt;=20,"A - Go first",IF(Q236&gt;=5,"B - Next","C - Later")))</f>
        <v/>
      </c>
      <c r="S236" t="inlineStr">
        <is>
          <t>To do</t>
        </is>
      </c>
      <c r="T236" t="inlineStr"/>
    </row>
    <row r="237">
      <c r="A237" t="inlineStr">
        <is>
          <t>mandi rice online dubai</t>
        </is>
      </c>
      <c r="B237" t="inlineStr">
        <is>
          <t>Phase 2 - B2C (later)</t>
        </is>
      </c>
      <c r="C237" t="inlineStr">
        <is>
          <t>Consumer / household</t>
        </is>
      </c>
      <c r="D237" t="inlineStr">
        <is>
          <t>Biryani &amp; Kabsa Rice (B2C)</t>
        </is>
      </c>
      <c r="E237" t="inlineStr">
        <is>
          <t>Secondary (long-tail)</t>
        </is>
      </c>
      <c r="F237" t="inlineStr">
        <is>
          <t>H3 / body paragraph / table row / image alt</t>
        </is>
      </c>
      <c r="G237" t="inlineStr">
        <is>
          <t>Transactional</t>
        </is>
      </c>
      <c r="H237" t="inlineStr">
        <is>
          <t>Use-case</t>
        </is>
      </c>
      <c r="I237" t="inlineStr">
        <is>
          <t>Transactional</t>
        </is>
      </c>
      <c r="J237" t="inlineStr">
        <is>
          <t>BOFU</t>
        </is>
      </c>
      <c r="K237" t="inlineStr">
        <is>
          <t>Dubai</t>
        </is>
      </c>
      <c r="L237" t="inlineStr">
        <is>
          <t>Landing/Blog</t>
        </is>
      </c>
      <c r="M237">
        <f>IFERROR(VLOOKUP($A237,'Semrush Import'!$A:$D,2,FALSE),"")</f>
        <v/>
      </c>
      <c r="N237">
        <f>IFERROR(VLOOKUP($A237,'Semrush Import'!$A:$D,3,FALSE),"")</f>
        <v/>
      </c>
      <c r="O237">
        <f>IFERROR(VLOOKUP($A237,'Semrush Import'!$A:$D,4,FALSE),"")</f>
        <v/>
      </c>
      <c r="P237">
        <f>IFERROR(VLOOKUP($A237,'KP Import'!$A:$B,2,FALSE),"")</f>
        <v/>
      </c>
      <c r="Q237">
        <f>IF(M237="","",ROUND(M237/(N237+10),1))</f>
        <v/>
      </c>
      <c r="R237">
        <f>IF(Q237="","",IF(Q237&gt;=20,"A - Go first",IF(Q237&gt;=5,"B - Next","C - Later")))</f>
        <v/>
      </c>
      <c r="S237" t="inlineStr">
        <is>
          <t>To do</t>
        </is>
      </c>
      <c r="T237" t="inlineStr"/>
    </row>
    <row r="238">
      <c r="A238" t="inlineStr">
        <is>
          <t>mandi rice wholesale dubai</t>
        </is>
      </c>
      <c r="B238" t="inlineStr">
        <is>
          <t>Phase 1 - B2B now</t>
        </is>
      </c>
      <c r="C238" t="inlineStr">
        <is>
          <t>Wholesalers / bulk buyers</t>
        </is>
      </c>
      <c r="D238" t="inlineStr">
        <is>
          <t>Biryani &amp; Kabsa Rice (B2C)</t>
        </is>
      </c>
      <c r="E238" t="inlineStr">
        <is>
          <t>Secondary (long-tail)</t>
        </is>
      </c>
      <c r="F238" t="inlineStr">
        <is>
          <t>H3 / body paragraph / table row / image alt</t>
        </is>
      </c>
      <c r="G238" t="inlineStr">
        <is>
          <t>Wholesale/B2B</t>
        </is>
      </c>
      <c r="H238" t="inlineStr">
        <is>
          <t>Use-case</t>
        </is>
      </c>
      <c r="I238" t="inlineStr">
        <is>
          <t>Transactional (B2B)</t>
        </is>
      </c>
      <c r="J238" t="inlineStr">
        <is>
          <t>BOFU</t>
        </is>
      </c>
      <c r="K238" t="inlineStr">
        <is>
          <t>Dubai</t>
        </is>
      </c>
      <c r="L238" t="inlineStr">
        <is>
          <t>Landing</t>
        </is>
      </c>
      <c r="M238">
        <f>IFERROR(VLOOKUP($A238,'Semrush Import'!$A:$D,2,FALSE),"")</f>
        <v/>
      </c>
      <c r="N238">
        <f>IFERROR(VLOOKUP($A238,'Semrush Import'!$A:$D,3,FALSE),"")</f>
        <v/>
      </c>
      <c r="O238">
        <f>IFERROR(VLOOKUP($A238,'Semrush Import'!$A:$D,4,FALSE),"")</f>
        <v/>
      </c>
      <c r="P238">
        <f>IFERROR(VLOOKUP($A238,'KP Import'!$A:$B,2,FALSE),"")</f>
        <v/>
      </c>
      <c r="Q238">
        <f>IF(M238="","",ROUND(M238/(N238+10),1))</f>
        <v/>
      </c>
      <c r="R238">
        <f>IF(Q238="","",IF(Q238&gt;=20,"A - Go first",IF(Q238&gt;=5,"B - Next","C - Later")))</f>
        <v/>
      </c>
      <c r="S238" t="inlineStr">
        <is>
          <t>To do</t>
        </is>
      </c>
      <c r="T238" t="inlineStr"/>
    </row>
    <row r="239">
      <c r="A239" t="inlineStr">
        <is>
          <t>mandi rice supplier uae</t>
        </is>
      </c>
      <c r="B239" t="inlineStr">
        <is>
          <t>Phase 1 - B2B now</t>
        </is>
      </c>
      <c r="C239" t="inlineStr">
        <is>
          <t>Wholesalers / bulk buyers</t>
        </is>
      </c>
      <c r="D239" t="inlineStr">
        <is>
          <t>Biryani &amp; Kabsa Rice (B2C)</t>
        </is>
      </c>
      <c r="E239" t="inlineStr">
        <is>
          <t>Secondary (long-tail)</t>
        </is>
      </c>
      <c r="F239" t="inlineStr">
        <is>
          <t>H3 / body paragraph / table row / image alt</t>
        </is>
      </c>
      <c r="G239" t="inlineStr">
        <is>
          <t>Wholesale/B2B</t>
        </is>
      </c>
      <c r="H239" t="inlineStr">
        <is>
          <t>Use-case</t>
        </is>
      </c>
      <c r="I239" t="inlineStr">
        <is>
          <t>Transactional (B2B)</t>
        </is>
      </c>
      <c r="J239" t="inlineStr">
        <is>
          <t>BOFU</t>
        </is>
      </c>
      <c r="K239" t="inlineStr">
        <is>
          <t>UAE</t>
        </is>
      </c>
      <c r="L239" t="inlineStr">
        <is>
          <t>Landing</t>
        </is>
      </c>
      <c r="M239">
        <f>IFERROR(VLOOKUP($A239,'Semrush Import'!$A:$D,2,FALSE),"")</f>
        <v/>
      </c>
      <c r="N239">
        <f>IFERROR(VLOOKUP($A239,'Semrush Import'!$A:$D,3,FALSE),"")</f>
        <v/>
      </c>
      <c r="O239">
        <f>IFERROR(VLOOKUP($A239,'Semrush Import'!$A:$D,4,FALSE),"")</f>
        <v/>
      </c>
      <c r="P239">
        <f>IFERROR(VLOOKUP($A239,'KP Import'!$A:$B,2,FALSE),"")</f>
        <v/>
      </c>
      <c r="Q239">
        <f>IF(M239="","",ROUND(M239/(N239+10),1))</f>
        <v/>
      </c>
      <c r="R239">
        <f>IF(Q239="","",IF(Q239&gt;=20,"A - Go first",IF(Q239&gt;=5,"B - Next","C - Later")))</f>
        <v/>
      </c>
      <c r="S239" t="inlineStr">
        <is>
          <t>To do</t>
        </is>
      </c>
      <c r="T239" t="inlineStr"/>
    </row>
    <row r="240">
      <c r="A240" t="inlineStr">
        <is>
          <t>sharjah rice</t>
        </is>
      </c>
      <c r="B240" t="inlineStr">
        <is>
          <t>Phase 1 - B2B now</t>
        </is>
      </c>
      <c r="C240" t="inlineStr">
        <is>
          <t>Wholesalers / bulk buyers</t>
        </is>
      </c>
      <c r="D240" t="inlineStr">
        <is>
          <t>Wholesale / Bulk</t>
        </is>
      </c>
      <c r="E240" t="inlineStr">
        <is>
          <t>Secondary (short)</t>
        </is>
      </c>
      <c r="F240" t="inlineStr">
        <is>
          <t>H2 heading + 1st paragraph under it</t>
        </is>
      </c>
      <c r="G240" t="inlineStr">
        <is>
          <t>Core product</t>
        </is>
      </c>
      <c r="H240" t="inlineStr">
        <is>
          <t>Misc</t>
        </is>
      </c>
      <c r="I240" t="inlineStr">
        <is>
          <t>Informational/Commercial</t>
        </is>
      </c>
      <c r="J240" t="inlineStr">
        <is>
          <t>TOFU</t>
        </is>
      </c>
      <c r="K240" t="inlineStr">
        <is>
          <t>UAE (generic)</t>
        </is>
      </c>
      <c r="L240" t="inlineStr">
        <is>
          <t>Landing/Blog</t>
        </is>
      </c>
      <c r="M240">
        <f>IFERROR(VLOOKUP($A240,'Semrush Import'!$A:$D,2,FALSE),"")</f>
        <v/>
      </c>
      <c r="N240">
        <f>IFERROR(VLOOKUP($A240,'Semrush Import'!$A:$D,3,FALSE),"")</f>
        <v/>
      </c>
      <c r="O240">
        <f>IFERROR(VLOOKUP($A240,'Semrush Import'!$A:$D,4,FALSE),"")</f>
        <v/>
      </c>
      <c r="P240">
        <f>IFERROR(VLOOKUP($A240,'KP Import'!$A:$B,2,FALSE),"")</f>
        <v/>
      </c>
      <c r="Q240">
        <f>IF(M240="","",ROUND(M240/(N240+10),1))</f>
        <v/>
      </c>
      <c r="R240">
        <f>IF(Q240="","",IF(Q240&gt;=20,"A - Go first",IF(Q240&gt;=5,"B - Next","C - Later")))</f>
        <v/>
      </c>
      <c r="S240" t="inlineStr">
        <is>
          <t>To do</t>
        </is>
      </c>
      <c r="T240" t="inlineStr"/>
    </row>
    <row r="241">
      <c r="A241" t="inlineStr">
        <is>
          <t>buy sharjah rice online</t>
        </is>
      </c>
      <c r="B241" t="inlineStr">
        <is>
          <t>Phase 2 - B2C (later)</t>
        </is>
      </c>
      <c r="C241" t="inlineStr">
        <is>
          <t>Consumer / household</t>
        </is>
      </c>
      <c r="D241" t="inlineStr">
        <is>
          <t>Shop (B2C)</t>
        </is>
      </c>
      <c r="E241" t="inlineStr">
        <is>
          <t>Secondary (long-tail)</t>
        </is>
      </c>
      <c r="F241" t="inlineStr">
        <is>
          <t>H3 / body paragraph / table row / image alt</t>
        </is>
      </c>
      <c r="G241" t="inlineStr">
        <is>
          <t>Transactional</t>
        </is>
      </c>
      <c r="H241" t="inlineStr">
        <is>
          <t>Misc</t>
        </is>
      </c>
      <c r="I241" t="inlineStr">
        <is>
          <t>Transactional</t>
        </is>
      </c>
      <c r="J241" t="inlineStr">
        <is>
          <t>BOFU</t>
        </is>
      </c>
      <c r="K241" t="inlineStr">
        <is>
          <t>UAE (generic)</t>
        </is>
      </c>
      <c r="L241" t="inlineStr">
        <is>
          <t>Landing/Blog</t>
        </is>
      </c>
      <c r="M241">
        <f>IFERROR(VLOOKUP($A241,'Semrush Import'!$A:$D,2,FALSE),"")</f>
        <v/>
      </c>
      <c r="N241">
        <f>IFERROR(VLOOKUP($A241,'Semrush Import'!$A:$D,3,FALSE),"")</f>
        <v/>
      </c>
      <c r="O241">
        <f>IFERROR(VLOOKUP($A241,'Semrush Import'!$A:$D,4,FALSE),"")</f>
        <v/>
      </c>
      <c r="P241">
        <f>IFERROR(VLOOKUP($A241,'KP Import'!$A:$B,2,FALSE),"")</f>
        <v/>
      </c>
      <c r="Q241">
        <f>IF(M241="","",ROUND(M241/(N241+10),1))</f>
        <v/>
      </c>
      <c r="R241">
        <f>IF(Q241="","",IF(Q241&gt;=20,"A - Go first",IF(Q241&gt;=5,"B - Next","C - Later")))</f>
        <v/>
      </c>
      <c r="S241" t="inlineStr">
        <is>
          <t>To do</t>
        </is>
      </c>
      <c r="T241" t="inlineStr"/>
    </row>
    <row r="242">
      <c r="A242" t="inlineStr">
        <is>
          <t>sharjah rice price in uae</t>
        </is>
      </c>
      <c r="B242" t="inlineStr">
        <is>
          <t>Phase 1 - B2B now</t>
        </is>
      </c>
      <c r="C242" t="inlineStr">
        <is>
          <t>Wholesalers / bulk buyers</t>
        </is>
      </c>
      <c r="D242" t="inlineStr">
        <is>
          <t>Wholesale / Bulk</t>
        </is>
      </c>
      <c r="E242" t="inlineStr">
        <is>
          <t>Secondary (long-tail)</t>
        </is>
      </c>
      <c r="F242" t="inlineStr">
        <is>
          <t>H3 / body paragraph / table row / image alt</t>
        </is>
      </c>
      <c r="G242" t="inlineStr">
        <is>
          <t>Price</t>
        </is>
      </c>
      <c r="H242" t="inlineStr">
        <is>
          <t>Misc</t>
        </is>
      </c>
      <c r="I242" t="inlineStr">
        <is>
          <t>Commercial/Transactional</t>
        </is>
      </c>
      <c r="J242" t="inlineStr">
        <is>
          <t>MOFU</t>
        </is>
      </c>
      <c r="K242" t="inlineStr">
        <is>
          <t>UAE</t>
        </is>
      </c>
      <c r="L242" t="inlineStr">
        <is>
          <t>Landing/Blog</t>
        </is>
      </c>
      <c r="M242">
        <f>IFERROR(VLOOKUP($A242,'Semrush Import'!$A:$D,2,FALSE),"")</f>
        <v/>
      </c>
      <c r="N242">
        <f>IFERROR(VLOOKUP($A242,'Semrush Import'!$A:$D,3,FALSE),"")</f>
        <v/>
      </c>
      <c r="O242">
        <f>IFERROR(VLOOKUP($A242,'Semrush Import'!$A:$D,4,FALSE),"")</f>
        <v/>
      </c>
      <c r="P242">
        <f>IFERROR(VLOOKUP($A242,'KP Import'!$A:$B,2,FALSE),"")</f>
        <v/>
      </c>
      <c r="Q242">
        <f>IF(M242="","",ROUND(M242/(N242+10),1))</f>
        <v/>
      </c>
      <c r="R242">
        <f>IF(Q242="","",IF(Q242&gt;=20,"A - Go first",IF(Q242&gt;=5,"B - Next","C - Later")))</f>
        <v/>
      </c>
      <c r="S242" t="inlineStr">
        <is>
          <t>To do</t>
        </is>
      </c>
      <c r="T242" t="inlineStr"/>
    </row>
    <row r="243">
      <c r="A243" t="inlineStr">
        <is>
          <t>sharjah rice price in dubai</t>
        </is>
      </c>
      <c r="B243" t="inlineStr">
        <is>
          <t>Phase 1 - B2B now</t>
        </is>
      </c>
      <c r="C243" t="inlineStr">
        <is>
          <t>Wholesalers / bulk buyers</t>
        </is>
      </c>
      <c r="D243" t="inlineStr">
        <is>
          <t>Wholesale / Bulk</t>
        </is>
      </c>
      <c r="E243" t="inlineStr">
        <is>
          <t>Secondary (long-tail)</t>
        </is>
      </c>
      <c r="F243" t="inlineStr">
        <is>
          <t>H3 / body paragraph / table row / image alt</t>
        </is>
      </c>
      <c r="G243" t="inlineStr">
        <is>
          <t>Price</t>
        </is>
      </c>
      <c r="H243" t="inlineStr">
        <is>
          <t>Misc</t>
        </is>
      </c>
      <c r="I243" t="inlineStr">
        <is>
          <t>Commercial/Transactional</t>
        </is>
      </c>
      <c r="J243" t="inlineStr">
        <is>
          <t>MOFU</t>
        </is>
      </c>
      <c r="K243" t="inlineStr">
        <is>
          <t>Dubai</t>
        </is>
      </c>
      <c r="L243" t="inlineStr">
        <is>
          <t>Landing/Blog</t>
        </is>
      </c>
      <c r="M243">
        <f>IFERROR(VLOOKUP($A243,'Semrush Import'!$A:$D,2,FALSE),"")</f>
        <v/>
      </c>
      <c r="N243">
        <f>IFERROR(VLOOKUP($A243,'Semrush Import'!$A:$D,3,FALSE),"")</f>
        <v/>
      </c>
      <c r="O243">
        <f>IFERROR(VLOOKUP($A243,'Semrush Import'!$A:$D,4,FALSE),"")</f>
        <v/>
      </c>
      <c r="P243">
        <f>IFERROR(VLOOKUP($A243,'KP Import'!$A:$B,2,FALSE),"")</f>
        <v/>
      </c>
      <c r="Q243">
        <f>IF(M243="","",ROUND(M243/(N243+10),1))</f>
        <v/>
      </c>
      <c r="R243">
        <f>IF(Q243="","",IF(Q243&gt;=20,"A - Go first",IF(Q243&gt;=5,"B - Next","C - Later")))</f>
        <v/>
      </c>
      <c r="S243" t="inlineStr">
        <is>
          <t>To do</t>
        </is>
      </c>
      <c r="T243" t="inlineStr"/>
    </row>
    <row r="244">
      <c r="A244" t="inlineStr">
        <is>
          <t>sharjah rice online dubai</t>
        </is>
      </c>
      <c r="B244" t="inlineStr">
        <is>
          <t>Phase 2 - B2C (later)</t>
        </is>
      </c>
      <c r="C244" t="inlineStr">
        <is>
          <t>Consumer / household</t>
        </is>
      </c>
      <c r="D244" t="inlineStr">
        <is>
          <t>Shop (B2C)</t>
        </is>
      </c>
      <c r="E244" t="inlineStr">
        <is>
          <t>Secondary (long-tail)</t>
        </is>
      </c>
      <c r="F244" t="inlineStr">
        <is>
          <t>H3 / body paragraph / table row / image alt</t>
        </is>
      </c>
      <c r="G244" t="inlineStr">
        <is>
          <t>Transactional</t>
        </is>
      </c>
      <c r="H244" t="inlineStr">
        <is>
          <t>Misc</t>
        </is>
      </c>
      <c r="I244" t="inlineStr">
        <is>
          <t>Transactional</t>
        </is>
      </c>
      <c r="J244" t="inlineStr">
        <is>
          <t>BOFU</t>
        </is>
      </c>
      <c r="K244" t="inlineStr">
        <is>
          <t>Dubai</t>
        </is>
      </c>
      <c r="L244" t="inlineStr">
        <is>
          <t>Landing/Blog</t>
        </is>
      </c>
      <c r="M244">
        <f>IFERROR(VLOOKUP($A244,'Semrush Import'!$A:$D,2,FALSE),"")</f>
        <v/>
      </c>
      <c r="N244">
        <f>IFERROR(VLOOKUP($A244,'Semrush Import'!$A:$D,3,FALSE),"")</f>
        <v/>
      </c>
      <c r="O244">
        <f>IFERROR(VLOOKUP($A244,'Semrush Import'!$A:$D,4,FALSE),"")</f>
        <v/>
      </c>
      <c r="P244">
        <f>IFERROR(VLOOKUP($A244,'KP Import'!$A:$B,2,FALSE),"")</f>
        <v/>
      </c>
      <c r="Q244">
        <f>IF(M244="","",ROUND(M244/(N244+10),1))</f>
        <v/>
      </c>
      <c r="R244">
        <f>IF(Q244="","",IF(Q244&gt;=20,"A - Go first",IF(Q244&gt;=5,"B - Next","C - Later")))</f>
        <v/>
      </c>
      <c r="S244" t="inlineStr">
        <is>
          <t>To do</t>
        </is>
      </c>
      <c r="T244" t="inlineStr"/>
    </row>
    <row r="245">
      <c r="A245" t="inlineStr">
        <is>
          <t>sharjah rice wholesale dubai</t>
        </is>
      </c>
      <c r="B245" t="inlineStr">
        <is>
          <t>Phase 1 - B2B now</t>
        </is>
      </c>
      <c r="C245" t="inlineStr">
        <is>
          <t>Wholesalers / bulk buyers</t>
        </is>
      </c>
      <c r="D245" t="inlineStr">
        <is>
          <t>Emirate page: Sharjah</t>
        </is>
      </c>
      <c r="E245" t="inlineStr">
        <is>
          <t>Secondary (long-tail)</t>
        </is>
      </c>
      <c r="F245" t="inlineStr">
        <is>
          <t>H3 / body paragraph / table row / image alt</t>
        </is>
      </c>
      <c r="G245" t="inlineStr">
        <is>
          <t>Wholesale/B2B</t>
        </is>
      </c>
      <c r="H245" t="inlineStr">
        <is>
          <t>Misc</t>
        </is>
      </c>
      <c r="I245" t="inlineStr">
        <is>
          <t>Transactional (B2B)</t>
        </is>
      </c>
      <c r="J245" t="inlineStr">
        <is>
          <t>BOFU</t>
        </is>
      </c>
      <c r="K245" t="inlineStr">
        <is>
          <t>Dubai</t>
        </is>
      </c>
      <c r="L245" t="inlineStr">
        <is>
          <t>Landing</t>
        </is>
      </c>
      <c r="M245">
        <f>IFERROR(VLOOKUP($A245,'Semrush Import'!$A:$D,2,FALSE),"")</f>
        <v/>
      </c>
      <c r="N245">
        <f>IFERROR(VLOOKUP($A245,'Semrush Import'!$A:$D,3,FALSE),"")</f>
        <v/>
      </c>
      <c r="O245">
        <f>IFERROR(VLOOKUP($A245,'Semrush Import'!$A:$D,4,FALSE),"")</f>
        <v/>
      </c>
      <c r="P245">
        <f>IFERROR(VLOOKUP($A245,'KP Import'!$A:$B,2,FALSE),"")</f>
        <v/>
      </c>
      <c r="Q245">
        <f>IF(M245="","",ROUND(M245/(N245+10),1))</f>
        <v/>
      </c>
      <c r="R245">
        <f>IF(Q245="","",IF(Q245&gt;=20,"A - Go first",IF(Q245&gt;=5,"B - Next","C - Later")))</f>
        <v/>
      </c>
      <c r="S245" t="inlineStr">
        <is>
          <t>To do</t>
        </is>
      </c>
      <c r="T245" t="inlineStr"/>
    </row>
    <row r="246">
      <c r="A246" t="inlineStr">
        <is>
          <t>sharjah rice supplier uae</t>
        </is>
      </c>
      <c r="B246" t="inlineStr">
        <is>
          <t>Phase 1 - B2B now</t>
        </is>
      </c>
      <c r="C246" t="inlineStr">
        <is>
          <t>Wholesalers / bulk buyers</t>
        </is>
      </c>
      <c r="D246" t="inlineStr">
        <is>
          <t>Emirate page: Sharjah</t>
        </is>
      </c>
      <c r="E246" t="inlineStr">
        <is>
          <t>Secondary (long-tail)</t>
        </is>
      </c>
      <c r="F246" t="inlineStr">
        <is>
          <t>H3 / body paragraph / table row / image alt</t>
        </is>
      </c>
      <c r="G246" t="inlineStr">
        <is>
          <t>Wholesale/B2B</t>
        </is>
      </c>
      <c r="H246" t="inlineStr">
        <is>
          <t>Misc</t>
        </is>
      </c>
      <c r="I246" t="inlineStr">
        <is>
          <t>Transactional (B2B)</t>
        </is>
      </c>
      <c r="J246" t="inlineStr">
        <is>
          <t>BOFU</t>
        </is>
      </c>
      <c r="K246" t="inlineStr">
        <is>
          <t>UAE</t>
        </is>
      </c>
      <c r="L246" t="inlineStr">
        <is>
          <t>Landing</t>
        </is>
      </c>
      <c r="M246">
        <f>IFERROR(VLOOKUP($A246,'Semrush Import'!$A:$D,2,FALSE),"")</f>
        <v/>
      </c>
      <c r="N246">
        <f>IFERROR(VLOOKUP($A246,'Semrush Import'!$A:$D,3,FALSE),"")</f>
        <v/>
      </c>
      <c r="O246">
        <f>IFERROR(VLOOKUP($A246,'Semrush Import'!$A:$D,4,FALSE),"")</f>
        <v/>
      </c>
      <c r="P246">
        <f>IFERROR(VLOOKUP($A246,'KP Import'!$A:$B,2,FALSE),"")</f>
        <v/>
      </c>
      <c r="Q246">
        <f>IF(M246="","",ROUND(M246/(N246+10),1))</f>
        <v/>
      </c>
      <c r="R246">
        <f>IF(Q246="","",IF(Q246&gt;=20,"A - Go first",IF(Q246&gt;=5,"B - Next","C - Later")))</f>
        <v/>
      </c>
      <c r="S246" t="inlineStr">
        <is>
          <t>To do</t>
        </is>
      </c>
      <c r="T246" t="inlineStr"/>
    </row>
    <row r="247">
      <c r="A247" t="inlineStr">
        <is>
          <t>india gate basmati rice</t>
        </is>
      </c>
      <c r="B247" t="inlineStr">
        <is>
          <t>Phase 2 - B2C (later)</t>
        </is>
      </c>
      <c r="C247" t="inlineStr">
        <is>
          <t>Consumer / household</t>
        </is>
      </c>
      <c r="D247" t="inlineStr">
        <is>
          <t>Brands hub (B2C)</t>
        </is>
      </c>
      <c r="E247" t="inlineStr">
        <is>
          <t>PRIMARY</t>
        </is>
      </c>
      <c r="F247" t="inlineStr">
        <is>
          <t>URL slug + SEO title + H1 + meta description + first 100 words</t>
        </is>
      </c>
      <c r="G247" t="inlineStr">
        <is>
          <t>Brand</t>
        </is>
      </c>
      <c r="H247" t="inlineStr">
        <is>
          <t>Brand</t>
        </is>
      </c>
      <c r="I247" t="inlineStr">
        <is>
          <t>Navigational/Transactional</t>
        </is>
      </c>
      <c r="J247" t="inlineStr">
        <is>
          <t>BOFU</t>
        </is>
      </c>
      <c r="K247" t="inlineStr">
        <is>
          <t>UAE (generic)</t>
        </is>
      </c>
      <c r="L247" t="inlineStr">
        <is>
          <t>Product</t>
        </is>
      </c>
      <c r="M247">
        <f>IFERROR(VLOOKUP($A247,'Semrush Import'!$A:$D,2,FALSE),"")</f>
        <v/>
      </c>
      <c r="N247">
        <f>IFERROR(VLOOKUP($A247,'Semrush Import'!$A:$D,3,FALSE),"")</f>
        <v/>
      </c>
      <c r="O247">
        <f>IFERROR(VLOOKUP($A247,'Semrush Import'!$A:$D,4,FALSE),"")</f>
        <v/>
      </c>
      <c r="P247">
        <f>IFERROR(VLOOKUP($A247,'KP Import'!$A:$B,2,FALSE),"")</f>
        <v/>
      </c>
      <c r="Q247">
        <f>IF(M247="","",ROUND(M247/(N247+10),1))</f>
        <v/>
      </c>
      <c r="R247">
        <f>IF(Q247="","",IF(Q247&gt;=20,"A - Go first",IF(Q247&gt;=5,"B - Next","C - Later")))</f>
        <v/>
      </c>
      <c r="S247" t="inlineStr">
        <is>
          <t>To do</t>
        </is>
      </c>
      <c r="T247" t="inlineStr"/>
    </row>
    <row r="248">
      <c r="A248" t="inlineStr">
        <is>
          <t>india gate basmati rice price in uae</t>
        </is>
      </c>
      <c r="B248" t="inlineStr">
        <is>
          <t>Phase 2 - B2C (later)</t>
        </is>
      </c>
      <c r="C248" t="inlineStr">
        <is>
          <t>Consumer / household</t>
        </is>
      </c>
      <c r="D248" t="inlineStr">
        <is>
          <t>Brands hub (B2C)</t>
        </is>
      </c>
      <c r="E248" t="inlineStr">
        <is>
          <t>Secondary (long-tail)</t>
        </is>
      </c>
      <c r="F248" t="inlineStr">
        <is>
          <t>H3 / body paragraph / table row / image alt</t>
        </is>
      </c>
      <c r="G248" t="inlineStr">
        <is>
          <t>Brand price</t>
        </is>
      </c>
      <c r="H248" t="inlineStr">
        <is>
          <t>Brand</t>
        </is>
      </c>
      <c r="I248" t="inlineStr">
        <is>
          <t>Commercial</t>
        </is>
      </c>
      <c r="J248" t="inlineStr">
        <is>
          <t>MOFU</t>
        </is>
      </c>
      <c r="K248" t="inlineStr">
        <is>
          <t>UAE</t>
        </is>
      </c>
      <c r="L248" t="inlineStr">
        <is>
          <t>Product</t>
        </is>
      </c>
      <c r="M248">
        <f>IFERROR(VLOOKUP($A248,'Semrush Import'!$A:$D,2,FALSE),"")</f>
        <v/>
      </c>
      <c r="N248">
        <f>IFERROR(VLOOKUP($A248,'Semrush Import'!$A:$D,3,FALSE),"")</f>
        <v/>
      </c>
      <c r="O248">
        <f>IFERROR(VLOOKUP($A248,'Semrush Import'!$A:$D,4,FALSE),"")</f>
        <v/>
      </c>
      <c r="P248">
        <f>IFERROR(VLOOKUP($A248,'KP Import'!$A:$B,2,FALSE),"")</f>
        <v/>
      </c>
      <c r="Q248">
        <f>IF(M248="","",ROUND(M248/(N248+10),1))</f>
        <v/>
      </c>
      <c r="R248">
        <f>IF(Q248="","",IF(Q248&gt;=20,"A - Go first",IF(Q248&gt;=5,"B - Next","C - Later")))</f>
        <v/>
      </c>
      <c r="S248" t="inlineStr">
        <is>
          <t>To do</t>
        </is>
      </c>
      <c r="T248" t="inlineStr"/>
    </row>
    <row r="249">
      <c r="A249" t="inlineStr">
        <is>
          <t>buy india gate basmati rice dubai</t>
        </is>
      </c>
      <c r="B249" t="inlineStr">
        <is>
          <t>Phase 2 - B2C (later)</t>
        </is>
      </c>
      <c r="C249" t="inlineStr">
        <is>
          <t>Consumer / household</t>
        </is>
      </c>
      <c r="D249" t="inlineStr">
        <is>
          <t>Brands hub (B2C)</t>
        </is>
      </c>
      <c r="E249" t="inlineStr">
        <is>
          <t>Secondary (long-tail)</t>
        </is>
      </c>
      <c r="F249" t="inlineStr">
        <is>
          <t>H3 / body paragraph / table row / image alt</t>
        </is>
      </c>
      <c r="G249" t="inlineStr">
        <is>
          <t>Brand</t>
        </is>
      </c>
      <c r="H249" t="inlineStr">
        <is>
          <t>Brand</t>
        </is>
      </c>
      <c r="I249" t="inlineStr">
        <is>
          <t>Transactional</t>
        </is>
      </c>
      <c r="J249" t="inlineStr">
        <is>
          <t>BOFU</t>
        </is>
      </c>
      <c r="K249" t="inlineStr">
        <is>
          <t>Dubai</t>
        </is>
      </c>
      <c r="L249" t="inlineStr">
        <is>
          <t>Product</t>
        </is>
      </c>
      <c r="M249">
        <f>IFERROR(VLOOKUP($A249,'Semrush Import'!$A:$D,2,FALSE),"")</f>
        <v/>
      </c>
      <c r="N249">
        <f>IFERROR(VLOOKUP($A249,'Semrush Import'!$A:$D,3,FALSE),"")</f>
        <v/>
      </c>
      <c r="O249">
        <f>IFERROR(VLOOKUP($A249,'Semrush Import'!$A:$D,4,FALSE),"")</f>
        <v/>
      </c>
      <c r="P249">
        <f>IFERROR(VLOOKUP($A249,'KP Import'!$A:$B,2,FALSE),"")</f>
        <v/>
      </c>
      <c r="Q249">
        <f>IF(M249="","",ROUND(M249/(N249+10),1))</f>
        <v/>
      </c>
      <c r="R249">
        <f>IF(Q249="","",IF(Q249&gt;=20,"A - Go first",IF(Q249&gt;=5,"B - Next","C - Later")))</f>
        <v/>
      </c>
      <c r="S249" t="inlineStr">
        <is>
          <t>To do</t>
        </is>
      </c>
      <c r="T249" t="inlineStr"/>
    </row>
    <row r="250">
      <c r="A250" t="inlineStr">
        <is>
          <t>daawat basmati rice</t>
        </is>
      </c>
      <c r="B250" t="inlineStr">
        <is>
          <t>Phase 2 - B2C (later)</t>
        </is>
      </c>
      <c r="C250" t="inlineStr">
        <is>
          <t>Consumer / household</t>
        </is>
      </c>
      <c r="D250" t="inlineStr">
        <is>
          <t>Brands hub (B2C)</t>
        </is>
      </c>
      <c r="E250" t="inlineStr">
        <is>
          <t>Secondary (short)</t>
        </is>
      </c>
      <c r="F250" t="inlineStr">
        <is>
          <t>H2 heading + 1st paragraph under it</t>
        </is>
      </c>
      <c r="G250" t="inlineStr">
        <is>
          <t>Brand</t>
        </is>
      </c>
      <c r="H250" t="inlineStr">
        <is>
          <t>Brand</t>
        </is>
      </c>
      <c r="I250" t="inlineStr">
        <is>
          <t>Navigational/Transactional</t>
        </is>
      </c>
      <c r="J250" t="inlineStr">
        <is>
          <t>BOFU</t>
        </is>
      </c>
      <c r="K250" t="inlineStr">
        <is>
          <t>UAE (generic)</t>
        </is>
      </c>
      <c r="L250" t="inlineStr">
        <is>
          <t>Product</t>
        </is>
      </c>
      <c r="M250">
        <f>IFERROR(VLOOKUP($A250,'Semrush Import'!$A:$D,2,FALSE),"")</f>
        <v/>
      </c>
      <c r="N250">
        <f>IFERROR(VLOOKUP($A250,'Semrush Import'!$A:$D,3,FALSE),"")</f>
        <v/>
      </c>
      <c r="O250">
        <f>IFERROR(VLOOKUP($A250,'Semrush Import'!$A:$D,4,FALSE),"")</f>
        <v/>
      </c>
      <c r="P250">
        <f>IFERROR(VLOOKUP($A250,'KP Import'!$A:$B,2,FALSE),"")</f>
        <v/>
      </c>
      <c r="Q250">
        <f>IF(M250="","",ROUND(M250/(N250+10),1))</f>
        <v/>
      </c>
      <c r="R250">
        <f>IF(Q250="","",IF(Q250&gt;=20,"A - Go first",IF(Q250&gt;=5,"B - Next","C - Later")))</f>
        <v/>
      </c>
      <c r="S250" t="inlineStr">
        <is>
          <t>To do</t>
        </is>
      </c>
      <c r="T250" t="inlineStr"/>
    </row>
    <row r="251">
      <c r="A251" t="inlineStr">
        <is>
          <t>daawat basmati rice price in uae</t>
        </is>
      </c>
      <c r="B251" t="inlineStr">
        <is>
          <t>Phase 2 - B2C (later)</t>
        </is>
      </c>
      <c r="C251" t="inlineStr">
        <is>
          <t>Consumer / household</t>
        </is>
      </c>
      <c r="D251" t="inlineStr">
        <is>
          <t>Brands hub (B2C)</t>
        </is>
      </c>
      <c r="E251" t="inlineStr">
        <is>
          <t>Secondary (long-tail)</t>
        </is>
      </c>
      <c r="F251" t="inlineStr">
        <is>
          <t>H3 / body paragraph / table row / image alt</t>
        </is>
      </c>
      <c r="G251" t="inlineStr">
        <is>
          <t>Brand price</t>
        </is>
      </c>
      <c r="H251" t="inlineStr">
        <is>
          <t>Brand</t>
        </is>
      </c>
      <c r="I251" t="inlineStr">
        <is>
          <t>Commercial</t>
        </is>
      </c>
      <c r="J251" t="inlineStr">
        <is>
          <t>MOFU</t>
        </is>
      </c>
      <c r="K251" t="inlineStr">
        <is>
          <t>UAE</t>
        </is>
      </c>
      <c r="L251" t="inlineStr">
        <is>
          <t>Product</t>
        </is>
      </c>
      <c r="M251">
        <f>IFERROR(VLOOKUP($A251,'Semrush Import'!$A:$D,2,FALSE),"")</f>
        <v/>
      </c>
      <c r="N251">
        <f>IFERROR(VLOOKUP($A251,'Semrush Import'!$A:$D,3,FALSE),"")</f>
        <v/>
      </c>
      <c r="O251">
        <f>IFERROR(VLOOKUP($A251,'Semrush Import'!$A:$D,4,FALSE),"")</f>
        <v/>
      </c>
      <c r="P251">
        <f>IFERROR(VLOOKUP($A251,'KP Import'!$A:$B,2,FALSE),"")</f>
        <v/>
      </c>
      <c r="Q251">
        <f>IF(M251="","",ROUND(M251/(N251+10),1))</f>
        <v/>
      </c>
      <c r="R251">
        <f>IF(Q251="","",IF(Q251&gt;=20,"A - Go first",IF(Q251&gt;=5,"B - Next","C - Later")))</f>
        <v/>
      </c>
      <c r="S251" t="inlineStr">
        <is>
          <t>To do</t>
        </is>
      </c>
      <c r="T251" t="inlineStr"/>
    </row>
    <row r="252">
      <c r="A252" t="inlineStr">
        <is>
          <t>buy daawat basmati rice dubai</t>
        </is>
      </c>
      <c r="B252" t="inlineStr">
        <is>
          <t>Phase 2 - B2C (later)</t>
        </is>
      </c>
      <c r="C252" t="inlineStr">
        <is>
          <t>Consumer / household</t>
        </is>
      </c>
      <c r="D252" t="inlineStr">
        <is>
          <t>Brands hub (B2C)</t>
        </is>
      </c>
      <c r="E252" t="inlineStr">
        <is>
          <t>Secondary (long-tail)</t>
        </is>
      </c>
      <c r="F252" t="inlineStr">
        <is>
          <t>H3 / body paragraph / table row / image alt</t>
        </is>
      </c>
      <c r="G252" t="inlineStr">
        <is>
          <t>Brand</t>
        </is>
      </c>
      <c r="H252" t="inlineStr">
        <is>
          <t>Brand</t>
        </is>
      </c>
      <c r="I252" t="inlineStr">
        <is>
          <t>Transactional</t>
        </is>
      </c>
      <c r="J252" t="inlineStr">
        <is>
          <t>BOFU</t>
        </is>
      </c>
      <c r="K252" t="inlineStr">
        <is>
          <t>Dubai</t>
        </is>
      </c>
      <c r="L252" t="inlineStr">
        <is>
          <t>Product</t>
        </is>
      </c>
      <c r="M252">
        <f>IFERROR(VLOOKUP($A252,'Semrush Import'!$A:$D,2,FALSE),"")</f>
        <v/>
      </c>
      <c r="N252">
        <f>IFERROR(VLOOKUP($A252,'Semrush Import'!$A:$D,3,FALSE),"")</f>
        <v/>
      </c>
      <c r="O252">
        <f>IFERROR(VLOOKUP($A252,'Semrush Import'!$A:$D,4,FALSE),"")</f>
        <v/>
      </c>
      <c r="P252">
        <f>IFERROR(VLOOKUP($A252,'KP Import'!$A:$B,2,FALSE),"")</f>
        <v/>
      </c>
      <c r="Q252">
        <f>IF(M252="","",ROUND(M252/(N252+10),1))</f>
        <v/>
      </c>
      <c r="R252">
        <f>IF(Q252="","",IF(Q252&gt;=20,"A - Go first",IF(Q252&gt;=5,"B - Next","C - Later")))</f>
        <v/>
      </c>
      <c r="S252" t="inlineStr">
        <is>
          <t>To do</t>
        </is>
      </c>
      <c r="T252" t="inlineStr"/>
    </row>
    <row r="253">
      <c r="A253" t="inlineStr">
        <is>
          <t>kohinoor basmati rice</t>
        </is>
      </c>
      <c r="B253" t="inlineStr">
        <is>
          <t>Phase 2 - B2C (later)</t>
        </is>
      </c>
      <c r="C253" t="inlineStr">
        <is>
          <t>Consumer / household</t>
        </is>
      </c>
      <c r="D253" t="inlineStr">
        <is>
          <t>Brands hub (B2C)</t>
        </is>
      </c>
      <c r="E253" t="inlineStr">
        <is>
          <t>Secondary (short)</t>
        </is>
      </c>
      <c r="F253" t="inlineStr">
        <is>
          <t>H2 heading + 1st paragraph under it</t>
        </is>
      </c>
      <c r="G253" t="inlineStr">
        <is>
          <t>Brand</t>
        </is>
      </c>
      <c r="H253" t="inlineStr">
        <is>
          <t>Brand</t>
        </is>
      </c>
      <c r="I253" t="inlineStr">
        <is>
          <t>Navigational/Transactional</t>
        </is>
      </c>
      <c r="J253" t="inlineStr">
        <is>
          <t>BOFU</t>
        </is>
      </c>
      <c r="K253" t="inlineStr">
        <is>
          <t>UAE (generic)</t>
        </is>
      </c>
      <c r="L253" t="inlineStr">
        <is>
          <t>Product</t>
        </is>
      </c>
      <c r="M253">
        <f>IFERROR(VLOOKUP($A253,'Semrush Import'!$A:$D,2,FALSE),"")</f>
        <v/>
      </c>
      <c r="N253">
        <f>IFERROR(VLOOKUP($A253,'Semrush Import'!$A:$D,3,FALSE),"")</f>
        <v/>
      </c>
      <c r="O253">
        <f>IFERROR(VLOOKUP($A253,'Semrush Import'!$A:$D,4,FALSE),"")</f>
        <v/>
      </c>
      <c r="P253">
        <f>IFERROR(VLOOKUP($A253,'KP Import'!$A:$B,2,FALSE),"")</f>
        <v/>
      </c>
      <c r="Q253">
        <f>IF(M253="","",ROUND(M253/(N253+10),1))</f>
        <v/>
      </c>
      <c r="R253">
        <f>IF(Q253="","",IF(Q253&gt;=20,"A - Go first",IF(Q253&gt;=5,"B - Next","C - Later")))</f>
        <v/>
      </c>
      <c r="S253" t="inlineStr">
        <is>
          <t>To do</t>
        </is>
      </c>
      <c r="T253" t="inlineStr"/>
    </row>
    <row r="254">
      <c r="A254" t="inlineStr">
        <is>
          <t>kohinoor basmati rice price in uae</t>
        </is>
      </c>
      <c r="B254" t="inlineStr">
        <is>
          <t>Phase 2 - B2C (later)</t>
        </is>
      </c>
      <c r="C254" t="inlineStr">
        <is>
          <t>Consumer / household</t>
        </is>
      </c>
      <c r="D254" t="inlineStr">
        <is>
          <t>Brands hub (B2C)</t>
        </is>
      </c>
      <c r="E254" t="inlineStr">
        <is>
          <t>Secondary (long-tail)</t>
        </is>
      </c>
      <c r="F254" t="inlineStr">
        <is>
          <t>H3 / body paragraph / table row / image alt</t>
        </is>
      </c>
      <c r="G254" t="inlineStr">
        <is>
          <t>Brand price</t>
        </is>
      </c>
      <c r="H254" t="inlineStr">
        <is>
          <t>Brand</t>
        </is>
      </c>
      <c r="I254" t="inlineStr">
        <is>
          <t>Commercial</t>
        </is>
      </c>
      <c r="J254" t="inlineStr">
        <is>
          <t>MOFU</t>
        </is>
      </c>
      <c r="K254" t="inlineStr">
        <is>
          <t>UAE</t>
        </is>
      </c>
      <c r="L254" t="inlineStr">
        <is>
          <t>Product</t>
        </is>
      </c>
      <c r="M254">
        <f>IFERROR(VLOOKUP($A254,'Semrush Import'!$A:$D,2,FALSE),"")</f>
        <v/>
      </c>
      <c r="N254">
        <f>IFERROR(VLOOKUP($A254,'Semrush Import'!$A:$D,3,FALSE),"")</f>
        <v/>
      </c>
      <c r="O254">
        <f>IFERROR(VLOOKUP($A254,'Semrush Import'!$A:$D,4,FALSE),"")</f>
        <v/>
      </c>
      <c r="P254">
        <f>IFERROR(VLOOKUP($A254,'KP Import'!$A:$B,2,FALSE),"")</f>
        <v/>
      </c>
      <c r="Q254">
        <f>IF(M254="","",ROUND(M254/(N254+10),1))</f>
        <v/>
      </c>
      <c r="R254">
        <f>IF(Q254="","",IF(Q254&gt;=20,"A - Go first",IF(Q254&gt;=5,"B - Next","C - Later")))</f>
        <v/>
      </c>
      <c r="S254" t="inlineStr">
        <is>
          <t>To do</t>
        </is>
      </c>
      <c r="T254" t="inlineStr"/>
    </row>
    <row r="255">
      <c r="A255" t="inlineStr">
        <is>
          <t>buy kohinoor basmati rice dubai</t>
        </is>
      </c>
      <c r="B255" t="inlineStr">
        <is>
          <t>Phase 2 - B2C (later)</t>
        </is>
      </c>
      <c r="C255" t="inlineStr">
        <is>
          <t>Consumer / household</t>
        </is>
      </c>
      <c r="D255" t="inlineStr">
        <is>
          <t>Brands hub (B2C)</t>
        </is>
      </c>
      <c r="E255" t="inlineStr">
        <is>
          <t>Secondary (long-tail)</t>
        </is>
      </c>
      <c r="F255" t="inlineStr">
        <is>
          <t>H3 / body paragraph / table row / image alt</t>
        </is>
      </c>
      <c r="G255" t="inlineStr">
        <is>
          <t>Brand</t>
        </is>
      </c>
      <c r="H255" t="inlineStr">
        <is>
          <t>Brand</t>
        </is>
      </c>
      <c r="I255" t="inlineStr">
        <is>
          <t>Transactional</t>
        </is>
      </c>
      <c r="J255" t="inlineStr">
        <is>
          <t>BOFU</t>
        </is>
      </c>
      <c r="K255" t="inlineStr">
        <is>
          <t>Dubai</t>
        </is>
      </c>
      <c r="L255" t="inlineStr">
        <is>
          <t>Product</t>
        </is>
      </c>
      <c r="M255">
        <f>IFERROR(VLOOKUP($A255,'Semrush Import'!$A:$D,2,FALSE),"")</f>
        <v/>
      </c>
      <c r="N255">
        <f>IFERROR(VLOOKUP($A255,'Semrush Import'!$A:$D,3,FALSE),"")</f>
        <v/>
      </c>
      <c r="O255">
        <f>IFERROR(VLOOKUP($A255,'Semrush Import'!$A:$D,4,FALSE),"")</f>
        <v/>
      </c>
      <c r="P255">
        <f>IFERROR(VLOOKUP($A255,'KP Import'!$A:$B,2,FALSE),"")</f>
        <v/>
      </c>
      <c r="Q255">
        <f>IF(M255="","",ROUND(M255/(N255+10),1))</f>
        <v/>
      </c>
      <c r="R255">
        <f>IF(Q255="","",IF(Q255&gt;=20,"A - Go first",IF(Q255&gt;=5,"B - Next","C - Later")))</f>
        <v/>
      </c>
      <c r="S255" t="inlineStr">
        <is>
          <t>To do</t>
        </is>
      </c>
      <c r="T255" t="inlineStr"/>
    </row>
    <row r="256">
      <c r="A256" t="inlineStr">
        <is>
          <t>tilda basmati rice</t>
        </is>
      </c>
      <c r="B256" t="inlineStr">
        <is>
          <t>Phase 2 - B2C (later)</t>
        </is>
      </c>
      <c r="C256" t="inlineStr">
        <is>
          <t>Consumer / household</t>
        </is>
      </c>
      <c r="D256" t="inlineStr">
        <is>
          <t>Brands hub (B2C)</t>
        </is>
      </c>
      <c r="E256" t="inlineStr">
        <is>
          <t>Secondary (short)</t>
        </is>
      </c>
      <c r="F256" t="inlineStr">
        <is>
          <t>H2 heading + 1st paragraph under it</t>
        </is>
      </c>
      <c r="G256" t="inlineStr">
        <is>
          <t>Brand</t>
        </is>
      </c>
      <c r="H256" t="inlineStr">
        <is>
          <t>Brand</t>
        </is>
      </c>
      <c r="I256" t="inlineStr">
        <is>
          <t>Navigational/Transactional</t>
        </is>
      </c>
      <c r="J256" t="inlineStr">
        <is>
          <t>BOFU</t>
        </is>
      </c>
      <c r="K256" t="inlineStr">
        <is>
          <t>UAE (generic)</t>
        </is>
      </c>
      <c r="L256" t="inlineStr">
        <is>
          <t>Product</t>
        </is>
      </c>
      <c r="M256">
        <f>IFERROR(VLOOKUP($A256,'Semrush Import'!$A:$D,2,FALSE),"")</f>
        <v/>
      </c>
      <c r="N256">
        <f>IFERROR(VLOOKUP($A256,'Semrush Import'!$A:$D,3,FALSE),"")</f>
        <v/>
      </c>
      <c r="O256">
        <f>IFERROR(VLOOKUP($A256,'Semrush Import'!$A:$D,4,FALSE),"")</f>
        <v/>
      </c>
      <c r="P256">
        <f>IFERROR(VLOOKUP($A256,'KP Import'!$A:$B,2,FALSE),"")</f>
        <v/>
      </c>
      <c r="Q256">
        <f>IF(M256="","",ROUND(M256/(N256+10),1))</f>
        <v/>
      </c>
      <c r="R256">
        <f>IF(Q256="","",IF(Q256&gt;=20,"A - Go first",IF(Q256&gt;=5,"B - Next","C - Later")))</f>
        <v/>
      </c>
      <c r="S256" t="inlineStr">
        <is>
          <t>To do</t>
        </is>
      </c>
      <c r="T256" t="inlineStr"/>
    </row>
    <row r="257">
      <c r="A257" t="inlineStr">
        <is>
          <t>tilda basmati rice price in uae</t>
        </is>
      </c>
      <c r="B257" t="inlineStr">
        <is>
          <t>Phase 2 - B2C (later)</t>
        </is>
      </c>
      <c r="C257" t="inlineStr">
        <is>
          <t>Consumer / household</t>
        </is>
      </c>
      <c r="D257" t="inlineStr">
        <is>
          <t>Brands hub (B2C)</t>
        </is>
      </c>
      <c r="E257" t="inlineStr">
        <is>
          <t>Secondary (long-tail)</t>
        </is>
      </c>
      <c r="F257" t="inlineStr">
        <is>
          <t>H3 / body paragraph / table row / image alt</t>
        </is>
      </c>
      <c r="G257" t="inlineStr">
        <is>
          <t>Brand price</t>
        </is>
      </c>
      <c r="H257" t="inlineStr">
        <is>
          <t>Brand</t>
        </is>
      </c>
      <c r="I257" t="inlineStr">
        <is>
          <t>Commercial</t>
        </is>
      </c>
      <c r="J257" t="inlineStr">
        <is>
          <t>MOFU</t>
        </is>
      </c>
      <c r="K257" t="inlineStr">
        <is>
          <t>UAE</t>
        </is>
      </c>
      <c r="L257" t="inlineStr">
        <is>
          <t>Product</t>
        </is>
      </c>
      <c r="M257">
        <f>IFERROR(VLOOKUP($A257,'Semrush Import'!$A:$D,2,FALSE),"")</f>
        <v/>
      </c>
      <c r="N257">
        <f>IFERROR(VLOOKUP($A257,'Semrush Import'!$A:$D,3,FALSE),"")</f>
        <v/>
      </c>
      <c r="O257">
        <f>IFERROR(VLOOKUP($A257,'Semrush Import'!$A:$D,4,FALSE),"")</f>
        <v/>
      </c>
      <c r="P257">
        <f>IFERROR(VLOOKUP($A257,'KP Import'!$A:$B,2,FALSE),"")</f>
        <v/>
      </c>
      <c r="Q257">
        <f>IF(M257="","",ROUND(M257/(N257+10),1))</f>
        <v/>
      </c>
      <c r="R257">
        <f>IF(Q257="","",IF(Q257&gt;=20,"A - Go first",IF(Q257&gt;=5,"B - Next","C - Later")))</f>
        <v/>
      </c>
      <c r="S257" t="inlineStr">
        <is>
          <t>To do</t>
        </is>
      </c>
      <c r="T257" t="inlineStr"/>
    </row>
    <row r="258">
      <c r="A258" t="inlineStr">
        <is>
          <t>buy tilda basmati rice dubai</t>
        </is>
      </c>
      <c r="B258" t="inlineStr">
        <is>
          <t>Phase 2 - B2C (later)</t>
        </is>
      </c>
      <c r="C258" t="inlineStr">
        <is>
          <t>Consumer / household</t>
        </is>
      </c>
      <c r="D258" t="inlineStr">
        <is>
          <t>Brands hub (B2C)</t>
        </is>
      </c>
      <c r="E258" t="inlineStr">
        <is>
          <t>Secondary (long-tail)</t>
        </is>
      </c>
      <c r="F258" t="inlineStr">
        <is>
          <t>H3 / body paragraph / table row / image alt</t>
        </is>
      </c>
      <c r="G258" t="inlineStr">
        <is>
          <t>Brand</t>
        </is>
      </c>
      <c r="H258" t="inlineStr">
        <is>
          <t>Brand</t>
        </is>
      </c>
      <c r="I258" t="inlineStr">
        <is>
          <t>Transactional</t>
        </is>
      </c>
      <c r="J258" t="inlineStr">
        <is>
          <t>BOFU</t>
        </is>
      </c>
      <c r="K258" t="inlineStr">
        <is>
          <t>Dubai</t>
        </is>
      </c>
      <c r="L258" t="inlineStr">
        <is>
          <t>Product</t>
        </is>
      </c>
      <c r="M258">
        <f>IFERROR(VLOOKUP($A258,'Semrush Import'!$A:$D,2,FALSE),"")</f>
        <v/>
      </c>
      <c r="N258">
        <f>IFERROR(VLOOKUP($A258,'Semrush Import'!$A:$D,3,FALSE),"")</f>
        <v/>
      </c>
      <c r="O258">
        <f>IFERROR(VLOOKUP($A258,'Semrush Import'!$A:$D,4,FALSE),"")</f>
        <v/>
      </c>
      <c r="P258">
        <f>IFERROR(VLOOKUP($A258,'KP Import'!$A:$B,2,FALSE),"")</f>
        <v/>
      </c>
      <c r="Q258">
        <f>IF(M258="","",ROUND(M258/(N258+10),1))</f>
        <v/>
      </c>
      <c r="R258">
        <f>IF(Q258="","",IF(Q258&gt;=20,"A - Go first",IF(Q258&gt;=5,"B - Next","C - Later")))</f>
        <v/>
      </c>
      <c r="S258" t="inlineStr">
        <is>
          <t>To do</t>
        </is>
      </c>
      <c r="T258" t="inlineStr"/>
    </row>
    <row r="259">
      <c r="A259" t="inlineStr">
        <is>
          <t>lal qilla basmati rice</t>
        </is>
      </c>
      <c r="B259" t="inlineStr">
        <is>
          <t>Phase 2 - B2C (later)</t>
        </is>
      </c>
      <c r="C259" t="inlineStr">
        <is>
          <t>Consumer / household</t>
        </is>
      </c>
      <c r="D259" t="inlineStr">
        <is>
          <t>Brands hub (B2C)</t>
        </is>
      </c>
      <c r="E259" t="inlineStr">
        <is>
          <t>Secondary (long-tail)</t>
        </is>
      </c>
      <c r="F259" t="inlineStr">
        <is>
          <t>H3 / body paragraph / table row / image alt</t>
        </is>
      </c>
      <c r="G259" t="inlineStr">
        <is>
          <t>Brand</t>
        </is>
      </c>
      <c r="H259" t="inlineStr">
        <is>
          <t>Brand</t>
        </is>
      </c>
      <c r="I259" t="inlineStr">
        <is>
          <t>Navigational/Transactional</t>
        </is>
      </c>
      <c r="J259" t="inlineStr">
        <is>
          <t>BOFU</t>
        </is>
      </c>
      <c r="K259" t="inlineStr">
        <is>
          <t>UAE (generic)</t>
        </is>
      </c>
      <c r="L259" t="inlineStr">
        <is>
          <t>Product</t>
        </is>
      </c>
      <c r="M259">
        <f>IFERROR(VLOOKUP($A259,'Semrush Import'!$A:$D,2,FALSE),"")</f>
        <v/>
      </c>
      <c r="N259">
        <f>IFERROR(VLOOKUP($A259,'Semrush Import'!$A:$D,3,FALSE),"")</f>
        <v/>
      </c>
      <c r="O259">
        <f>IFERROR(VLOOKUP($A259,'Semrush Import'!$A:$D,4,FALSE),"")</f>
        <v/>
      </c>
      <c r="P259">
        <f>IFERROR(VLOOKUP($A259,'KP Import'!$A:$B,2,FALSE),"")</f>
        <v/>
      </c>
      <c r="Q259">
        <f>IF(M259="","",ROUND(M259/(N259+10),1))</f>
        <v/>
      </c>
      <c r="R259">
        <f>IF(Q259="","",IF(Q259&gt;=20,"A - Go first",IF(Q259&gt;=5,"B - Next","C - Later")))</f>
        <v/>
      </c>
      <c r="S259" t="inlineStr">
        <is>
          <t>To do</t>
        </is>
      </c>
      <c r="T259" t="inlineStr"/>
    </row>
    <row r="260">
      <c r="A260" t="inlineStr">
        <is>
          <t>lal qilla basmati rice price in uae</t>
        </is>
      </c>
      <c r="B260" t="inlineStr">
        <is>
          <t>Phase 2 - B2C (later)</t>
        </is>
      </c>
      <c r="C260" t="inlineStr">
        <is>
          <t>Consumer / household</t>
        </is>
      </c>
      <c r="D260" t="inlineStr">
        <is>
          <t>Brands hub (B2C)</t>
        </is>
      </c>
      <c r="E260" t="inlineStr">
        <is>
          <t>Secondary (long-tail)</t>
        </is>
      </c>
      <c r="F260" t="inlineStr">
        <is>
          <t>H3 / body paragraph / table row / image alt</t>
        </is>
      </c>
      <c r="G260" t="inlineStr">
        <is>
          <t>Brand price</t>
        </is>
      </c>
      <c r="H260" t="inlineStr">
        <is>
          <t>Brand</t>
        </is>
      </c>
      <c r="I260" t="inlineStr">
        <is>
          <t>Commercial</t>
        </is>
      </c>
      <c r="J260" t="inlineStr">
        <is>
          <t>MOFU</t>
        </is>
      </c>
      <c r="K260" t="inlineStr">
        <is>
          <t>UAE</t>
        </is>
      </c>
      <c r="L260" t="inlineStr">
        <is>
          <t>Product</t>
        </is>
      </c>
      <c r="M260">
        <f>IFERROR(VLOOKUP($A260,'Semrush Import'!$A:$D,2,FALSE),"")</f>
        <v/>
      </c>
      <c r="N260">
        <f>IFERROR(VLOOKUP($A260,'Semrush Import'!$A:$D,3,FALSE),"")</f>
        <v/>
      </c>
      <c r="O260">
        <f>IFERROR(VLOOKUP($A260,'Semrush Import'!$A:$D,4,FALSE),"")</f>
        <v/>
      </c>
      <c r="P260">
        <f>IFERROR(VLOOKUP($A260,'KP Import'!$A:$B,2,FALSE),"")</f>
        <v/>
      </c>
      <c r="Q260">
        <f>IF(M260="","",ROUND(M260/(N260+10),1))</f>
        <v/>
      </c>
      <c r="R260">
        <f>IF(Q260="","",IF(Q260&gt;=20,"A - Go first",IF(Q260&gt;=5,"B - Next","C - Later")))</f>
        <v/>
      </c>
      <c r="S260" t="inlineStr">
        <is>
          <t>To do</t>
        </is>
      </c>
      <c r="T260" t="inlineStr"/>
    </row>
    <row r="261">
      <c r="A261" t="inlineStr">
        <is>
          <t>buy lal qilla basmati rice dubai</t>
        </is>
      </c>
      <c r="B261" t="inlineStr">
        <is>
          <t>Phase 2 - B2C (later)</t>
        </is>
      </c>
      <c r="C261" t="inlineStr">
        <is>
          <t>Consumer / household</t>
        </is>
      </c>
      <c r="D261" t="inlineStr">
        <is>
          <t>Brands hub (B2C)</t>
        </is>
      </c>
      <c r="E261" t="inlineStr">
        <is>
          <t>Secondary (long-tail)</t>
        </is>
      </c>
      <c r="F261" t="inlineStr">
        <is>
          <t>H3 / body paragraph / table row / image alt</t>
        </is>
      </c>
      <c r="G261" t="inlineStr">
        <is>
          <t>Brand</t>
        </is>
      </c>
      <c r="H261" t="inlineStr">
        <is>
          <t>Brand</t>
        </is>
      </c>
      <c r="I261" t="inlineStr">
        <is>
          <t>Transactional</t>
        </is>
      </c>
      <c r="J261" t="inlineStr">
        <is>
          <t>BOFU</t>
        </is>
      </c>
      <c r="K261" t="inlineStr">
        <is>
          <t>Dubai</t>
        </is>
      </c>
      <c r="L261" t="inlineStr">
        <is>
          <t>Product</t>
        </is>
      </c>
      <c r="M261">
        <f>IFERROR(VLOOKUP($A261,'Semrush Import'!$A:$D,2,FALSE),"")</f>
        <v/>
      </c>
      <c r="N261">
        <f>IFERROR(VLOOKUP($A261,'Semrush Import'!$A:$D,3,FALSE),"")</f>
        <v/>
      </c>
      <c r="O261">
        <f>IFERROR(VLOOKUP($A261,'Semrush Import'!$A:$D,4,FALSE),"")</f>
        <v/>
      </c>
      <c r="P261">
        <f>IFERROR(VLOOKUP($A261,'KP Import'!$A:$B,2,FALSE),"")</f>
        <v/>
      </c>
      <c r="Q261">
        <f>IF(M261="","",ROUND(M261/(N261+10),1))</f>
        <v/>
      </c>
      <c r="R261">
        <f>IF(Q261="","",IF(Q261&gt;=20,"A - Go first",IF(Q261&gt;=5,"B - Next","C - Later")))</f>
        <v/>
      </c>
      <c r="S261" t="inlineStr">
        <is>
          <t>To do</t>
        </is>
      </c>
      <c r="T261" t="inlineStr"/>
    </row>
    <row r="262">
      <c r="A262" t="inlineStr">
        <is>
          <t>mahmood rice</t>
        </is>
      </c>
      <c r="B262" t="inlineStr">
        <is>
          <t>Phase 2 - B2C (later)</t>
        </is>
      </c>
      <c r="C262" t="inlineStr">
        <is>
          <t>Consumer / household</t>
        </is>
      </c>
      <c r="D262" t="inlineStr">
        <is>
          <t>Brands hub (B2C)</t>
        </is>
      </c>
      <c r="E262" t="inlineStr">
        <is>
          <t>Secondary (short)</t>
        </is>
      </c>
      <c r="F262" t="inlineStr">
        <is>
          <t>H2 heading + 1st paragraph under it</t>
        </is>
      </c>
      <c r="G262" t="inlineStr">
        <is>
          <t>Brand</t>
        </is>
      </c>
      <c r="H262" t="inlineStr">
        <is>
          <t>Brand</t>
        </is>
      </c>
      <c r="I262" t="inlineStr">
        <is>
          <t>Navigational/Transactional</t>
        </is>
      </c>
      <c r="J262" t="inlineStr">
        <is>
          <t>BOFU</t>
        </is>
      </c>
      <c r="K262" t="inlineStr">
        <is>
          <t>UAE (generic)</t>
        </is>
      </c>
      <c r="L262" t="inlineStr">
        <is>
          <t>Product</t>
        </is>
      </c>
      <c r="M262">
        <f>IFERROR(VLOOKUP($A262,'Semrush Import'!$A:$D,2,FALSE),"")</f>
        <v/>
      </c>
      <c r="N262">
        <f>IFERROR(VLOOKUP($A262,'Semrush Import'!$A:$D,3,FALSE),"")</f>
        <v/>
      </c>
      <c r="O262">
        <f>IFERROR(VLOOKUP($A262,'Semrush Import'!$A:$D,4,FALSE),"")</f>
        <v/>
      </c>
      <c r="P262">
        <f>IFERROR(VLOOKUP($A262,'KP Import'!$A:$B,2,FALSE),"")</f>
        <v/>
      </c>
      <c r="Q262">
        <f>IF(M262="","",ROUND(M262/(N262+10),1))</f>
        <v/>
      </c>
      <c r="R262">
        <f>IF(Q262="","",IF(Q262&gt;=20,"A - Go first",IF(Q262&gt;=5,"B - Next","C - Later")))</f>
        <v/>
      </c>
      <c r="S262" t="inlineStr">
        <is>
          <t>To do</t>
        </is>
      </c>
      <c r="T262" t="inlineStr"/>
    </row>
    <row r="263">
      <c r="A263" t="inlineStr">
        <is>
          <t>mahmood rice price in uae</t>
        </is>
      </c>
      <c r="B263" t="inlineStr">
        <is>
          <t>Phase 2 - B2C (later)</t>
        </is>
      </c>
      <c r="C263" t="inlineStr">
        <is>
          <t>Consumer / household</t>
        </is>
      </c>
      <c r="D263" t="inlineStr">
        <is>
          <t>Brands hub (B2C)</t>
        </is>
      </c>
      <c r="E263" t="inlineStr">
        <is>
          <t>Secondary (long-tail)</t>
        </is>
      </c>
      <c r="F263" t="inlineStr">
        <is>
          <t>H3 / body paragraph / table row / image alt</t>
        </is>
      </c>
      <c r="G263" t="inlineStr">
        <is>
          <t>Brand price</t>
        </is>
      </c>
      <c r="H263" t="inlineStr">
        <is>
          <t>Brand</t>
        </is>
      </c>
      <c r="I263" t="inlineStr">
        <is>
          <t>Commercial</t>
        </is>
      </c>
      <c r="J263" t="inlineStr">
        <is>
          <t>MOFU</t>
        </is>
      </c>
      <c r="K263" t="inlineStr">
        <is>
          <t>UAE</t>
        </is>
      </c>
      <c r="L263" t="inlineStr">
        <is>
          <t>Product</t>
        </is>
      </c>
      <c r="M263">
        <f>IFERROR(VLOOKUP($A263,'Semrush Import'!$A:$D,2,FALSE),"")</f>
        <v/>
      </c>
      <c r="N263">
        <f>IFERROR(VLOOKUP($A263,'Semrush Import'!$A:$D,3,FALSE),"")</f>
        <v/>
      </c>
      <c r="O263">
        <f>IFERROR(VLOOKUP($A263,'Semrush Import'!$A:$D,4,FALSE),"")</f>
        <v/>
      </c>
      <c r="P263">
        <f>IFERROR(VLOOKUP($A263,'KP Import'!$A:$B,2,FALSE),"")</f>
        <v/>
      </c>
      <c r="Q263">
        <f>IF(M263="","",ROUND(M263/(N263+10),1))</f>
        <v/>
      </c>
      <c r="R263">
        <f>IF(Q263="","",IF(Q263&gt;=20,"A - Go first",IF(Q263&gt;=5,"B - Next","C - Later")))</f>
        <v/>
      </c>
      <c r="S263" t="inlineStr">
        <is>
          <t>To do</t>
        </is>
      </c>
      <c r="T263" t="inlineStr"/>
    </row>
    <row r="264">
      <c r="A264" t="inlineStr">
        <is>
          <t>buy mahmood rice dubai</t>
        </is>
      </c>
      <c r="B264" t="inlineStr">
        <is>
          <t>Phase 2 - B2C (later)</t>
        </is>
      </c>
      <c r="C264" t="inlineStr">
        <is>
          <t>Consumer / household</t>
        </is>
      </c>
      <c r="D264" t="inlineStr">
        <is>
          <t>Brands hub (B2C)</t>
        </is>
      </c>
      <c r="E264" t="inlineStr">
        <is>
          <t>Secondary (long-tail)</t>
        </is>
      </c>
      <c r="F264" t="inlineStr">
        <is>
          <t>H3 / body paragraph / table row / image alt</t>
        </is>
      </c>
      <c r="G264" t="inlineStr">
        <is>
          <t>Brand</t>
        </is>
      </c>
      <c r="H264" t="inlineStr">
        <is>
          <t>Brand</t>
        </is>
      </c>
      <c r="I264" t="inlineStr">
        <is>
          <t>Transactional</t>
        </is>
      </c>
      <c r="J264" t="inlineStr">
        <is>
          <t>BOFU</t>
        </is>
      </c>
      <c r="K264" t="inlineStr">
        <is>
          <t>Dubai</t>
        </is>
      </c>
      <c r="L264" t="inlineStr">
        <is>
          <t>Product</t>
        </is>
      </c>
      <c r="M264">
        <f>IFERROR(VLOOKUP($A264,'Semrush Import'!$A:$D,2,FALSE),"")</f>
        <v/>
      </c>
      <c r="N264">
        <f>IFERROR(VLOOKUP($A264,'Semrush Import'!$A:$D,3,FALSE),"")</f>
        <v/>
      </c>
      <c r="O264">
        <f>IFERROR(VLOOKUP($A264,'Semrush Import'!$A:$D,4,FALSE),"")</f>
        <v/>
      </c>
      <c r="P264">
        <f>IFERROR(VLOOKUP($A264,'KP Import'!$A:$B,2,FALSE),"")</f>
        <v/>
      </c>
      <c r="Q264">
        <f>IF(M264="","",ROUND(M264/(N264+10),1))</f>
        <v/>
      </c>
      <c r="R264">
        <f>IF(Q264="","",IF(Q264&gt;=20,"A - Go first",IF(Q264&gt;=5,"B - Next","C - Later")))</f>
        <v/>
      </c>
      <c r="S264" t="inlineStr">
        <is>
          <t>To do</t>
        </is>
      </c>
      <c r="T264" t="inlineStr"/>
    </row>
    <row r="265">
      <c r="A265" t="inlineStr">
        <is>
          <t>royal basmati rice</t>
        </is>
      </c>
      <c r="B265" t="inlineStr">
        <is>
          <t>Phase 2 - B2C (later)</t>
        </is>
      </c>
      <c r="C265" t="inlineStr">
        <is>
          <t>Consumer / household</t>
        </is>
      </c>
      <c r="D265" t="inlineStr">
        <is>
          <t>Brands hub (B2C)</t>
        </is>
      </c>
      <c r="E265" t="inlineStr">
        <is>
          <t>Secondary (short)</t>
        </is>
      </c>
      <c r="F265" t="inlineStr">
        <is>
          <t>H2 heading + 1st paragraph under it</t>
        </is>
      </c>
      <c r="G265" t="inlineStr">
        <is>
          <t>Brand</t>
        </is>
      </c>
      <c r="H265" t="inlineStr">
        <is>
          <t>Brand</t>
        </is>
      </c>
      <c r="I265" t="inlineStr">
        <is>
          <t>Navigational/Transactional</t>
        </is>
      </c>
      <c r="J265" t="inlineStr">
        <is>
          <t>BOFU</t>
        </is>
      </c>
      <c r="K265" t="inlineStr">
        <is>
          <t>UAE (generic)</t>
        </is>
      </c>
      <c r="L265" t="inlineStr">
        <is>
          <t>Product</t>
        </is>
      </c>
      <c r="M265">
        <f>IFERROR(VLOOKUP($A265,'Semrush Import'!$A:$D,2,FALSE),"")</f>
        <v/>
      </c>
      <c r="N265">
        <f>IFERROR(VLOOKUP($A265,'Semrush Import'!$A:$D,3,FALSE),"")</f>
        <v/>
      </c>
      <c r="O265">
        <f>IFERROR(VLOOKUP($A265,'Semrush Import'!$A:$D,4,FALSE),"")</f>
        <v/>
      </c>
      <c r="P265">
        <f>IFERROR(VLOOKUP($A265,'KP Import'!$A:$B,2,FALSE),"")</f>
        <v/>
      </c>
      <c r="Q265">
        <f>IF(M265="","",ROUND(M265/(N265+10),1))</f>
        <v/>
      </c>
      <c r="R265">
        <f>IF(Q265="","",IF(Q265&gt;=20,"A - Go first",IF(Q265&gt;=5,"B - Next","C - Later")))</f>
        <v/>
      </c>
      <c r="S265" t="inlineStr">
        <is>
          <t>To do</t>
        </is>
      </c>
      <c r="T265" t="inlineStr"/>
    </row>
    <row r="266">
      <c r="A266" t="inlineStr">
        <is>
          <t>royal basmati rice price in uae</t>
        </is>
      </c>
      <c r="B266" t="inlineStr">
        <is>
          <t>Phase 2 - B2C (later)</t>
        </is>
      </c>
      <c r="C266" t="inlineStr">
        <is>
          <t>Consumer / household</t>
        </is>
      </c>
      <c r="D266" t="inlineStr">
        <is>
          <t>Brands hub (B2C)</t>
        </is>
      </c>
      <c r="E266" t="inlineStr">
        <is>
          <t>Secondary (long-tail)</t>
        </is>
      </c>
      <c r="F266" t="inlineStr">
        <is>
          <t>H3 / body paragraph / table row / image alt</t>
        </is>
      </c>
      <c r="G266" t="inlineStr">
        <is>
          <t>Brand price</t>
        </is>
      </c>
      <c r="H266" t="inlineStr">
        <is>
          <t>Brand</t>
        </is>
      </c>
      <c r="I266" t="inlineStr">
        <is>
          <t>Commercial</t>
        </is>
      </c>
      <c r="J266" t="inlineStr">
        <is>
          <t>MOFU</t>
        </is>
      </c>
      <c r="K266" t="inlineStr">
        <is>
          <t>UAE</t>
        </is>
      </c>
      <c r="L266" t="inlineStr">
        <is>
          <t>Product</t>
        </is>
      </c>
      <c r="M266">
        <f>IFERROR(VLOOKUP($A266,'Semrush Import'!$A:$D,2,FALSE),"")</f>
        <v/>
      </c>
      <c r="N266">
        <f>IFERROR(VLOOKUP($A266,'Semrush Import'!$A:$D,3,FALSE),"")</f>
        <v/>
      </c>
      <c r="O266">
        <f>IFERROR(VLOOKUP($A266,'Semrush Import'!$A:$D,4,FALSE),"")</f>
        <v/>
      </c>
      <c r="P266">
        <f>IFERROR(VLOOKUP($A266,'KP Import'!$A:$B,2,FALSE),"")</f>
        <v/>
      </c>
      <c r="Q266">
        <f>IF(M266="","",ROUND(M266/(N266+10),1))</f>
        <v/>
      </c>
      <c r="R266">
        <f>IF(Q266="","",IF(Q266&gt;=20,"A - Go first",IF(Q266&gt;=5,"B - Next","C - Later")))</f>
        <v/>
      </c>
      <c r="S266" t="inlineStr">
        <is>
          <t>To do</t>
        </is>
      </c>
      <c r="T266" t="inlineStr"/>
    </row>
    <row r="267">
      <c r="A267" t="inlineStr">
        <is>
          <t>buy royal basmati rice dubai</t>
        </is>
      </c>
      <c r="B267" t="inlineStr">
        <is>
          <t>Phase 2 - B2C (later)</t>
        </is>
      </c>
      <c r="C267" t="inlineStr">
        <is>
          <t>Consumer / household</t>
        </is>
      </c>
      <c r="D267" t="inlineStr">
        <is>
          <t>Brands hub (B2C)</t>
        </is>
      </c>
      <c r="E267" t="inlineStr">
        <is>
          <t>Secondary (long-tail)</t>
        </is>
      </c>
      <c r="F267" t="inlineStr">
        <is>
          <t>H3 / body paragraph / table row / image alt</t>
        </is>
      </c>
      <c r="G267" t="inlineStr">
        <is>
          <t>Brand</t>
        </is>
      </c>
      <c r="H267" t="inlineStr">
        <is>
          <t>Brand</t>
        </is>
      </c>
      <c r="I267" t="inlineStr">
        <is>
          <t>Transactional</t>
        </is>
      </c>
      <c r="J267" t="inlineStr">
        <is>
          <t>BOFU</t>
        </is>
      </c>
      <c r="K267" t="inlineStr">
        <is>
          <t>Dubai</t>
        </is>
      </c>
      <c r="L267" t="inlineStr">
        <is>
          <t>Product</t>
        </is>
      </c>
      <c r="M267">
        <f>IFERROR(VLOOKUP($A267,'Semrush Import'!$A:$D,2,FALSE),"")</f>
        <v/>
      </c>
      <c r="N267">
        <f>IFERROR(VLOOKUP($A267,'Semrush Import'!$A:$D,3,FALSE),"")</f>
        <v/>
      </c>
      <c r="O267">
        <f>IFERROR(VLOOKUP($A267,'Semrush Import'!$A:$D,4,FALSE),"")</f>
        <v/>
      </c>
      <c r="P267">
        <f>IFERROR(VLOOKUP($A267,'KP Import'!$A:$B,2,FALSE),"")</f>
        <v/>
      </c>
      <c r="Q267">
        <f>IF(M267="","",ROUND(M267/(N267+10),1))</f>
        <v/>
      </c>
      <c r="R267">
        <f>IF(Q267="","",IF(Q267&gt;=20,"A - Go first",IF(Q267&gt;=5,"B - Next","C - Later")))</f>
        <v/>
      </c>
      <c r="S267" t="inlineStr">
        <is>
          <t>To do</t>
        </is>
      </c>
      <c r="T267" t="inlineStr"/>
    </row>
    <row r="268">
      <c r="A268" t="inlineStr">
        <is>
          <t>al shaheen rice</t>
        </is>
      </c>
      <c r="B268" t="inlineStr">
        <is>
          <t>Phase 2 - B2C (later)</t>
        </is>
      </c>
      <c r="C268" t="inlineStr">
        <is>
          <t>Consumer / household</t>
        </is>
      </c>
      <c r="D268" t="inlineStr">
        <is>
          <t>Brands hub (B2C)</t>
        </is>
      </c>
      <c r="E268" t="inlineStr">
        <is>
          <t>Secondary (short)</t>
        </is>
      </c>
      <c r="F268" t="inlineStr">
        <is>
          <t>H2 heading + 1st paragraph under it</t>
        </is>
      </c>
      <c r="G268" t="inlineStr">
        <is>
          <t>Brand</t>
        </is>
      </c>
      <c r="H268" t="inlineStr">
        <is>
          <t>Brand</t>
        </is>
      </c>
      <c r="I268" t="inlineStr">
        <is>
          <t>Navigational/Transactional</t>
        </is>
      </c>
      <c r="J268" t="inlineStr">
        <is>
          <t>BOFU</t>
        </is>
      </c>
      <c r="K268" t="inlineStr">
        <is>
          <t>UAE (generic)</t>
        </is>
      </c>
      <c r="L268" t="inlineStr">
        <is>
          <t>Product</t>
        </is>
      </c>
      <c r="M268">
        <f>IFERROR(VLOOKUP($A268,'Semrush Import'!$A:$D,2,FALSE),"")</f>
        <v/>
      </c>
      <c r="N268">
        <f>IFERROR(VLOOKUP($A268,'Semrush Import'!$A:$D,3,FALSE),"")</f>
        <v/>
      </c>
      <c r="O268">
        <f>IFERROR(VLOOKUP($A268,'Semrush Import'!$A:$D,4,FALSE),"")</f>
        <v/>
      </c>
      <c r="P268">
        <f>IFERROR(VLOOKUP($A268,'KP Import'!$A:$B,2,FALSE),"")</f>
        <v/>
      </c>
      <c r="Q268">
        <f>IF(M268="","",ROUND(M268/(N268+10),1))</f>
        <v/>
      </c>
      <c r="R268">
        <f>IF(Q268="","",IF(Q268&gt;=20,"A - Go first",IF(Q268&gt;=5,"B - Next","C - Later")))</f>
        <v/>
      </c>
      <c r="S268" t="inlineStr">
        <is>
          <t>To do</t>
        </is>
      </c>
      <c r="T268" t="inlineStr"/>
    </row>
    <row r="269">
      <c r="A269" t="inlineStr">
        <is>
          <t>al shaheen rice price in uae</t>
        </is>
      </c>
      <c r="B269" t="inlineStr">
        <is>
          <t>Phase 2 - B2C (later)</t>
        </is>
      </c>
      <c r="C269" t="inlineStr">
        <is>
          <t>Consumer / household</t>
        </is>
      </c>
      <c r="D269" t="inlineStr">
        <is>
          <t>Brands hub (B2C)</t>
        </is>
      </c>
      <c r="E269" t="inlineStr">
        <is>
          <t>Secondary (long-tail)</t>
        </is>
      </c>
      <c r="F269" t="inlineStr">
        <is>
          <t>H3 / body paragraph / table row / image alt</t>
        </is>
      </c>
      <c r="G269" t="inlineStr">
        <is>
          <t>Brand price</t>
        </is>
      </c>
      <c r="H269" t="inlineStr">
        <is>
          <t>Brand</t>
        </is>
      </c>
      <c r="I269" t="inlineStr">
        <is>
          <t>Commercial</t>
        </is>
      </c>
      <c r="J269" t="inlineStr">
        <is>
          <t>MOFU</t>
        </is>
      </c>
      <c r="K269" t="inlineStr">
        <is>
          <t>UAE</t>
        </is>
      </c>
      <c r="L269" t="inlineStr">
        <is>
          <t>Product</t>
        </is>
      </c>
      <c r="M269">
        <f>IFERROR(VLOOKUP($A269,'Semrush Import'!$A:$D,2,FALSE),"")</f>
        <v/>
      </c>
      <c r="N269">
        <f>IFERROR(VLOOKUP($A269,'Semrush Import'!$A:$D,3,FALSE),"")</f>
        <v/>
      </c>
      <c r="O269">
        <f>IFERROR(VLOOKUP($A269,'Semrush Import'!$A:$D,4,FALSE),"")</f>
        <v/>
      </c>
      <c r="P269">
        <f>IFERROR(VLOOKUP($A269,'KP Import'!$A:$B,2,FALSE),"")</f>
        <v/>
      </c>
      <c r="Q269">
        <f>IF(M269="","",ROUND(M269/(N269+10),1))</f>
        <v/>
      </c>
      <c r="R269">
        <f>IF(Q269="","",IF(Q269&gt;=20,"A - Go first",IF(Q269&gt;=5,"B - Next","C - Later")))</f>
        <v/>
      </c>
      <c r="S269" t="inlineStr">
        <is>
          <t>To do</t>
        </is>
      </c>
      <c r="T269" t="inlineStr"/>
    </row>
    <row r="270">
      <c r="A270" t="inlineStr">
        <is>
          <t>buy al shaheen rice dubai</t>
        </is>
      </c>
      <c r="B270" t="inlineStr">
        <is>
          <t>Phase 2 - B2C (later)</t>
        </is>
      </c>
      <c r="C270" t="inlineStr">
        <is>
          <t>Consumer / household</t>
        </is>
      </c>
      <c r="D270" t="inlineStr">
        <is>
          <t>Brands hub (B2C)</t>
        </is>
      </c>
      <c r="E270" t="inlineStr">
        <is>
          <t>Secondary (long-tail)</t>
        </is>
      </c>
      <c r="F270" t="inlineStr">
        <is>
          <t>H3 / body paragraph / table row / image alt</t>
        </is>
      </c>
      <c r="G270" t="inlineStr">
        <is>
          <t>Brand</t>
        </is>
      </c>
      <c r="H270" t="inlineStr">
        <is>
          <t>Brand</t>
        </is>
      </c>
      <c r="I270" t="inlineStr">
        <is>
          <t>Transactional</t>
        </is>
      </c>
      <c r="J270" t="inlineStr">
        <is>
          <t>BOFU</t>
        </is>
      </c>
      <c r="K270" t="inlineStr">
        <is>
          <t>Dubai</t>
        </is>
      </c>
      <c r="L270" t="inlineStr">
        <is>
          <t>Product</t>
        </is>
      </c>
      <c r="M270">
        <f>IFERROR(VLOOKUP($A270,'Semrush Import'!$A:$D,2,FALSE),"")</f>
        <v/>
      </c>
      <c r="N270">
        <f>IFERROR(VLOOKUP($A270,'Semrush Import'!$A:$D,3,FALSE),"")</f>
        <v/>
      </c>
      <c r="O270">
        <f>IFERROR(VLOOKUP($A270,'Semrush Import'!$A:$D,4,FALSE),"")</f>
        <v/>
      </c>
      <c r="P270">
        <f>IFERROR(VLOOKUP($A270,'KP Import'!$A:$B,2,FALSE),"")</f>
        <v/>
      </c>
      <c r="Q270">
        <f>IF(M270="","",ROUND(M270/(N270+10),1))</f>
        <v/>
      </c>
      <c r="R270">
        <f>IF(Q270="","",IF(Q270&gt;=20,"A - Go first",IF(Q270&gt;=5,"B - Next","C - Later")))</f>
        <v/>
      </c>
      <c r="S270" t="inlineStr">
        <is>
          <t>To do</t>
        </is>
      </c>
      <c r="T270" t="inlineStr"/>
    </row>
    <row r="271">
      <c r="A271" t="inlineStr">
        <is>
          <t>falak basmati rice</t>
        </is>
      </c>
      <c r="B271" t="inlineStr">
        <is>
          <t>Phase 2 - B2C (later)</t>
        </is>
      </c>
      <c r="C271" t="inlineStr">
        <is>
          <t>Consumer / household</t>
        </is>
      </c>
      <c r="D271" t="inlineStr">
        <is>
          <t>Brands hub (B2C)</t>
        </is>
      </c>
      <c r="E271" t="inlineStr">
        <is>
          <t>Secondary (short)</t>
        </is>
      </c>
      <c r="F271" t="inlineStr">
        <is>
          <t>H2 heading + 1st paragraph under it</t>
        </is>
      </c>
      <c r="G271" t="inlineStr">
        <is>
          <t>Brand</t>
        </is>
      </c>
      <c r="H271" t="inlineStr">
        <is>
          <t>Brand</t>
        </is>
      </c>
      <c r="I271" t="inlineStr">
        <is>
          <t>Navigational/Transactional</t>
        </is>
      </c>
      <c r="J271" t="inlineStr">
        <is>
          <t>BOFU</t>
        </is>
      </c>
      <c r="K271" t="inlineStr">
        <is>
          <t>UAE (generic)</t>
        </is>
      </c>
      <c r="L271" t="inlineStr">
        <is>
          <t>Product</t>
        </is>
      </c>
      <c r="M271">
        <f>IFERROR(VLOOKUP($A271,'Semrush Import'!$A:$D,2,FALSE),"")</f>
        <v/>
      </c>
      <c r="N271">
        <f>IFERROR(VLOOKUP($A271,'Semrush Import'!$A:$D,3,FALSE),"")</f>
        <v/>
      </c>
      <c r="O271">
        <f>IFERROR(VLOOKUP($A271,'Semrush Import'!$A:$D,4,FALSE),"")</f>
        <v/>
      </c>
      <c r="P271">
        <f>IFERROR(VLOOKUP($A271,'KP Import'!$A:$B,2,FALSE),"")</f>
        <v/>
      </c>
      <c r="Q271">
        <f>IF(M271="","",ROUND(M271/(N271+10),1))</f>
        <v/>
      </c>
      <c r="R271">
        <f>IF(Q271="","",IF(Q271&gt;=20,"A - Go first",IF(Q271&gt;=5,"B - Next","C - Later")))</f>
        <v/>
      </c>
      <c r="S271" t="inlineStr">
        <is>
          <t>To do</t>
        </is>
      </c>
      <c r="T271" t="inlineStr"/>
    </row>
    <row r="272">
      <c r="A272" t="inlineStr">
        <is>
          <t>falak basmati rice price in uae</t>
        </is>
      </c>
      <c r="B272" t="inlineStr">
        <is>
          <t>Phase 2 - B2C (later)</t>
        </is>
      </c>
      <c r="C272" t="inlineStr">
        <is>
          <t>Consumer / household</t>
        </is>
      </c>
      <c r="D272" t="inlineStr">
        <is>
          <t>Brands hub (B2C)</t>
        </is>
      </c>
      <c r="E272" t="inlineStr">
        <is>
          <t>Secondary (long-tail)</t>
        </is>
      </c>
      <c r="F272" t="inlineStr">
        <is>
          <t>H3 / body paragraph / table row / image alt</t>
        </is>
      </c>
      <c r="G272" t="inlineStr">
        <is>
          <t>Brand price</t>
        </is>
      </c>
      <c r="H272" t="inlineStr">
        <is>
          <t>Brand</t>
        </is>
      </c>
      <c r="I272" t="inlineStr">
        <is>
          <t>Commercial</t>
        </is>
      </c>
      <c r="J272" t="inlineStr">
        <is>
          <t>MOFU</t>
        </is>
      </c>
      <c r="K272" t="inlineStr">
        <is>
          <t>UAE</t>
        </is>
      </c>
      <c r="L272" t="inlineStr">
        <is>
          <t>Product</t>
        </is>
      </c>
      <c r="M272">
        <f>IFERROR(VLOOKUP($A272,'Semrush Import'!$A:$D,2,FALSE),"")</f>
        <v/>
      </c>
      <c r="N272">
        <f>IFERROR(VLOOKUP($A272,'Semrush Import'!$A:$D,3,FALSE),"")</f>
        <v/>
      </c>
      <c r="O272">
        <f>IFERROR(VLOOKUP($A272,'Semrush Import'!$A:$D,4,FALSE),"")</f>
        <v/>
      </c>
      <c r="P272">
        <f>IFERROR(VLOOKUP($A272,'KP Import'!$A:$B,2,FALSE),"")</f>
        <v/>
      </c>
      <c r="Q272">
        <f>IF(M272="","",ROUND(M272/(N272+10),1))</f>
        <v/>
      </c>
      <c r="R272">
        <f>IF(Q272="","",IF(Q272&gt;=20,"A - Go first",IF(Q272&gt;=5,"B - Next","C - Later")))</f>
        <v/>
      </c>
      <c r="S272" t="inlineStr">
        <is>
          <t>To do</t>
        </is>
      </c>
      <c r="T272" t="inlineStr"/>
    </row>
    <row r="273">
      <c r="A273" t="inlineStr">
        <is>
          <t>buy falak basmati rice dubai</t>
        </is>
      </c>
      <c r="B273" t="inlineStr">
        <is>
          <t>Phase 2 - B2C (later)</t>
        </is>
      </c>
      <c r="C273" t="inlineStr">
        <is>
          <t>Consumer / household</t>
        </is>
      </c>
      <c r="D273" t="inlineStr">
        <is>
          <t>Brands hub (B2C)</t>
        </is>
      </c>
      <c r="E273" t="inlineStr">
        <is>
          <t>Secondary (long-tail)</t>
        </is>
      </c>
      <c r="F273" t="inlineStr">
        <is>
          <t>H3 / body paragraph / table row / image alt</t>
        </is>
      </c>
      <c r="G273" t="inlineStr">
        <is>
          <t>Brand</t>
        </is>
      </c>
      <c r="H273" t="inlineStr">
        <is>
          <t>Brand</t>
        </is>
      </c>
      <c r="I273" t="inlineStr">
        <is>
          <t>Transactional</t>
        </is>
      </c>
      <c r="J273" t="inlineStr">
        <is>
          <t>BOFU</t>
        </is>
      </c>
      <c r="K273" t="inlineStr">
        <is>
          <t>Dubai</t>
        </is>
      </c>
      <c r="L273" t="inlineStr">
        <is>
          <t>Product</t>
        </is>
      </c>
      <c r="M273">
        <f>IFERROR(VLOOKUP($A273,'Semrush Import'!$A:$D,2,FALSE),"")</f>
        <v/>
      </c>
      <c r="N273">
        <f>IFERROR(VLOOKUP($A273,'Semrush Import'!$A:$D,3,FALSE),"")</f>
        <v/>
      </c>
      <c r="O273">
        <f>IFERROR(VLOOKUP($A273,'Semrush Import'!$A:$D,4,FALSE),"")</f>
        <v/>
      </c>
      <c r="P273">
        <f>IFERROR(VLOOKUP($A273,'KP Import'!$A:$B,2,FALSE),"")</f>
        <v/>
      </c>
      <c r="Q273">
        <f>IF(M273="","",ROUND(M273/(N273+10),1))</f>
        <v/>
      </c>
      <c r="R273">
        <f>IF(Q273="","",IF(Q273&gt;=20,"A - Go first",IF(Q273&gt;=5,"B - Next","C - Later")))</f>
        <v/>
      </c>
      <c r="S273" t="inlineStr">
        <is>
          <t>To do</t>
        </is>
      </c>
      <c r="T273" t="inlineStr"/>
    </row>
    <row r="274">
      <c r="A274" t="inlineStr">
        <is>
          <t>basmati rice 1kg</t>
        </is>
      </c>
      <c r="B274" t="inlineStr">
        <is>
          <t>Phase 2 - B2C (later)</t>
        </is>
      </c>
      <c r="C274" t="inlineStr">
        <is>
          <t>Consumer / household</t>
        </is>
      </c>
      <c r="D274" t="inlineStr">
        <is>
          <t>Shop (B2C)</t>
        </is>
      </c>
      <c r="E274" t="inlineStr">
        <is>
          <t>Secondary (short)</t>
        </is>
      </c>
      <c r="F274" t="inlineStr">
        <is>
          <t>H2 heading + 1st paragraph under it</t>
        </is>
      </c>
      <c r="G274" t="inlineStr">
        <is>
          <t>Pack size</t>
        </is>
      </c>
      <c r="H274" t="inlineStr">
        <is>
          <t>Basmati</t>
        </is>
      </c>
      <c r="I274" t="inlineStr">
        <is>
          <t>Commercial</t>
        </is>
      </c>
      <c r="J274" t="inlineStr">
        <is>
          <t>MOFU</t>
        </is>
      </c>
      <c r="K274" t="inlineStr">
        <is>
          <t>UAE (generic)</t>
        </is>
      </c>
      <c r="L274" t="inlineStr">
        <is>
          <t>Category</t>
        </is>
      </c>
      <c r="M274">
        <f>IFERROR(VLOOKUP($A274,'Semrush Import'!$A:$D,2,FALSE),"")</f>
        <v/>
      </c>
      <c r="N274">
        <f>IFERROR(VLOOKUP($A274,'Semrush Import'!$A:$D,3,FALSE),"")</f>
        <v/>
      </c>
      <c r="O274">
        <f>IFERROR(VLOOKUP($A274,'Semrush Import'!$A:$D,4,FALSE),"")</f>
        <v/>
      </c>
      <c r="P274">
        <f>IFERROR(VLOOKUP($A274,'KP Import'!$A:$B,2,FALSE),"")</f>
        <v/>
      </c>
      <c r="Q274">
        <f>IF(M274="","",ROUND(M274/(N274+10),1))</f>
        <v/>
      </c>
      <c r="R274">
        <f>IF(Q274="","",IF(Q274&gt;=20,"A - Go first",IF(Q274&gt;=5,"B - Next","C - Later")))</f>
        <v/>
      </c>
      <c r="S274" t="inlineStr">
        <is>
          <t>To do</t>
        </is>
      </c>
      <c r="T274" t="inlineStr"/>
    </row>
    <row r="275">
      <c r="A275" t="inlineStr">
        <is>
          <t>1kg rice bag price dubai</t>
        </is>
      </c>
      <c r="B275" t="inlineStr">
        <is>
          <t>Phase 2 - B2C (later)</t>
        </is>
      </c>
      <c r="C275" t="inlineStr">
        <is>
          <t>Consumer / household</t>
        </is>
      </c>
      <c r="D275" t="inlineStr">
        <is>
          <t>Wholesale / Bulk</t>
        </is>
      </c>
      <c r="E275" t="inlineStr">
        <is>
          <t>Secondary (long-tail)</t>
        </is>
      </c>
      <c r="F275" t="inlineStr">
        <is>
          <t>H3 / body paragraph / table row / image alt</t>
        </is>
      </c>
      <c r="G275" t="inlineStr">
        <is>
          <t>Pack size</t>
        </is>
      </c>
      <c r="H275" t="inlineStr">
        <is>
          <t>Bulk</t>
        </is>
      </c>
      <c r="I275" t="inlineStr">
        <is>
          <t>Commercial</t>
        </is>
      </c>
      <c r="J275" t="inlineStr">
        <is>
          <t>MOFU</t>
        </is>
      </c>
      <c r="K275" t="inlineStr">
        <is>
          <t>Dubai</t>
        </is>
      </c>
      <c r="L275" t="inlineStr">
        <is>
          <t>Landing</t>
        </is>
      </c>
      <c r="M275">
        <f>IFERROR(VLOOKUP($A275,'Semrush Import'!$A:$D,2,FALSE),"")</f>
        <v/>
      </c>
      <c r="N275">
        <f>IFERROR(VLOOKUP($A275,'Semrush Import'!$A:$D,3,FALSE),"")</f>
        <v/>
      </c>
      <c r="O275">
        <f>IFERROR(VLOOKUP($A275,'Semrush Import'!$A:$D,4,FALSE),"")</f>
        <v/>
      </c>
      <c r="P275">
        <f>IFERROR(VLOOKUP($A275,'KP Import'!$A:$B,2,FALSE),"")</f>
        <v/>
      </c>
      <c r="Q275">
        <f>IF(M275="","",ROUND(M275/(N275+10),1))</f>
        <v/>
      </c>
      <c r="R275">
        <f>IF(Q275="","",IF(Q275&gt;=20,"A - Go first",IF(Q275&gt;=5,"B - Next","C - Later")))</f>
        <v/>
      </c>
      <c r="S275" t="inlineStr">
        <is>
          <t>To do</t>
        </is>
      </c>
      <c r="T275" t="inlineStr"/>
    </row>
    <row r="276">
      <c r="A276" t="inlineStr">
        <is>
          <t>1kg basmati rice price in uae</t>
        </is>
      </c>
      <c r="B276" t="inlineStr">
        <is>
          <t>Phase 2 - B2C (later)</t>
        </is>
      </c>
      <c r="C276" t="inlineStr">
        <is>
          <t>Consumer / household</t>
        </is>
      </c>
      <c r="D276" t="inlineStr">
        <is>
          <t>Shop (B2C)</t>
        </is>
      </c>
      <c r="E276" t="inlineStr">
        <is>
          <t>Secondary (long-tail)</t>
        </is>
      </c>
      <c r="F276" t="inlineStr">
        <is>
          <t>H3 / body paragraph / table row / image alt</t>
        </is>
      </c>
      <c r="G276" t="inlineStr">
        <is>
          <t>Pack size</t>
        </is>
      </c>
      <c r="H276" t="inlineStr">
        <is>
          <t>Basmati</t>
        </is>
      </c>
      <c r="I276" t="inlineStr">
        <is>
          <t>Commercial</t>
        </is>
      </c>
      <c r="J276" t="inlineStr">
        <is>
          <t>MOFU</t>
        </is>
      </c>
      <c r="K276" t="inlineStr">
        <is>
          <t>UAE</t>
        </is>
      </c>
      <c r="L276" t="inlineStr">
        <is>
          <t>Category</t>
        </is>
      </c>
      <c r="M276">
        <f>IFERROR(VLOOKUP($A276,'Semrush Import'!$A:$D,2,FALSE),"")</f>
        <v/>
      </c>
      <c r="N276">
        <f>IFERROR(VLOOKUP($A276,'Semrush Import'!$A:$D,3,FALSE),"")</f>
        <v/>
      </c>
      <c r="O276">
        <f>IFERROR(VLOOKUP($A276,'Semrush Import'!$A:$D,4,FALSE),"")</f>
        <v/>
      </c>
      <c r="P276">
        <f>IFERROR(VLOOKUP($A276,'KP Import'!$A:$B,2,FALSE),"")</f>
        <v/>
      </c>
      <c r="Q276">
        <f>IF(M276="","",ROUND(M276/(N276+10),1))</f>
        <v/>
      </c>
      <c r="R276">
        <f>IF(Q276="","",IF(Q276&gt;=20,"A - Go first",IF(Q276&gt;=5,"B - Next","C - Later")))</f>
        <v/>
      </c>
      <c r="S276" t="inlineStr">
        <is>
          <t>To do</t>
        </is>
      </c>
      <c r="T276" t="inlineStr"/>
    </row>
    <row r="277">
      <c r="A277" t="inlineStr">
        <is>
          <t>basmati rice 5kg</t>
        </is>
      </c>
      <c r="B277" t="inlineStr">
        <is>
          <t>Phase 2 - B2C (later)</t>
        </is>
      </c>
      <c r="C277" t="inlineStr">
        <is>
          <t>Consumer / household</t>
        </is>
      </c>
      <c r="D277" t="inlineStr">
        <is>
          <t>Shop (B2C)</t>
        </is>
      </c>
      <c r="E277" t="inlineStr">
        <is>
          <t>Secondary (short)</t>
        </is>
      </c>
      <c r="F277" t="inlineStr">
        <is>
          <t>H2 heading + 1st paragraph under it</t>
        </is>
      </c>
      <c r="G277" t="inlineStr">
        <is>
          <t>Pack size</t>
        </is>
      </c>
      <c r="H277" t="inlineStr">
        <is>
          <t>Basmati</t>
        </is>
      </c>
      <c r="I277" t="inlineStr">
        <is>
          <t>Commercial</t>
        </is>
      </c>
      <c r="J277" t="inlineStr">
        <is>
          <t>MOFU</t>
        </is>
      </c>
      <c r="K277" t="inlineStr">
        <is>
          <t>UAE (generic)</t>
        </is>
      </c>
      <c r="L277" t="inlineStr">
        <is>
          <t>Category</t>
        </is>
      </c>
      <c r="M277">
        <f>IFERROR(VLOOKUP($A277,'Semrush Import'!$A:$D,2,FALSE),"")</f>
        <v/>
      </c>
      <c r="N277">
        <f>IFERROR(VLOOKUP($A277,'Semrush Import'!$A:$D,3,FALSE),"")</f>
        <v/>
      </c>
      <c r="O277">
        <f>IFERROR(VLOOKUP($A277,'Semrush Import'!$A:$D,4,FALSE),"")</f>
        <v/>
      </c>
      <c r="P277">
        <f>IFERROR(VLOOKUP($A277,'KP Import'!$A:$B,2,FALSE),"")</f>
        <v/>
      </c>
      <c r="Q277">
        <f>IF(M277="","",ROUND(M277/(N277+10),1))</f>
        <v/>
      </c>
      <c r="R277">
        <f>IF(Q277="","",IF(Q277&gt;=20,"A - Go first",IF(Q277&gt;=5,"B - Next","C - Later")))</f>
        <v/>
      </c>
      <c r="S277" t="inlineStr">
        <is>
          <t>To do</t>
        </is>
      </c>
      <c r="T277" t="inlineStr"/>
    </row>
    <row r="278">
      <c r="A278" t="inlineStr">
        <is>
          <t>5kg rice bag price dubai</t>
        </is>
      </c>
      <c r="B278" t="inlineStr">
        <is>
          <t>Phase 2 - B2C (later)</t>
        </is>
      </c>
      <c r="C278" t="inlineStr">
        <is>
          <t>Consumer / household</t>
        </is>
      </c>
      <c r="D278" t="inlineStr">
        <is>
          <t>Wholesale / Bulk</t>
        </is>
      </c>
      <c r="E278" t="inlineStr">
        <is>
          <t>Secondary (long-tail)</t>
        </is>
      </c>
      <c r="F278" t="inlineStr">
        <is>
          <t>H3 / body paragraph / table row / image alt</t>
        </is>
      </c>
      <c r="G278" t="inlineStr">
        <is>
          <t>Pack size</t>
        </is>
      </c>
      <c r="H278" t="inlineStr">
        <is>
          <t>Bulk</t>
        </is>
      </c>
      <c r="I278" t="inlineStr">
        <is>
          <t>Commercial</t>
        </is>
      </c>
      <c r="J278" t="inlineStr">
        <is>
          <t>MOFU</t>
        </is>
      </c>
      <c r="K278" t="inlineStr">
        <is>
          <t>Dubai</t>
        </is>
      </c>
      <c r="L278" t="inlineStr">
        <is>
          <t>Landing</t>
        </is>
      </c>
      <c r="M278">
        <f>IFERROR(VLOOKUP($A278,'Semrush Import'!$A:$D,2,FALSE),"")</f>
        <v/>
      </c>
      <c r="N278">
        <f>IFERROR(VLOOKUP($A278,'Semrush Import'!$A:$D,3,FALSE),"")</f>
        <v/>
      </c>
      <c r="O278">
        <f>IFERROR(VLOOKUP($A278,'Semrush Import'!$A:$D,4,FALSE),"")</f>
        <v/>
      </c>
      <c r="P278">
        <f>IFERROR(VLOOKUP($A278,'KP Import'!$A:$B,2,FALSE),"")</f>
        <v/>
      </c>
      <c r="Q278">
        <f>IF(M278="","",ROUND(M278/(N278+10),1))</f>
        <v/>
      </c>
      <c r="R278">
        <f>IF(Q278="","",IF(Q278&gt;=20,"A - Go first",IF(Q278&gt;=5,"B - Next","C - Later")))</f>
        <v/>
      </c>
      <c r="S278" t="inlineStr">
        <is>
          <t>To do</t>
        </is>
      </c>
      <c r="T278" t="inlineStr"/>
    </row>
    <row r="279">
      <c r="A279" t="inlineStr">
        <is>
          <t>5kg basmati rice price in uae</t>
        </is>
      </c>
      <c r="B279" t="inlineStr">
        <is>
          <t>Phase 2 - B2C (later)</t>
        </is>
      </c>
      <c r="C279" t="inlineStr">
        <is>
          <t>Consumer / household</t>
        </is>
      </c>
      <c r="D279" t="inlineStr">
        <is>
          <t>Shop (B2C)</t>
        </is>
      </c>
      <c r="E279" t="inlineStr">
        <is>
          <t>Secondary (long-tail)</t>
        </is>
      </c>
      <c r="F279" t="inlineStr">
        <is>
          <t>H3 / body paragraph / table row / image alt</t>
        </is>
      </c>
      <c r="G279" t="inlineStr">
        <is>
          <t>Pack size</t>
        </is>
      </c>
      <c r="H279" t="inlineStr">
        <is>
          <t>Basmati</t>
        </is>
      </c>
      <c r="I279" t="inlineStr">
        <is>
          <t>Commercial</t>
        </is>
      </c>
      <c r="J279" t="inlineStr">
        <is>
          <t>MOFU</t>
        </is>
      </c>
      <c r="K279" t="inlineStr">
        <is>
          <t>UAE</t>
        </is>
      </c>
      <c r="L279" t="inlineStr">
        <is>
          <t>Category</t>
        </is>
      </c>
      <c r="M279">
        <f>IFERROR(VLOOKUP($A279,'Semrush Import'!$A:$D,2,FALSE),"")</f>
        <v/>
      </c>
      <c r="N279">
        <f>IFERROR(VLOOKUP($A279,'Semrush Import'!$A:$D,3,FALSE),"")</f>
        <v/>
      </c>
      <c r="O279">
        <f>IFERROR(VLOOKUP($A279,'Semrush Import'!$A:$D,4,FALSE),"")</f>
        <v/>
      </c>
      <c r="P279">
        <f>IFERROR(VLOOKUP($A279,'KP Import'!$A:$B,2,FALSE),"")</f>
        <v/>
      </c>
      <c r="Q279">
        <f>IF(M279="","",ROUND(M279/(N279+10),1))</f>
        <v/>
      </c>
      <c r="R279">
        <f>IF(Q279="","",IF(Q279&gt;=20,"A - Go first",IF(Q279&gt;=5,"B - Next","C - Later")))</f>
        <v/>
      </c>
      <c r="S279" t="inlineStr">
        <is>
          <t>To do</t>
        </is>
      </c>
      <c r="T279" t="inlineStr"/>
    </row>
    <row r="280">
      <c r="A280" t="inlineStr">
        <is>
          <t>basmati rice 10kg</t>
        </is>
      </c>
      <c r="B280" t="inlineStr">
        <is>
          <t>Phase 2 - B2C (later)</t>
        </is>
      </c>
      <c r="C280" t="inlineStr">
        <is>
          <t>Consumer / household</t>
        </is>
      </c>
      <c r="D280" t="inlineStr">
        <is>
          <t>Shop (B2C)</t>
        </is>
      </c>
      <c r="E280" t="inlineStr">
        <is>
          <t>Secondary (short)</t>
        </is>
      </c>
      <c r="F280" t="inlineStr">
        <is>
          <t>H2 heading + 1st paragraph under it</t>
        </is>
      </c>
      <c r="G280" t="inlineStr">
        <is>
          <t>Pack size</t>
        </is>
      </c>
      <c r="H280" t="inlineStr">
        <is>
          <t>Basmati</t>
        </is>
      </c>
      <c r="I280" t="inlineStr">
        <is>
          <t>Commercial</t>
        </is>
      </c>
      <c r="J280" t="inlineStr">
        <is>
          <t>MOFU</t>
        </is>
      </c>
      <c r="K280" t="inlineStr">
        <is>
          <t>UAE (generic)</t>
        </is>
      </c>
      <c r="L280" t="inlineStr">
        <is>
          <t>Category</t>
        </is>
      </c>
      <c r="M280">
        <f>IFERROR(VLOOKUP($A280,'Semrush Import'!$A:$D,2,FALSE),"")</f>
        <v/>
      </c>
      <c r="N280">
        <f>IFERROR(VLOOKUP($A280,'Semrush Import'!$A:$D,3,FALSE),"")</f>
        <v/>
      </c>
      <c r="O280">
        <f>IFERROR(VLOOKUP($A280,'Semrush Import'!$A:$D,4,FALSE),"")</f>
        <v/>
      </c>
      <c r="P280">
        <f>IFERROR(VLOOKUP($A280,'KP Import'!$A:$B,2,FALSE),"")</f>
        <v/>
      </c>
      <c r="Q280">
        <f>IF(M280="","",ROUND(M280/(N280+10),1))</f>
        <v/>
      </c>
      <c r="R280">
        <f>IF(Q280="","",IF(Q280&gt;=20,"A - Go first",IF(Q280&gt;=5,"B - Next","C - Later")))</f>
        <v/>
      </c>
      <c r="S280" t="inlineStr">
        <is>
          <t>To do</t>
        </is>
      </c>
      <c r="T280" t="inlineStr"/>
    </row>
    <row r="281">
      <c r="A281" t="inlineStr">
        <is>
          <t>10kg rice bag price dubai</t>
        </is>
      </c>
      <c r="B281" t="inlineStr">
        <is>
          <t>Phase 2 - B2C (later)</t>
        </is>
      </c>
      <c r="C281" t="inlineStr">
        <is>
          <t>Consumer / household</t>
        </is>
      </c>
      <c r="D281" t="inlineStr">
        <is>
          <t>Wholesale / Bulk</t>
        </is>
      </c>
      <c r="E281" t="inlineStr">
        <is>
          <t>Secondary (long-tail)</t>
        </is>
      </c>
      <c r="F281" t="inlineStr">
        <is>
          <t>H3 / body paragraph / table row / image alt</t>
        </is>
      </c>
      <c r="G281" t="inlineStr">
        <is>
          <t>Pack size</t>
        </is>
      </c>
      <c r="H281" t="inlineStr">
        <is>
          <t>Bulk</t>
        </is>
      </c>
      <c r="I281" t="inlineStr">
        <is>
          <t>Commercial</t>
        </is>
      </c>
      <c r="J281" t="inlineStr">
        <is>
          <t>MOFU</t>
        </is>
      </c>
      <c r="K281" t="inlineStr">
        <is>
          <t>Dubai</t>
        </is>
      </c>
      <c r="L281" t="inlineStr">
        <is>
          <t>Landing</t>
        </is>
      </c>
      <c r="M281">
        <f>IFERROR(VLOOKUP($A281,'Semrush Import'!$A:$D,2,FALSE),"")</f>
        <v/>
      </c>
      <c r="N281">
        <f>IFERROR(VLOOKUP($A281,'Semrush Import'!$A:$D,3,FALSE),"")</f>
        <v/>
      </c>
      <c r="O281">
        <f>IFERROR(VLOOKUP($A281,'Semrush Import'!$A:$D,4,FALSE),"")</f>
        <v/>
      </c>
      <c r="P281">
        <f>IFERROR(VLOOKUP($A281,'KP Import'!$A:$B,2,FALSE),"")</f>
        <v/>
      </c>
      <c r="Q281">
        <f>IF(M281="","",ROUND(M281/(N281+10),1))</f>
        <v/>
      </c>
      <c r="R281">
        <f>IF(Q281="","",IF(Q281&gt;=20,"A - Go first",IF(Q281&gt;=5,"B - Next","C - Later")))</f>
        <v/>
      </c>
      <c r="S281" t="inlineStr">
        <is>
          <t>To do</t>
        </is>
      </c>
      <c r="T281" t="inlineStr"/>
    </row>
    <row r="282">
      <c r="A282" t="inlineStr">
        <is>
          <t>10kg basmati rice price in uae</t>
        </is>
      </c>
      <c r="B282" t="inlineStr">
        <is>
          <t>Phase 2 - B2C (later)</t>
        </is>
      </c>
      <c r="C282" t="inlineStr">
        <is>
          <t>Consumer / household</t>
        </is>
      </c>
      <c r="D282" t="inlineStr">
        <is>
          <t>Shop (B2C)</t>
        </is>
      </c>
      <c r="E282" t="inlineStr">
        <is>
          <t>Secondary (long-tail)</t>
        </is>
      </c>
      <c r="F282" t="inlineStr">
        <is>
          <t>H3 / body paragraph / table row / image alt</t>
        </is>
      </c>
      <c r="G282" t="inlineStr">
        <is>
          <t>Pack size</t>
        </is>
      </c>
      <c r="H282" t="inlineStr">
        <is>
          <t>Basmati</t>
        </is>
      </c>
      <c r="I282" t="inlineStr">
        <is>
          <t>Commercial</t>
        </is>
      </c>
      <c r="J282" t="inlineStr">
        <is>
          <t>MOFU</t>
        </is>
      </c>
      <c r="K282" t="inlineStr">
        <is>
          <t>UAE</t>
        </is>
      </c>
      <c r="L282" t="inlineStr">
        <is>
          <t>Category</t>
        </is>
      </c>
      <c r="M282">
        <f>IFERROR(VLOOKUP($A282,'Semrush Import'!$A:$D,2,FALSE),"")</f>
        <v/>
      </c>
      <c r="N282">
        <f>IFERROR(VLOOKUP($A282,'Semrush Import'!$A:$D,3,FALSE),"")</f>
        <v/>
      </c>
      <c r="O282">
        <f>IFERROR(VLOOKUP($A282,'Semrush Import'!$A:$D,4,FALSE),"")</f>
        <v/>
      </c>
      <c r="P282">
        <f>IFERROR(VLOOKUP($A282,'KP Import'!$A:$B,2,FALSE),"")</f>
        <v/>
      </c>
      <c r="Q282">
        <f>IF(M282="","",ROUND(M282/(N282+10),1))</f>
        <v/>
      </c>
      <c r="R282">
        <f>IF(Q282="","",IF(Q282&gt;=20,"A - Go first",IF(Q282&gt;=5,"B - Next","C - Later")))</f>
        <v/>
      </c>
      <c r="S282" t="inlineStr">
        <is>
          <t>To do</t>
        </is>
      </c>
      <c r="T282" t="inlineStr"/>
    </row>
    <row r="283">
      <c r="A283" t="inlineStr">
        <is>
          <t>basmati rice 20kg</t>
        </is>
      </c>
      <c r="B283" t="inlineStr">
        <is>
          <t>Phase 1 - B2B now</t>
        </is>
      </c>
      <c r="C283" t="inlineStr">
        <is>
          <t>Wholesalers / bulk buyers</t>
        </is>
      </c>
      <c r="D283" t="inlineStr">
        <is>
          <t>Basmati Rice (category)</t>
        </is>
      </c>
      <c r="E283" t="inlineStr">
        <is>
          <t>Secondary (short)</t>
        </is>
      </c>
      <c r="F283" t="inlineStr">
        <is>
          <t>H2 heading + 1st paragraph under it</t>
        </is>
      </c>
      <c r="G283" t="inlineStr">
        <is>
          <t>Pack size</t>
        </is>
      </c>
      <c r="H283" t="inlineStr">
        <is>
          <t>Basmati</t>
        </is>
      </c>
      <c r="I283" t="inlineStr">
        <is>
          <t>Commercial</t>
        </is>
      </c>
      <c r="J283" t="inlineStr">
        <is>
          <t>MOFU</t>
        </is>
      </c>
      <c r="K283" t="inlineStr">
        <is>
          <t>UAE (generic)</t>
        </is>
      </c>
      <c r="L283" t="inlineStr">
        <is>
          <t>Category</t>
        </is>
      </c>
      <c r="M283">
        <f>IFERROR(VLOOKUP($A283,'Semrush Import'!$A:$D,2,FALSE),"")</f>
        <v/>
      </c>
      <c r="N283">
        <f>IFERROR(VLOOKUP($A283,'Semrush Import'!$A:$D,3,FALSE),"")</f>
        <v/>
      </c>
      <c r="O283">
        <f>IFERROR(VLOOKUP($A283,'Semrush Import'!$A:$D,4,FALSE),"")</f>
        <v/>
      </c>
      <c r="P283">
        <f>IFERROR(VLOOKUP($A283,'KP Import'!$A:$B,2,FALSE),"")</f>
        <v/>
      </c>
      <c r="Q283">
        <f>IF(M283="","",ROUND(M283/(N283+10),1))</f>
        <v/>
      </c>
      <c r="R283">
        <f>IF(Q283="","",IF(Q283&gt;=20,"A - Go first",IF(Q283&gt;=5,"B - Next","C - Later")))</f>
        <v/>
      </c>
      <c r="S283" t="inlineStr">
        <is>
          <t>To do</t>
        </is>
      </c>
      <c r="T283" t="inlineStr"/>
    </row>
    <row r="284">
      <c r="A284" t="inlineStr">
        <is>
          <t>20kg rice bag price dubai</t>
        </is>
      </c>
      <c r="B284" t="inlineStr">
        <is>
          <t>Phase 1 - B2B now</t>
        </is>
      </c>
      <c r="C284" t="inlineStr">
        <is>
          <t>Wholesalers / bulk buyers</t>
        </is>
      </c>
      <c r="D284" t="inlineStr">
        <is>
          <t>Wholesale / Bulk</t>
        </is>
      </c>
      <c r="E284" t="inlineStr">
        <is>
          <t>Secondary (long-tail)</t>
        </is>
      </c>
      <c r="F284" t="inlineStr">
        <is>
          <t>H3 / body paragraph / table row / image alt</t>
        </is>
      </c>
      <c r="G284" t="inlineStr">
        <is>
          <t>Pack size</t>
        </is>
      </c>
      <c r="H284" t="inlineStr">
        <is>
          <t>Bulk</t>
        </is>
      </c>
      <c r="I284" t="inlineStr">
        <is>
          <t>Commercial</t>
        </is>
      </c>
      <c r="J284" t="inlineStr">
        <is>
          <t>MOFU</t>
        </is>
      </c>
      <c r="K284" t="inlineStr">
        <is>
          <t>Dubai</t>
        </is>
      </c>
      <c r="L284" t="inlineStr">
        <is>
          <t>Landing</t>
        </is>
      </c>
      <c r="M284">
        <f>IFERROR(VLOOKUP($A284,'Semrush Import'!$A:$D,2,FALSE),"")</f>
        <v/>
      </c>
      <c r="N284">
        <f>IFERROR(VLOOKUP($A284,'Semrush Import'!$A:$D,3,FALSE),"")</f>
        <v/>
      </c>
      <c r="O284">
        <f>IFERROR(VLOOKUP($A284,'Semrush Import'!$A:$D,4,FALSE),"")</f>
        <v/>
      </c>
      <c r="P284">
        <f>IFERROR(VLOOKUP($A284,'KP Import'!$A:$B,2,FALSE),"")</f>
        <v/>
      </c>
      <c r="Q284">
        <f>IF(M284="","",ROUND(M284/(N284+10),1))</f>
        <v/>
      </c>
      <c r="R284">
        <f>IF(Q284="","",IF(Q284&gt;=20,"A - Go first",IF(Q284&gt;=5,"B - Next","C - Later")))</f>
        <v/>
      </c>
      <c r="S284" t="inlineStr">
        <is>
          <t>To do</t>
        </is>
      </c>
      <c r="T284" t="inlineStr"/>
    </row>
    <row r="285">
      <c r="A285" t="inlineStr">
        <is>
          <t>20kg basmati rice price in uae</t>
        </is>
      </c>
      <c r="B285" t="inlineStr">
        <is>
          <t>Phase 1 - B2B now</t>
        </is>
      </c>
      <c r="C285" t="inlineStr">
        <is>
          <t>Wholesalers / bulk buyers</t>
        </is>
      </c>
      <c r="D285" t="inlineStr">
        <is>
          <t>Basmati Rice (category)</t>
        </is>
      </c>
      <c r="E285" t="inlineStr">
        <is>
          <t>Secondary (long-tail)</t>
        </is>
      </c>
      <c r="F285" t="inlineStr">
        <is>
          <t>H3 / body paragraph / table row / image alt</t>
        </is>
      </c>
      <c r="G285" t="inlineStr">
        <is>
          <t>Pack size</t>
        </is>
      </c>
      <c r="H285" t="inlineStr">
        <is>
          <t>Basmati</t>
        </is>
      </c>
      <c r="I285" t="inlineStr">
        <is>
          <t>Commercial</t>
        </is>
      </c>
      <c r="J285" t="inlineStr">
        <is>
          <t>MOFU</t>
        </is>
      </c>
      <c r="K285" t="inlineStr">
        <is>
          <t>UAE</t>
        </is>
      </c>
      <c r="L285" t="inlineStr">
        <is>
          <t>Category</t>
        </is>
      </c>
      <c r="M285">
        <f>IFERROR(VLOOKUP($A285,'Semrush Import'!$A:$D,2,FALSE),"")</f>
        <v/>
      </c>
      <c r="N285">
        <f>IFERROR(VLOOKUP($A285,'Semrush Import'!$A:$D,3,FALSE),"")</f>
        <v/>
      </c>
      <c r="O285">
        <f>IFERROR(VLOOKUP($A285,'Semrush Import'!$A:$D,4,FALSE),"")</f>
        <v/>
      </c>
      <c r="P285">
        <f>IFERROR(VLOOKUP($A285,'KP Import'!$A:$B,2,FALSE),"")</f>
        <v/>
      </c>
      <c r="Q285">
        <f>IF(M285="","",ROUND(M285/(N285+10),1))</f>
        <v/>
      </c>
      <c r="R285">
        <f>IF(Q285="","",IF(Q285&gt;=20,"A - Go first",IF(Q285&gt;=5,"B - Next","C - Later")))</f>
        <v/>
      </c>
      <c r="S285" t="inlineStr">
        <is>
          <t>To do</t>
        </is>
      </c>
      <c r="T285" t="inlineStr"/>
    </row>
    <row r="286">
      <c r="A286" t="inlineStr">
        <is>
          <t>basmati rice 25kg</t>
        </is>
      </c>
      <c r="B286" t="inlineStr">
        <is>
          <t>Phase 2 - B2C (later)</t>
        </is>
      </c>
      <c r="C286" t="inlineStr">
        <is>
          <t>Consumer / household</t>
        </is>
      </c>
      <c r="D286" t="inlineStr">
        <is>
          <t>Shop (B2C)</t>
        </is>
      </c>
      <c r="E286" t="inlineStr">
        <is>
          <t>Secondary (short)</t>
        </is>
      </c>
      <c r="F286" t="inlineStr">
        <is>
          <t>H2 heading + 1st paragraph under it</t>
        </is>
      </c>
      <c r="G286" t="inlineStr">
        <is>
          <t>Pack size</t>
        </is>
      </c>
      <c r="H286" t="inlineStr">
        <is>
          <t>Basmati</t>
        </is>
      </c>
      <c r="I286" t="inlineStr">
        <is>
          <t>Commercial</t>
        </is>
      </c>
      <c r="J286" t="inlineStr">
        <is>
          <t>MOFU</t>
        </is>
      </c>
      <c r="K286" t="inlineStr">
        <is>
          <t>UAE (generic)</t>
        </is>
      </c>
      <c r="L286" t="inlineStr">
        <is>
          <t>Category</t>
        </is>
      </c>
      <c r="M286">
        <f>IFERROR(VLOOKUP($A286,'Semrush Import'!$A:$D,2,FALSE),"")</f>
        <v/>
      </c>
      <c r="N286">
        <f>IFERROR(VLOOKUP($A286,'Semrush Import'!$A:$D,3,FALSE),"")</f>
        <v/>
      </c>
      <c r="O286">
        <f>IFERROR(VLOOKUP($A286,'Semrush Import'!$A:$D,4,FALSE),"")</f>
        <v/>
      </c>
      <c r="P286">
        <f>IFERROR(VLOOKUP($A286,'KP Import'!$A:$B,2,FALSE),"")</f>
        <v/>
      </c>
      <c r="Q286">
        <f>IF(M286="","",ROUND(M286/(N286+10),1))</f>
        <v/>
      </c>
      <c r="R286">
        <f>IF(Q286="","",IF(Q286&gt;=20,"A - Go first",IF(Q286&gt;=5,"B - Next","C - Later")))</f>
        <v/>
      </c>
      <c r="S286" t="inlineStr">
        <is>
          <t>To do</t>
        </is>
      </c>
      <c r="T286" t="inlineStr"/>
    </row>
    <row r="287">
      <c r="A287" t="inlineStr">
        <is>
          <t>25kg rice bag price dubai</t>
        </is>
      </c>
      <c r="B287" t="inlineStr">
        <is>
          <t>Phase 2 - B2C (later)</t>
        </is>
      </c>
      <c r="C287" t="inlineStr">
        <is>
          <t>Consumer / household</t>
        </is>
      </c>
      <c r="D287" t="inlineStr">
        <is>
          <t>Wholesale / Bulk</t>
        </is>
      </c>
      <c r="E287" t="inlineStr">
        <is>
          <t>Secondary (long-tail)</t>
        </is>
      </c>
      <c r="F287" t="inlineStr">
        <is>
          <t>H3 / body paragraph / table row / image alt</t>
        </is>
      </c>
      <c r="G287" t="inlineStr">
        <is>
          <t>Pack size</t>
        </is>
      </c>
      <c r="H287" t="inlineStr">
        <is>
          <t>Bulk</t>
        </is>
      </c>
      <c r="I287" t="inlineStr">
        <is>
          <t>Commercial</t>
        </is>
      </c>
      <c r="J287" t="inlineStr">
        <is>
          <t>MOFU</t>
        </is>
      </c>
      <c r="K287" t="inlineStr">
        <is>
          <t>Dubai</t>
        </is>
      </c>
      <c r="L287" t="inlineStr">
        <is>
          <t>Landing</t>
        </is>
      </c>
      <c r="M287">
        <f>IFERROR(VLOOKUP($A287,'Semrush Import'!$A:$D,2,FALSE),"")</f>
        <v/>
      </c>
      <c r="N287">
        <f>IFERROR(VLOOKUP($A287,'Semrush Import'!$A:$D,3,FALSE),"")</f>
        <v/>
      </c>
      <c r="O287">
        <f>IFERROR(VLOOKUP($A287,'Semrush Import'!$A:$D,4,FALSE),"")</f>
        <v/>
      </c>
      <c r="P287">
        <f>IFERROR(VLOOKUP($A287,'KP Import'!$A:$B,2,FALSE),"")</f>
        <v/>
      </c>
      <c r="Q287">
        <f>IF(M287="","",ROUND(M287/(N287+10),1))</f>
        <v/>
      </c>
      <c r="R287">
        <f>IF(Q287="","",IF(Q287&gt;=20,"A - Go first",IF(Q287&gt;=5,"B - Next","C - Later")))</f>
        <v/>
      </c>
      <c r="S287" t="inlineStr">
        <is>
          <t>To do</t>
        </is>
      </c>
      <c r="T287" t="inlineStr"/>
    </row>
    <row r="288">
      <c r="A288" t="inlineStr">
        <is>
          <t>25kg basmati rice price in uae</t>
        </is>
      </c>
      <c r="B288" t="inlineStr">
        <is>
          <t>Phase 2 - B2C (later)</t>
        </is>
      </c>
      <c r="C288" t="inlineStr">
        <is>
          <t>Consumer / household</t>
        </is>
      </c>
      <c r="D288" t="inlineStr">
        <is>
          <t>Shop (B2C)</t>
        </is>
      </c>
      <c r="E288" t="inlineStr">
        <is>
          <t>Secondary (long-tail)</t>
        </is>
      </c>
      <c r="F288" t="inlineStr">
        <is>
          <t>H3 / body paragraph / table row / image alt</t>
        </is>
      </c>
      <c r="G288" t="inlineStr">
        <is>
          <t>Pack size</t>
        </is>
      </c>
      <c r="H288" t="inlineStr">
        <is>
          <t>Basmati</t>
        </is>
      </c>
      <c r="I288" t="inlineStr">
        <is>
          <t>Commercial</t>
        </is>
      </c>
      <c r="J288" t="inlineStr">
        <is>
          <t>MOFU</t>
        </is>
      </c>
      <c r="K288" t="inlineStr">
        <is>
          <t>UAE</t>
        </is>
      </c>
      <c r="L288" t="inlineStr">
        <is>
          <t>Category</t>
        </is>
      </c>
      <c r="M288">
        <f>IFERROR(VLOOKUP($A288,'Semrush Import'!$A:$D,2,FALSE),"")</f>
        <v/>
      </c>
      <c r="N288">
        <f>IFERROR(VLOOKUP($A288,'Semrush Import'!$A:$D,3,FALSE),"")</f>
        <v/>
      </c>
      <c r="O288">
        <f>IFERROR(VLOOKUP($A288,'Semrush Import'!$A:$D,4,FALSE),"")</f>
        <v/>
      </c>
      <c r="P288">
        <f>IFERROR(VLOOKUP($A288,'KP Import'!$A:$B,2,FALSE),"")</f>
        <v/>
      </c>
      <c r="Q288">
        <f>IF(M288="","",ROUND(M288/(N288+10),1))</f>
        <v/>
      </c>
      <c r="R288">
        <f>IF(Q288="","",IF(Q288&gt;=20,"A - Go first",IF(Q288&gt;=5,"B - Next","C - Later")))</f>
        <v/>
      </c>
      <c r="S288" t="inlineStr">
        <is>
          <t>To do</t>
        </is>
      </c>
      <c r="T288" t="inlineStr"/>
    </row>
    <row r="289">
      <c r="A289" t="inlineStr">
        <is>
          <t>basmati rice 40kg</t>
        </is>
      </c>
      <c r="B289" t="inlineStr">
        <is>
          <t>Phase 1 - B2B now</t>
        </is>
      </c>
      <c r="C289" t="inlineStr">
        <is>
          <t>Wholesalers / bulk buyers</t>
        </is>
      </c>
      <c r="D289" t="inlineStr">
        <is>
          <t>Basmati Rice (category)</t>
        </is>
      </c>
      <c r="E289" t="inlineStr">
        <is>
          <t>Secondary (short)</t>
        </is>
      </c>
      <c r="F289" t="inlineStr">
        <is>
          <t>H2 heading + 1st paragraph under it</t>
        </is>
      </c>
      <c r="G289" t="inlineStr">
        <is>
          <t>Pack size</t>
        </is>
      </c>
      <c r="H289" t="inlineStr">
        <is>
          <t>Basmati</t>
        </is>
      </c>
      <c r="I289" t="inlineStr">
        <is>
          <t>Commercial</t>
        </is>
      </c>
      <c r="J289" t="inlineStr">
        <is>
          <t>MOFU</t>
        </is>
      </c>
      <c r="K289" t="inlineStr">
        <is>
          <t>UAE (generic)</t>
        </is>
      </c>
      <c r="L289" t="inlineStr">
        <is>
          <t>Category</t>
        </is>
      </c>
      <c r="M289">
        <f>IFERROR(VLOOKUP($A289,'Semrush Import'!$A:$D,2,FALSE),"")</f>
        <v/>
      </c>
      <c r="N289">
        <f>IFERROR(VLOOKUP($A289,'Semrush Import'!$A:$D,3,FALSE),"")</f>
        <v/>
      </c>
      <c r="O289">
        <f>IFERROR(VLOOKUP($A289,'Semrush Import'!$A:$D,4,FALSE),"")</f>
        <v/>
      </c>
      <c r="P289">
        <f>IFERROR(VLOOKUP($A289,'KP Import'!$A:$B,2,FALSE),"")</f>
        <v/>
      </c>
      <c r="Q289">
        <f>IF(M289="","",ROUND(M289/(N289+10),1))</f>
        <v/>
      </c>
      <c r="R289">
        <f>IF(Q289="","",IF(Q289&gt;=20,"A - Go first",IF(Q289&gt;=5,"B - Next","C - Later")))</f>
        <v/>
      </c>
      <c r="S289" t="inlineStr">
        <is>
          <t>To do</t>
        </is>
      </c>
      <c r="T289" t="inlineStr"/>
    </row>
    <row r="290">
      <c r="A290" t="inlineStr">
        <is>
          <t>40kg rice bag price dubai</t>
        </is>
      </c>
      <c r="B290" t="inlineStr">
        <is>
          <t>Phase 1 - B2B now</t>
        </is>
      </c>
      <c r="C290" t="inlineStr">
        <is>
          <t>Wholesalers / bulk buyers</t>
        </is>
      </c>
      <c r="D290" t="inlineStr">
        <is>
          <t>Wholesale / Bulk</t>
        </is>
      </c>
      <c r="E290" t="inlineStr">
        <is>
          <t>Secondary (long-tail)</t>
        </is>
      </c>
      <c r="F290" t="inlineStr">
        <is>
          <t>H3 / body paragraph / table row / image alt</t>
        </is>
      </c>
      <c r="G290" t="inlineStr">
        <is>
          <t>Pack size</t>
        </is>
      </c>
      <c r="H290" t="inlineStr">
        <is>
          <t>Bulk</t>
        </is>
      </c>
      <c r="I290" t="inlineStr">
        <is>
          <t>Commercial</t>
        </is>
      </c>
      <c r="J290" t="inlineStr">
        <is>
          <t>MOFU</t>
        </is>
      </c>
      <c r="K290" t="inlineStr">
        <is>
          <t>Dubai</t>
        </is>
      </c>
      <c r="L290" t="inlineStr">
        <is>
          <t>Landing</t>
        </is>
      </c>
      <c r="M290">
        <f>IFERROR(VLOOKUP($A290,'Semrush Import'!$A:$D,2,FALSE),"")</f>
        <v/>
      </c>
      <c r="N290">
        <f>IFERROR(VLOOKUP($A290,'Semrush Import'!$A:$D,3,FALSE),"")</f>
        <v/>
      </c>
      <c r="O290">
        <f>IFERROR(VLOOKUP($A290,'Semrush Import'!$A:$D,4,FALSE),"")</f>
        <v/>
      </c>
      <c r="P290">
        <f>IFERROR(VLOOKUP($A290,'KP Import'!$A:$B,2,FALSE),"")</f>
        <v/>
      </c>
      <c r="Q290">
        <f>IF(M290="","",ROUND(M290/(N290+10),1))</f>
        <v/>
      </c>
      <c r="R290">
        <f>IF(Q290="","",IF(Q290&gt;=20,"A - Go first",IF(Q290&gt;=5,"B - Next","C - Later")))</f>
        <v/>
      </c>
      <c r="S290" t="inlineStr">
        <is>
          <t>To do</t>
        </is>
      </c>
      <c r="T290" t="inlineStr"/>
    </row>
    <row r="291">
      <c r="A291" t="inlineStr">
        <is>
          <t>40kg basmati rice price in uae</t>
        </is>
      </c>
      <c r="B291" t="inlineStr">
        <is>
          <t>Phase 1 - B2B now</t>
        </is>
      </c>
      <c r="C291" t="inlineStr">
        <is>
          <t>Wholesalers / bulk buyers</t>
        </is>
      </c>
      <c r="D291" t="inlineStr">
        <is>
          <t>Basmati Rice (category)</t>
        </is>
      </c>
      <c r="E291" t="inlineStr">
        <is>
          <t>Secondary (long-tail)</t>
        </is>
      </c>
      <c r="F291" t="inlineStr">
        <is>
          <t>H3 / body paragraph / table row / image alt</t>
        </is>
      </c>
      <c r="G291" t="inlineStr">
        <is>
          <t>Pack size</t>
        </is>
      </c>
      <c r="H291" t="inlineStr">
        <is>
          <t>Basmati</t>
        </is>
      </c>
      <c r="I291" t="inlineStr">
        <is>
          <t>Commercial</t>
        </is>
      </c>
      <c r="J291" t="inlineStr">
        <is>
          <t>MOFU</t>
        </is>
      </c>
      <c r="K291" t="inlineStr">
        <is>
          <t>UAE</t>
        </is>
      </c>
      <c r="L291" t="inlineStr">
        <is>
          <t>Category</t>
        </is>
      </c>
      <c r="M291">
        <f>IFERROR(VLOOKUP($A291,'Semrush Import'!$A:$D,2,FALSE),"")</f>
        <v/>
      </c>
      <c r="N291">
        <f>IFERROR(VLOOKUP($A291,'Semrush Import'!$A:$D,3,FALSE),"")</f>
        <v/>
      </c>
      <c r="O291">
        <f>IFERROR(VLOOKUP($A291,'Semrush Import'!$A:$D,4,FALSE),"")</f>
        <v/>
      </c>
      <c r="P291">
        <f>IFERROR(VLOOKUP($A291,'KP Import'!$A:$B,2,FALSE),"")</f>
        <v/>
      </c>
      <c r="Q291">
        <f>IF(M291="","",ROUND(M291/(N291+10),1))</f>
        <v/>
      </c>
      <c r="R291">
        <f>IF(Q291="","",IF(Q291&gt;=20,"A - Go first",IF(Q291&gt;=5,"B - Next","C - Later")))</f>
        <v/>
      </c>
      <c r="S291" t="inlineStr">
        <is>
          <t>To do</t>
        </is>
      </c>
      <c r="T291" t="inlineStr"/>
    </row>
    <row r="292">
      <c r="A292" t="inlineStr">
        <is>
          <t>basmati rice 50kg</t>
        </is>
      </c>
      <c r="B292" t="inlineStr">
        <is>
          <t>Phase 1 - B2B now</t>
        </is>
      </c>
      <c r="C292" t="inlineStr">
        <is>
          <t>Wholesalers / bulk buyers</t>
        </is>
      </c>
      <c r="D292" t="inlineStr">
        <is>
          <t>Basmati Rice (category)</t>
        </is>
      </c>
      <c r="E292" t="inlineStr">
        <is>
          <t>Secondary (short)</t>
        </is>
      </c>
      <c r="F292" t="inlineStr">
        <is>
          <t>H2 heading + 1st paragraph under it</t>
        </is>
      </c>
      <c r="G292" t="inlineStr">
        <is>
          <t>Pack size</t>
        </is>
      </c>
      <c r="H292" t="inlineStr">
        <is>
          <t>Basmati</t>
        </is>
      </c>
      <c r="I292" t="inlineStr">
        <is>
          <t>Commercial</t>
        </is>
      </c>
      <c r="J292" t="inlineStr">
        <is>
          <t>MOFU</t>
        </is>
      </c>
      <c r="K292" t="inlineStr">
        <is>
          <t>UAE (generic)</t>
        </is>
      </c>
      <c r="L292" t="inlineStr">
        <is>
          <t>Category</t>
        </is>
      </c>
      <c r="M292">
        <f>IFERROR(VLOOKUP($A292,'Semrush Import'!$A:$D,2,FALSE),"")</f>
        <v/>
      </c>
      <c r="N292">
        <f>IFERROR(VLOOKUP($A292,'Semrush Import'!$A:$D,3,FALSE),"")</f>
        <v/>
      </c>
      <c r="O292">
        <f>IFERROR(VLOOKUP($A292,'Semrush Import'!$A:$D,4,FALSE),"")</f>
        <v/>
      </c>
      <c r="P292">
        <f>IFERROR(VLOOKUP($A292,'KP Import'!$A:$B,2,FALSE),"")</f>
        <v/>
      </c>
      <c r="Q292">
        <f>IF(M292="","",ROUND(M292/(N292+10),1))</f>
        <v/>
      </c>
      <c r="R292">
        <f>IF(Q292="","",IF(Q292&gt;=20,"A - Go first",IF(Q292&gt;=5,"B - Next","C - Later")))</f>
        <v/>
      </c>
      <c r="S292" t="inlineStr">
        <is>
          <t>To do</t>
        </is>
      </c>
      <c r="T292" t="inlineStr"/>
    </row>
    <row r="293">
      <c r="A293" t="inlineStr">
        <is>
          <t>50kg rice bag price dubai</t>
        </is>
      </c>
      <c r="B293" t="inlineStr">
        <is>
          <t>Phase 1 - B2B now</t>
        </is>
      </c>
      <c r="C293" t="inlineStr">
        <is>
          <t>Wholesalers / bulk buyers</t>
        </is>
      </c>
      <c r="D293" t="inlineStr">
        <is>
          <t>Wholesale / Bulk</t>
        </is>
      </c>
      <c r="E293" t="inlineStr">
        <is>
          <t>Secondary (long-tail)</t>
        </is>
      </c>
      <c r="F293" t="inlineStr">
        <is>
          <t>H3 / body paragraph / table row / image alt</t>
        </is>
      </c>
      <c r="G293" t="inlineStr">
        <is>
          <t>Pack size</t>
        </is>
      </c>
      <c r="H293" t="inlineStr">
        <is>
          <t>Bulk</t>
        </is>
      </c>
      <c r="I293" t="inlineStr">
        <is>
          <t>Commercial</t>
        </is>
      </c>
      <c r="J293" t="inlineStr">
        <is>
          <t>MOFU</t>
        </is>
      </c>
      <c r="K293" t="inlineStr">
        <is>
          <t>Dubai</t>
        </is>
      </c>
      <c r="L293" t="inlineStr">
        <is>
          <t>Landing</t>
        </is>
      </c>
      <c r="M293">
        <f>IFERROR(VLOOKUP($A293,'Semrush Import'!$A:$D,2,FALSE),"")</f>
        <v/>
      </c>
      <c r="N293">
        <f>IFERROR(VLOOKUP($A293,'Semrush Import'!$A:$D,3,FALSE),"")</f>
        <v/>
      </c>
      <c r="O293">
        <f>IFERROR(VLOOKUP($A293,'Semrush Import'!$A:$D,4,FALSE),"")</f>
        <v/>
      </c>
      <c r="P293">
        <f>IFERROR(VLOOKUP($A293,'KP Import'!$A:$B,2,FALSE),"")</f>
        <v/>
      </c>
      <c r="Q293">
        <f>IF(M293="","",ROUND(M293/(N293+10),1))</f>
        <v/>
      </c>
      <c r="R293">
        <f>IF(Q293="","",IF(Q293&gt;=20,"A - Go first",IF(Q293&gt;=5,"B - Next","C - Later")))</f>
        <v/>
      </c>
      <c r="S293" t="inlineStr">
        <is>
          <t>To do</t>
        </is>
      </c>
      <c r="T293" t="inlineStr"/>
    </row>
    <row r="294">
      <c r="A294" t="inlineStr">
        <is>
          <t>50kg basmati rice price in uae</t>
        </is>
      </c>
      <c r="B294" t="inlineStr">
        <is>
          <t>Phase 1 - B2B now</t>
        </is>
      </c>
      <c r="C294" t="inlineStr">
        <is>
          <t>Wholesalers / bulk buyers</t>
        </is>
      </c>
      <c r="D294" t="inlineStr">
        <is>
          <t>Basmati Rice (category)</t>
        </is>
      </c>
      <c r="E294" t="inlineStr">
        <is>
          <t>Secondary (long-tail)</t>
        </is>
      </c>
      <c r="F294" t="inlineStr">
        <is>
          <t>H3 / body paragraph / table row / image alt</t>
        </is>
      </c>
      <c r="G294" t="inlineStr">
        <is>
          <t>Pack size</t>
        </is>
      </c>
      <c r="H294" t="inlineStr">
        <is>
          <t>Basmati</t>
        </is>
      </c>
      <c r="I294" t="inlineStr">
        <is>
          <t>Commercial</t>
        </is>
      </c>
      <c r="J294" t="inlineStr">
        <is>
          <t>MOFU</t>
        </is>
      </c>
      <c r="K294" t="inlineStr">
        <is>
          <t>UAE</t>
        </is>
      </c>
      <c r="L294" t="inlineStr">
        <is>
          <t>Category</t>
        </is>
      </c>
      <c r="M294">
        <f>IFERROR(VLOOKUP($A294,'Semrush Import'!$A:$D,2,FALSE),"")</f>
        <v/>
      </c>
      <c r="N294">
        <f>IFERROR(VLOOKUP($A294,'Semrush Import'!$A:$D,3,FALSE),"")</f>
        <v/>
      </c>
      <c r="O294">
        <f>IFERROR(VLOOKUP($A294,'Semrush Import'!$A:$D,4,FALSE),"")</f>
        <v/>
      </c>
      <c r="P294">
        <f>IFERROR(VLOOKUP($A294,'KP Import'!$A:$B,2,FALSE),"")</f>
        <v/>
      </c>
      <c r="Q294">
        <f>IF(M294="","",ROUND(M294/(N294+10),1))</f>
        <v/>
      </c>
      <c r="R294">
        <f>IF(Q294="","",IF(Q294&gt;=20,"A - Go first",IF(Q294&gt;=5,"B - Next","C - Later")))</f>
        <v/>
      </c>
      <c r="S294" t="inlineStr">
        <is>
          <t>To do</t>
        </is>
      </c>
      <c r="T294" t="inlineStr"/>
    </row>
    <row r="295">
      <c r="A295" t="inlineStr">
        <is>
          <t>rice wholesale dubai</t>
        </is>
      </c>
      <c r="B295" t="inlineStr">
        <is>
          <t>Phase 1 - B2B now</t>
        </is>
      </c>
      <c r="C295" t="inlineStr">
        <is>
          <t>Wholesalers / bulk buyers</t>
        </is>
      </c>
      <c r="D295" t="inlineStr">
        <is>
          <t>Wholesale / Bulk</t>
        </is>
      </c>
      <c r="E295" t="inlineStr">
        <is>
          <t>PRIMARY</t>
        </is>
      </c>
      <c r="F295" t="inlineStr">
        <is>
          <t>URL slug + SEO title + H1 + meta description + first 100 words</t>
        </is>
      </c>
      <c r="G295" t="inlineStr">
        <is>
          <t>Wholesale/B2B</t>
        </is>
      </c>
      <c r="H295" t="inlineStr">
        <is>
          <t>B2B</t>
        </is>
      </c>
      <c r="I295" t="inlineStr">
        <is>
          <t>Transactional (B2B)</t>
        </is>
      </c>
      <c r="J295" t="inlineStr">
        <is>
          <t>BOFU</t>
        </is>
      </c>
      <c r="K295" t="inlineStr">
        <is>
          <t>Dubai</t>
        </is>
      </c>
      <c r="L295" t="inlineStr">
        <is>
          <t>Landing</t>
        </is>
      </c>
      <c r="M295">
        <f>IFERROR(VLOOKUP($A295,'Semrush Import'!$A:$D,2,FALSE),"")</f>
        <v/>
      </c>
      <c r="N295">
        <f>IFERROR(VLOOKUP($A295,'Semrush Import'!$A:$D,3,FALSE),"")</f>
        <v/>
      </c>
      <c r="O295">
        <f>IFERROR(VLOOKUP($A295,'Semrush Import'!$A:$D,4,FALSE),"")</f>
        <v/>
      </c>
      <c r="P295">
        <f>IFERROR(VLOOKUP($A295,'KP Import'!$A:$B,2,FALSE),"")</f>
        <v/>
      </c>
      <c r="Q295">
        <f>IF(M295="","",ROUND(M295/(N295+10),1))</f>
        <v/>
      </c>
      <c r="R295">
        <f>IF(Q295="","",IF(Q295&gt;=20,"A - Go first",IF(Q295&gt;=5,"B - Next","C - Later")))</f>
        <v/>
      </c>
      <c r="S295" t="inlineStr">
        <is>
          <t>To do</t>
        </is>
      </c>
      <c r="T295" t="inlineStr"/>
    </row>
    <row r="296">
      <c r="A296" t="inlineStr">
        <is>
          <t>bulk rice dubai</t>
        </is>
      </c>
      <c r="B296" t="inlineStr">
        <is>
          <t>Phase 1 - B2B now</t>
        </is>
      </c>
      <c r="C296" t="inlineStr">
        <is>
          <t>Wholesalers / bulk buyers</t>
        </is>
      </c>
      <c r="D296" t="inlineStr">
        <is>
          <t>Wholesale / Bulk</t>
        </is>
      </c>
      <c r="E296" t="inlineStr">
        <is>
          <t>Secondary (short)</t>
        </is>
      </c>
      <c r="F296" t="inlineStr">
        <is>
          <t>H2 heading + 1st paragraph under it</t>
        </is>
      </c>
      <c r="G296" t="inlineStr">
        <is>
          <t>Wholesale/B2B</t>
        </is>
      </c>
      <c r="H296" t="inlineStr">
        <is>
          <t>B2B</t>
        </is>
      </c>
      <c r="I296" t="inlineStr">
        <is>
          <t>Transactional (B2B)</t>
        </is>
      </c>
      <c r="J296" t="inlineStr">
        <is>
          <t>BOFU</t>
        </is>
      </c>
      <c r="K296" t="inlineStr">
        <is>
          <t>Dubai</t>
        </is>
      </c>
      <c r="L296" t="inlineStr">
        <is>
          <t>Landing</t>
        </is>
      </c>
      <c r="M296">
        <f>IFERROR(VLOOKUP($A296,'Semrush Import'!$A:$D,2,FALSE),"")</f>
        <v/>
      </c>
      <c r="N296">
        <f>IFERROR(VLOOKUP($A296,'Semrush Import'!$A:$D,3,FALSE),"")</f>
        <v/>
      </c>
      <c r="O296">
        <f>IFERROR(VLOOKUP($A296,'Semrush Import'!$A:$D,4,FALSE),"")</f>
        <v/>
      </c>
      <c r="P296">
        <f>IFERROR(VLOOKUP($A296,'KP Import'!$A:$B,2,FALSE),"")</f>
        <v/>
      </c>
      <c r="Q296">
        <f>IF(M296="","",ROUND(M296/(N296+10),1))</f>
        <v/>
      </c>
      <c r="R296">
        <f>IF(Q296="","",IF(Q296&gt;=20,"A - Go first",IF(Q296&gt;=5,"B - Next","C - Later")))</f>
        <v/>
      </c>
      <c r="S296" t="inlineStr">
        <is>
          <t>To do</t>
        </is>
      </c>
      <c r="T296" t="inlineStr"/>
    </row>
    <row r="297">
      <c r="A297" t="inlineStr">
        <is>
          <t>rice wholesale uae</t>
        </is>
      </c>
      <c r="B297" t="inlineStr">
        <is>
          <t>Phase 1 - B2B now</t>
        </is>
      </c>
      <c r="C297" t="inlineStr">
        <is>
          <t>Wholesalers / bulk buyers</t>
        </is>
      </c>
      <c r="D297" t="inlineStr">
        <is>
          <t>Wholesale / Bulk</t>
        </is>
      </c>
      <c r="E297" t="inlineStr">
        <is>
          <t>Secondary (short)</t>
        </is>
      </c>
      <c r="F297" t="inlineStr">
        <is>
          <t>H2 heading + 1st paragraph under it</t>
        </is>
      </c>
      <c r="G297" t="inlineStr">
        <is>
          <t>Wholesale/B2B</t>
        </is>
      </c>
      <c r="H297" t="inlineStr">
        <is>
          <t>B2B</t>
        </is>
      </c>
      <c r="I297" t="inlineStr">
        <is>
          <t>Transactional (B2B)</t>
        </is>
      </c>
      <c r="J297" t="inlineStr">
        <is>
          <t>BOFU</t>
        </is>
      </c>
      <c r="K297" t="inlineStr">
        <is>
          <t>UAE</t>
        </is>
      </c>
      <c r="L297" t="inlineStr">
        <is>
          <t>Landing</t>
        </is>
      </c>
      <c r="M297">
        <f>IFERROR(VLOOKUP($A297,'Semrush Import'!$A:$D,2,FALSE),"")</f>
        <v/>
      </c>
      <c r="N297">
        <f>IFERROR(VLOOKUP($A297,'Semrush Import'!$A:$D,3,FALSE),"")</f>
        <v/>
      </c>
      <c r="O297">
        <f>IFERROR(VLOOKUP($A297,'Semrush Import'!$A:$D,4,FALSE),"")</f>
        <v/>
      </c>
      <c r="P297">
        <f>IFERROR(VLOOKUP($A297,'KP Import'!$A:$B,2,FALSE),"")</f>
        <v/>
      </c>
      <c r="Q297">
        <f>IF(M297="","",ROUND(M297/(N297+10),1))</f>
        <v/>
      </c>
      <c r="R297">
        <f>IF(Q297="","",IF(Q297&gt;=20,"A - Go first",IF(Q297&gt;=5,"B - Next","C - Later")))</f>
        <v/>
      </c>
      <c r="S297" t="inlineStr">
        <is>
          <t>To do</t>
        </is>
      </c>
      <c r="T297" t="inlineStr"/>
    </row>
    <row r="298">
      <c r="A298" t="inlineStr">
        <is>
          <t>rice supplier dubai</t>
        </is>
      </c>
      <c r="B298" t="inlineStr">
        <is>
          <t>Phase 1 - B2B now</t>
        </is>
      </c>
      <c r="C298" t="inlineStr">
        <is>
          <t>Wholesalers / bulk buyers</t>
        </is>
      </c>
      <c r="D298" t="inlineStr">
        <is>
          <t>Home</t>
        </is>
      </c>
      <c r="E298" t="inlineStr">
        <is>
          <t>Secondary (short)</t>
        </is>
      </c>
      <c r="F298" t="inlineStr">
        <is>
          <t>H2 heading + 1st paragraph under it</t>
        </is>
      </c>
      <c r="G298" t="inlineStr">
        <is>
          <t>Wholesale/B2B</t>
        </is>
      </c>
      <c r="H298" t="inlineStr">
        <is>
          <t>B2B</t>
        </is>
      </c>
      <c r="I298" t="inlineStr">
        <is>
          <t>Transactional (B2B)</t>
        </is>
      </c>
      <c r="J298" t="inlineStr">
        <is>
          <t>BOFU</t>
        </is>
      </c>
      <c r="K298" t="inlineStr">
        <is>
          <t>Dubai</t>
        </is>
      </c>
      <c r="L298" t="inlineStr">
        <is>
          <t>Landing</t>
        </is>
      </c>
      <c r="M298">
        <f>IFERROR(VLOOKUP($A298,'Semrush Import'!$A:$D,2,FALSE),"")</f>
        <v/>
      </c>
      <c r="N298">
        <f>IFERROR(VLOOKUP($A298,'Semrush Import'!$A:$D,3,FALSE),"")</f>
        <v/>
      </c>
      <c r="O298">
        <f>IFERROR(VLOOKUP($A298,'Semrush Import'!$A:$D,4,FALSE),"")</f>
        <v/>
      </c>
      <c r="P298">
        <f>IFERROR(VLOOKUP($A298,'KP Import'!$A:$B,2,FALSE),"")</f>
        <v/>
      </c>
      <c r="Q298">
        <f>IF(M298="","",ROUND(M298/(N298+10),1))</f>
        <v/>
      </c>
      <c r="R298">
        <f>IF(Q298="","",IF(Q298&gt;=20,"A - Go first",IF(Q298&gt;=5,"B - Next","C - Later")))</f>
        <v/>
      </c>
      <c r="S298" t="inlineStr">
        <is>
          <t>To do</t>
        </is>
      </c>
      <c r="T298" t="inlineStr"/>
    </row>
    <row r="299">
      <c r="A299" t="inlineStr">
        <is>
          <t>rice supplier uae</t>
        </is>
      </c>
      <c r="B299" t="inlineStr">
        <is>
          <t>Phase 1 - B2B now</t>
        </is>
      </c>
      <c r="C299" t="inlineStr">
        <is>
          <t>Wholesalers / bulk buyers</t>
        </is>
      </c>
      <c r="D299" t="inlineStr">
        <is>
          <t>Home</t>
        </is>
      </c>
      <c r="E299" t="inlineStr">
        <is>
          <t>Secondary (short)</t>
        </is>
      </c>
      <c r="F299" t="inlineStr">
        <is>
          <t>H2 heading + 1st paragraph under it</t>
        </is>
      </c>
      <c r="G299" t="inlineStr">
        <is>
          <t>Wholesale/B2B</t>
        </is>
      </c>
      <c r="H299" t="inlineStr">
        <is>
          <t>B2B</t>
        </is>
      </c>
      <c r="I299" t="inlineStr">
        <is>
          <t>Transactional (B2B)</t>
        </is>
      </c>
      <c r="J299" t="inlineStr">
        <is>
          <t>BOFU</t>
        </is>
      </c>
      <c r="K299" t="inlineStr">
        <is>
          <t>UAE</t>
        </is>
      </c>
      <c r="L299" t="inlineStr">
        <is>
          <t>Landing</t>
        </is>
      </c>
      <c r="M299">
        <f>IFERROR(VLOOKUP($A299,'Semrush Import'!$A:$D,2,FALSE),"")</f>
        <v/>
      </c>
      <c r="N299">
        <f>IFERROR(VLOOKUP($A299,'Semrush Import'!$A:$D,3,FALSE),"")</f>
        <v/>
      </c>
      <c r="O299">
        <f>IFERROR(VLOOKUP($A299,'Semrush Import'!$A:$D,4,FALSE),"")</f>
        <v/>
      </c>
      <c r="P299">
        <f>IFERROR(VLOOKUP($A299,'KP Import'!$A:$B,2,FALSE),"")</f>
        <v/>
      </c>
      <c r="Q299">
        <f>IF(M299="","",ROUND(M299/(N299+10),1))</f>
        <v/>
      </c>
      <c r="R299">
        <f>IF(Q299="","",IF(Q299&gt;=20,"A - Go first",IF(Q299&gt;=5,"B - Next","C - Later")))</f>
        <v/>
      </c>
      <c r="S299" t="inlineStr">
        <is>
          <t>To do</t>
        </is>
      </c>
      <c r="T299" t="inlineStr"/>
    </row>
    <row r="300">
      <c r="A300" t="inlineStr">
        <is>
          <t>rice distributor dubai</t>
        </is>
      </c>
      <c r="B300" t="inlineStr">
        <is>
          <t>Phase 1 - B2B now</t>
        </is>
      </c>
      <c r="C300" t="inlineStr">
        <is>
          <t>Wholesalers / bulk buyers</t>
        </is>
      </c>
      <c r="D300" t="inlineStr">
        <is>
          <t>Importers &amp; Exporters</t>
        </is>
      </c>
      <c r="E300" t="inlineStr">
        <is>
          <t>Secondary (short)</t>
        </is>
      </c>
      <c r="F300" t="inlineStr">
        <is>
          <t>H2 heading + 1st paragraph under it</t>
        </is>
      </c>
      <c r="G300" t="inlineStr">
        <is>
          <t>Wholesale/B2B</t>
        </is>
      </c>
      <c r="H300" t="inlineStr">
        <is>
          <t>B2B</t>
        </is>
      </c>
      <c r="I300" t="inlineStr">
        <is>
          <t>Transactional (B2B)</t>
        </is>
      </c>
      <c r="J300" t="inlineStr">
        <is>
          <t>BOFU</t>
        </is>
      </c>
      <c r="K300" t="inlineStr">
        <is>
          <t>Dubai</t>
        </is>
      </c>
      <c r="L300" t="inlineStr">
        <is>
          <t>Landing</t>
        </is>
      </c>
      <c r="M300">
        <f>IFERROR(VLOOKUP($A300,'Semrush Import'!$A:$D,2,FALSE),"")</f>
        <v/>
      </c>
      <c r="N300">
        <f>IFERROR(VLOOKUP($A300,'Semrush Import'!$A:$D,3,FALSE),"")</f>
        <v/>
      </c>
      <c r="O300">
        <f>IFERROR(VLOOKUP($A300,'Semrush Import'!$A:$D,4,FALSE),"")</f>
        <v/>
      </c>
      <c r="P300">
        <f>IFERROR(VLOOKUP($A300,'KP Import'!$A:$B,2,FALSE),"")</f>
        <v/>
      </c>
      <c r="Q300">
        <f>IF(M300="","",ROUND(M300/(N300+10),1))</f>
        <v/>
      </c>
      <c r="R300">
        <f>IF(Q300="","",IF(Q300&gt;=20,"A - Go first",IF(Q300&gt;=5,"B - Next","C - Later")))</f>
        <v/>
      </c>
      <c r="S300" t="inlineStr">
        <is>
          <t>To do</t>
        </is>
      </c>
      <c r="T300" t="inlineStr"/>
    </row>
    <row r="301">
      <c r="A301" t="inlineStr">
        <is>
          <t>rice importer uae</t>
        </is>
      </c>
      <c r="B301" t="inlineStr">
        <is>
          <t>Phase 1 - B2B now</t>
        </is>
      </c>
      <c r="C301" t="inlineStr">
        <is>
          <t>Wholesalers / bulk buyers</t>
        </is>
      </c>
      <c r="D301" t="inlineStr">
        <is>
          <t>Importers &amp; Exporters</t>
        </is>
      </c>
      <c r="E301" t="inlineStr">
        <is>
          <t>Secondary (short)</t>
        </is>
      </c>
      <c r="F301" t="inlineStr">
        <is>
          <t>H2 heading + 1st paragraph under it</t>
        </is>
      </c>
      <c r="G301" t="inlineStr">
        <is>
          <t>Wholesale/B2B</t>
        </is>
      </c>
      <c r="H301" t="inlineStr">
        <is>
          <t>B2B</t>
        </is>
      </c>
      <c r="I301" t="inlineStr">
        <is>
          <t>Transactional (B2B)</t>
        </is>
      </c>
      <c r="J301" t="inlineStr">
        <is>
          <t>BOFU</t>
        </is>
      </c>
      <c r="K301" t="inlineStr">
        <is>
          <t>UAE</t>
        </is>
      </c>
      <c r="L301" t="inlineStr">
        <is>
          <t>Landing</t>
        </is>
      </c>
      <c r="M301">
        <f>IFERROR(VLOOKUP($A301,'Semrush Import'!$A:$D,2,FALSE),"")</f>
        <v/>
      </c>
      <c r="N301">
        <f>IFERROR(VLOOKUP($A301,'Semrush Import'!$A:$D,3,FALSE),"")</f>
        <v/>
      </c>
      <c r="O301">
        <f>IFERROR(VLOOKUP($A301,'Semrush Import'!$A:$D,4,FALSE),"")</f>
        <v/>
      </c>
      <c r="P301">
        <f>IFERROR(VLOOKUP($A301,'KP Import'!$A:$B,2,FALSE),"")</f>
        <v/>
      </c>
      <c r="Q301">
        <f>IF(M301="","",ROUND(M301/(N301+10),1))</f>
        <v/>
      </c>
      <c r="R301">
        <f>IF(Q301="","",IF(Q301&gt;=20,"A - Go first",IF(Q301&gt;=5,"B - Next","C - Later")))</f>
        <v/>
      </c>
      <c r="S301" t="inlineStr">
        <is>
          <t>To do</t>
        </is>
      </c>
      <c r="T301" t="inlineStr"/>
    </row>
    <row r="302">
      <c r="A302" t="inlineStr">
        <is>
          <t>rice trading company dubai</t>
        </is>
      </c>
      <c r="B302" t="inlineStr">
        <is>
          <t>Phase 1 - B2B now</t>
        </is>
      </c>
      <c r="C302" t="inlineStr">
        <is>
          <t>Wholesalers / bulk buyers</t>
        </is>
      </c>
      <c r="D302" t="inlineStr">
        <is>
          <t>Home</t>
        </is>
      </c>
      <c r="E302" t="inlineStr">
        <is>
          <t>PRIMARY</t>
        </is>
      </c>
      <c r="F302" t="inlineStr">
        <is>
          <t>URL slug + SEO title + H1 + meta description + first 100 words</t>
        </is>
      </c>
      <c r="G302" t="inlineStr">
        <is>
          <t>Wholesale/B2B</t>
        </is>
      </c>
      <c r="H302" t="inlineStr">
        <is>
          <t>B2B</t>
        </is>
      </c>
      <c r="I302" t="inlineStr">
        <is>
          <t>Transactional (B2B)</t>
        </is>
      </c>
      <c r="J302" t="inlineStr">
        <is>
          <t>BOFU</t>
        </is>
      </c>
      <c r="K302" t="inlineStr">
        <is>
          <t>Dubai</t>
        </is>
      </c>
      <c r="L302" t="inlineStr">
        <is>
          <t>Landing</t>
        </is>
      </c>
      <c r="M302">
        <f>IFERROR(VLOOKUP($A302,'Semrush Import'!$A:$D,2,FALSE),"")</f>
        <v/>
      </c>
      <c r="N302">
        <f>IFERROR(VLOOKUP($A302,'Semrush Import'!$A:$D,3,FALSE),"")</f>
        <v/>
      </c>
      <c r="O302">
        <f>IFERROR(VLOOKUP($A302,'Semrush Import'!$A:$D,4,FALSE),"")</f>
        <v/>
      </c>
      <c r="P302">
        <f>IFERROR(VLOOKUP($A302,'KP Import'!$A:$B,2,FALSE),"")</f>
        <v/>
      </c>
      <c r="Q302">
        <f>IF(M302="","",ROUND(M302/(N302+10),1))</f>
        <v/>
      </c>
      <c r="R302">
        <f>IF(Q302="","",IF(Q302&gt;=20,"A - Go first",IF(Q302&gt;=5,"B - Next","C - Later")))</f>
        <v/>
      </c>
      <c r="S302" t="inlineStr">
        <is>
          <t>To do</t>
        </is>
      </c>
      <c r="T302" t="inlineStr"/>
    </row>
    <row r="303">
      <c r="A303" t="inlineStr">
        <is>
          <t>rice trading llc dubai</t>
        </is>
      </c>
      <c r="B303" t="inlineStr">
        <is>
          <t>Phase 1 - B2B now</t>
        </is>
      </c>
      <c r="C303" t="inlineStr">
        <is>
          <t>Wholesalers / bulk buyers</t>
        </is>
      </c>
      <c r="D303" t="inlineStr">
        <is>
          <t>Home</t>
        </is>
      </c>
      <c r="E303" t="inlineStr">
        <is>
          <t>Secondary (long-tail)</t>
        </is>
      </c>
      <c r="F303" t="inlineStr">
        <is>
          <t>H3 / body paragraph / table row / image alt</t>
        </is>
      </c>
      <c r="G303" t="inlineStr">
        <is>
          <t>Wholesale/B2B</t>
        </is>
      </c>
      <c r="H303" t="inlineStr">
        <is>
          <t>B2B</t>
        </is>
      </c>
      <c r="I303" t="inlineStr">
        <is>
          <t>Transactional (B2B)</t>
        </is>
      </c>
      <c r="J303" t="inlineStr">
        <is>
          <t>BOFU</t>
        </is>
      </c>
      <c r="K303" t="inlineStr">
        <is>
          <t>Dubai</t>
        </is>
      </c>
      <c r="L303" t="inlineStr">
        <is>
          <t>Landing</t>
        </is>
      </c>
      <c r="M303">
        <f>IFERROR(VLOOKUP($A303,'Semrush Import'!$A:$D,2,FALSE),"")</f>
        <v/>
      </c>
      <c r="N303">
        <f>IFERROR(VLOOKUP($A303,'Semrush Import'!$A:$D,3,FALSE),"")</f>
        <v/>
      </c>
      <c r="O303">
        <f>IFERROR(VLOOKUP($A303,'Semrush Import'!$A:$D,4,FALSE),"")</f>
        <v/>
      </c>
      <c r="P303">
        <f>IFERROR(VLOOKUP($A303,'KP Import'!$A:$B,2,FALSE),"")</f>
        <v/>
      </c>
      <c r="Q303">
        <f>IF(M303="","",ROUND(M303/(N303+10),1))</f>
        <v/>
      </c>
      <c r="R303">
        <f>IF(Q303="","",IF(Q303&gt;=20,"A - Go first",IF(Q303&gt;=5,"B - Next","C - Later")))</f>
        <v/>
      </c>
      <c r="S303" t="inlineStr">
        <is>
          <t>To do</t>
        </is>
      </c>
      <c r="T303" t="inlineStr"/>
    </row>
    <row r="304">
      <c r="A304" t="inlineStr">
        <is>
          <t>rice wholesale market dubai</t>
        </is>
      </c>
      <c r="B304" t="inlineStr">
        <is>
          <t>Phase 1 - B2B now</t>
        </is>
      </c>
      <c r="C304" t="inlineStr">
        <is>
          <t>Wholesalers / bulk buyers</t>
        </is>
      </c>
      <c r="D304" t="inlineStr">
        <is>
          <t>Wholesale / Bulk</t>
        </is>
      </c>
      <c r="E304" t="inlineStr">
        <is>
          <t>Secondary (long-tail)</t>
        </is>
      </c>
      <c r="F304" t="inlineStr">
        <is>
          <t>H3 / body paragraph / table row / image alt</t>
        </is>
      </c>
      <c r="G304" t="inlineStr">
        <is>
          <t>Wholesale/B2B</t>
        </is>
      </c>
      <c r="H304" t="inlineStr">
        <is>
          <t>B2B</t>
        </is>
      </c>
      <c r="I304" t="inlineStr">
        <is>
          <t>Transactional (B2B)</t>
        </is>
      </c>
      <c r="J304" t="inlineStr">
        <is>
          <t>BOFU</t>
        </is>
      </c>
      <c r="K304" t="inlineStr">
        <is>
          <t>Dubai</t>
        </is>
      </c>
      <c r="L304" t="inlineStr">
        <is>
          <t>Landing</t>
        </is>
      </c>
      <c r="M304">
        <f>IFERROR(VLOOKUP($A304,'Semrush Import'!$A:$D,2,FALSE),"")</f>
        <v/>
      </c>
      <c r="N304">
        <f>IFERROR(VLOOKUP($A304,'Semrush Import'!$A:$D,3,FALSE),"")</f>
        <v/>
      </c>
      <c r="O304">
        <f>IFERROR(VLOOKUP($A304,'Semrush Import'!$A:$D,4,FALSE),"")</f>
        <v/>
      </c>
      <c r="P304">
        <f>IFERROR(VLOOKUP($A304,'KP Import'!$A:$B,2,FALSE),"")</f>
        <v/>
      </c>
      <c r="Q304">
        <f>IF(M304="","",ROUND(M304/(N304+10),1))</f>
        <v/>
      </c>
      <c r="R304">
        <f>IF(Q304="","",IF(Q304&gt;=20,"A - Go first",IF(Q304&gt;=5,"B - Next","C - Later")))</f>
        <v/>
      </c>
      <c r="S304" t="inlineStr">
        <is>
          <t>To do</t>
        </is>
      </c>
      <c r="T304" t="inlineStr"/>
    </row>
    <row r="305">
      <c r="A305" t="inlineStr">
        <is>
          <t>rice wholesaler near me</t>
        </is>
      </c>
      <c r="B305" t="inlineStr">
        <is>
          <t>Phase 1 - B2B now</t>
        </is>
      </c>
      <c r="C305" t="inlineStr">
        <is>
          <t>Wholesalers / bulk buyers</t>
        </is>
      </c>
      <c r="D305" t="inlineStr">
        <is>
          <t>Wholesale / Bulk</t>
        </is>
      </c>
      <c r="E305" t="inlineStr">
        <is>
          <t>Secondary (long-tail)</t>
        </is>
      </c>
      <c r="F305" t="inlineStr">
        <is>
          <t>H3 / body paragraph / table row / image alt</t>
        </is>
      </c>
      <c r="G305" t="inlineStr">
        <is>
          <t>Wholesale/B2B</t>
        </is>
      </c>
      <c r="H305" t="inlineStr">
        <is>
          <t>B2B</t>
        </is>
      </c>
      <c r="I305" t="inlineStr">
        <is>
          <t>Transactional (B2B)</t>
        </is>
      </c>
      <c r="J305" t="inlineStr">
        <is>
          <t>BOFU</t>
        </is>
      </c>
      <c r="K305" t="inlineStr">
        <is>
          <t>UAE</t>
        </is>
      </c>
      <c r="L305" t="inlineStr">
        <is>
          <t>Landing</t>
        </is>
      </c>
      <c r="M305">
        <f>IFERROR(VLOOKUP($A305,'Semrush Import'!$A:$D,2,FALSE),"")</f>
        <v/>
      </c>
      <c r="N305">
        <f>IFERROR(VLOOKUP($A305,'Semrush Import'!$A:$D,3,FALSE),"")</f>
        <v/>
      </c>
      <c r="O305">
        <f>IFERROR(VLOOKUP($A305,'Semrush Import'!$A:$D,4,FALSE),"")</f>
        <v/>
      </c>
      <c r="P305">
        <f>IFERROR(VLOOKUP($A305,'KP Import'!$A:$B,2,FALSE),"")</f>
        <v/>
      </c>
      <c r="Q305">
        <f>IF(M305="","",ROUND(M305/(N305+10),1))</f>
        <v/>
      </c>
      <c r="R305">
        <f>IF(Q305="","",IF(Q305&gt;=20,"A - Go first",IF(Q305&gt;=5,"B - Next","C - Later")))</f>
        <v/>
      </c>
      <c r="S305" t="inlineStr">
        <is>
          <t>To do</t>
        </is>
      </c>
      <c r="T305" t="inlineStr"/>
    </row>
    <row r="306">
      <c r="A306" t="inlineStr">
        <is>
          <t>bulk rice for restaurants dubai</t>
        </is>
      </c>
      <c r="B306" t="inlineStr">
        <is>
          <t>Phase 1 - B2B now</t>
        </is>
      </c>
      <c r="C306" t="inlineStr">
        <is>
          <t>Wholesalers / bulk buyers</t>
        </is>
      </c>
      <c r="D306" t="inlineStr">
        <is>
          <t>HORECA &amp; institutions</t>
        </is>
      </c>
      <c r="E306" t="inlineStr">
        <is>
          <t>Secondary (long-tail)</t>
        </is>
      </c>
      <c r="F306" t="inlineStr">
        <is>
          <t>H3 / body paragraph / table row / image alt</t>
        </is>
      </c>
      <c r="G306" t="inlineStr">
        <is>
          <t>Wholesale/B2B</t>
        </is>
      </c>
      <c r="H306" t="inlineStr">
        <is>
          <t>B2B</t>
        </is>
      </c>
      <c r="I306" t="inlineStr">
        <is>
          <t>Transactional (B2B)</t>
        </is>
      </c>
      <c r="J306" t="inlineStr">
        <is>
          <t>BOFU</t>
        </is>
      </c>
      <c r="K306" t="inlineStr">
        <is>
          <t>Dubai</t>
        </is>
      </c>
      <c r="L306" t="inlineStr">
        <is>
          <t>Landing</t>
        </is>
      </c>
      <c r="M306">
        <f>IFERROR(VLOOKUP($A306,'Semrush Import'!$A:$D,2,FALSE),"")</f>
        <v/>
      </c>
      <c r="N306">
        <f>IFERROR(VLOOKUP($A306,'Semrush Import'!$A:$D,3,FALSE),"")</f>
        <v/>
      </c>
      <c r="O306">
        <f>IFERROR(VLOOKUP($A306,'Semrush Import'!$A:$D,4,FALSE),"")</f>
        <v/>
      </c>
      <c r="P306">
        <f>IFERROR(VLOOKUP($A306,'KP Import'!$A:$B,2,FALSE),"")</f>
        <v/>
      </c>
      <c r="Q306">
        <f>IF(M306="","",ROUND(M306/(N306+10),1))</f>
        <v/>
      </c>
      <c r="R306">
        <f>IF(Q306="","",IF(Q306&gt;=20,"A - Go first",IF(Q306&gt;=5,"B - Next","C - Later")))</f>
        <v/>
      </c>
      <c r="S306" t="inlineStr">
        <is>
          <t>To do</t>
        </is>
      </c>
      <c r="T306" t="inlineStr"/>
    </row>
    <row r="307">
      <c r="A307" t="inlineStr">
        <is>
          <t>rice for catering dubai</t>
        </is>
      </c>
      <c r="B307" t="inlineStr">
        <is>
          <t>Phase 1 - B2B now</t>
        </is>
      </c>
      <c r="C307" t="inlineStr">
        <is>
          <t>Wholesalers / bulk buyers</t>
        </is>
      </c>
      <c r="D307" t="inlineStr">
        <is>
          <t>HORECA &amp; institutions</t>
        </is>
      </c>
      <c r="E307" t="inlineStr">
        <is>
          <t>Secondary (long-tail)</t>
        </is>
      </c>
      <c r="F307" t="inlineStr">
        <is>
          <t>H3 / body paragraph / table row / image alt</t>
        </is>
      </c>
      <c r="G307" t="inlineStr">
        <is>
          <t>Wholesale/B2B</t>
        </is>
      </c>
      <c r="H307" t="inlineStr">
        <is>
          <t>B2B</t>
        </is>
      </c>
      <c r="I307" t="inlineStr">
        <is>
          <t>Transactional (B2B)</t>
        </is>
      </c>
      <c r="J307" t="inlineStr">
        <is>
          <t>BOFU</t>
        </is>
      </c>
      <c r="K307" t="inlineStr">
        <is>
          <t>Dubai</t>
        </is>
      </c>
      <c r="L307" t="inlineStr">
        <is>
          <t>Landing</t>
        </is>
      </c>
      <c r="M307">
        <f>IFERROR(VLOOKUP($A307,'Semrush Import'!$A:$D,2,FALSE),"")</f>
        <v/>
      </c>
      <c r="N307">
        <f>IFERROR(VLOOKUP($A307,'Semrush Import'!$A:$D,3,FALSE),"")</f>
        <v/>
      </c>
      <c r="O307">
        <f>IFERROR(VLOOKUP($A307,'Semrush Import'!$A:$D,4,FALSE),"")</f>
        <v/>
      </c>
      <c r="P307">
        <f>IFERROR(VLOOKUP($A307,'KP Import'!$A:$B,2,FALSE),"")</f>
        <v/>
      </c>
      <c r="Q307">
        <f>IF(M307="","",ROUND(M307/(N307+10),1))</f>
        <v/>
      </c>
      <c r="R307">
        <f>IF(Q307="","",IF(Q307&gt;=20,"A - Go first",IF(Q307&gt;=5,"B - Next","C - Later")))</f>
        <v/>
      </c>
      <c r="S307" t="inlineStr">
        <is>
          <t>To do</t>
        </is>
      </c>
      <c r="T307" t="inlineStr"/>
    </row>
    <row r="308">
      <c r="A308" t="inlineStr">
        <is>
          <t>rice supplier for hotels uae</t>
        </is>
      </c>
      <c r="B308" t="inlineStr">
        <is>
          <t>Phase 1 - B2B now</t>
        </is>
      </c>
      <c r="C308" t="inlineStr">
        <is>
          <t>Wholesalers / bulk buyers</t>
        </is>
      </c>
      <c r="D308" t="inlineStr">
        <is>
          <t>HORECA &amp; institutions</t>
        </is>
      </c>
      <c r="E308" t="inlineStr">
        <is>
          <t>Secondary (long-tail)</t>
        </is>
      </c>
      <c r="F308" t="inlineStr">
        <is>
          <t>H3 / body paragraph / table row / image alt</t>
        </is>
      </c>
      <c r="G308" t="inlineStr">
        <is>
          <t>Wholesale/B2B</t>
        </is>
      </c>
      <c r="H308" t="inlineStr">
        <is>
          <t>B2B</t>
        </is>
      </c>
      <c r="I308" t="inlineStr">
        <is>
          <t>Transactional (B2B)</t>
        </is>
      </c>
      <c r="J308" t="inlineStr">
        <is>
          <t>BOFU</t>
        </is>
      </c>
      <c r="K308" t="inlineStr">
        <is>
          <t>UAE</t>
        </is>
      </c>
      <c r="L308" t="inlineStr">
        <is>
          <t>Landing</t>
        </is>
      </c>
      <c r="M308">
        <f>IFERROR(VLOOKUP($A308,'Semrush Import'!$A:$D,2,FALSE),"")</f>
        <v/>
      </c>
      <c r="N308">
        <f>IFERROR(VLOOKUP($A308,'Semrush Import'!$A:$D,3,FALSE),"")</f>
        <v/>
      </c>
      <c r="O308">
        <f>IFERROR(VLOOKUP($A308,'Semrush Import'!$A:$D,4,FALSE),"")</f>
        <v/>
      </c>
      <c r="P308">
        <f>IFERROR(VLOOKUP($A308,'KP Import'!$A:$B,2,FALSE),"")</f>
        <v/>
      </c>
      <c r="Q308">
        <f>IF(M308="","",ROUND(M308/(N308+10),1))</f>
        <v/>
      </c>
      <c r="R308">
        <f>IF(Q308="","",IF(Q308&gt;=20,"A - Go first",IF(Q308&gt;=5,"B - Next","C - Later")))</f>
        <v/>
      </c>
      <c r="S308" t="inlineStr">
        <is>
          <t>To do</t>
        </is>
      </c>
      <c r="T308" t="inlineStr"/>
    </row>
    <row r="309">
      <c r="A309" t="inlineStr">
        <is>
          <t>rice for restaurants uae</t>
        </is>
      </c>
      <c r="B309" t="inlineStr">
        <is>
          <t>Phase 1 - B2B now</t>
        </is>
      </c>
      <c r="C309" t="inlineStr">
        <is>
          <t>Wholesalers / bulk buyers</t>
        </is>
      </c>
      <c r="D309" t="inlineStr">
        <is>
          <t>HORECA &amp; institutions</t>
        </is>
      </c>
      <c r="E309" t="inlineStr">
        <is>
          <t>Secondary (long-tail)</t>
        </is>
      </c>
      <c r="F309" t="inlineStr">
        <is>
          <t>H3 / body paragraph / table row / image alt</t>
        </is>
      </c>
      <c r="G309" t="inlineStr">
        <is>
          <t>Wholesale/B2B</t>
        </is>
      </c>
      <c r="H309" t="inlineStr">
        <is>
          <t>B2B</t>
        </is>
      </c>
      <c r="I309" t="inlineStr">
        <is>
          <t>Transactional (B2B)</t>
        </is>
      </c>
      <c r="J309" t="inlineStr">
        <is>
          <t>BOFU</t>
        </is>
      </c>
      <c r="K309" t="inlineStr">
        <is>
          <t>UAE</t>
        </is>
      </c>
      <c r="L309" t="inlineStr">
        <is>
          <t>Landing</t>
        </is>
      </c>
      <c r="M309">
        <f>IFERROR(VLOOKUP($A309,'Semrush Import'!$A:$D,2,FALSE),"")</f>
        <v/>
      </c>
      <c r="N309">
        <f>IFERROR(VLOOKUP($A309,'Semrush Import'!$A:$D,3,FALSE),"")</f>
        <v/>
      </c>
      <c r="O309">
        <f>IFERROR(VLOOKUP($A309,'Semrush Import'!$A:$D,4,FALSE),"")</f>
        <v/>
      </c>
      <c r="P309">
        <f>IFERROR(VLOOKUP($A309,'KP Import'!$A:$B,2,FALSE),"")</f>
        <v/>
      </c>
      <c r="Q309">
        <f>IF(M309="","",ROUND(M309/(N309+10),1))</f>
        <v/>
      </c>
      <c r="R309">
        <f>IF(Q309="","",IF(Q309&gt;=20,"A - Go first",IF(Q309&gt;=5,"B - Next","C - Later")))</f>
        <v/>
      </c>
      <c r="S309" t="inlineStr">
        <is>
          <t>To do</t>
        </is>
      </c>
      <c r="T309" t="inlineStr"/>
    </row>
    <row r="310">
      <c r="A310" t="inlineStr">
        <is>
          <t>rice for canteens dubai</t>
        </is>
      </c>
      <c r="B310" t="inlineStr">
        <is>
          <t>Phase 1 - B2B now</t>
        </is>
      </c>
      <c r="C310" t="inlineStr">
        <is>
          <t>Wholesalers / bulk buyers</t>
        </is>
      </c>
      <c r="D310" t="inlineStr">
        <is>
          <t>HORECA &amp; institutions</t>
        </is>
      </c>
      <c r="E310" t="inlineStr">
        <is>
          <t>Secondary (long-tail)</t>
        </is>
      </c>
      <c r="F310" t="inlineStr">
        <is>
          <t>H3 / body paragraph / table row / image alt</t>
        </is>
      </c>
      <c r="G310" t="inlineStr">
        <is>
          <t>Wholesale/B2B</t>
        </is>
      </c>
      <c r="H310" t="inlineStr">
        <is>
          <t>B2B</t>
        </is>
      </c>
      <c r="I310" t="inlineStr">
        <is>
          <t>Transactional (B2B)</t>
        </is>
      </c>
      <c r="J310" t="inlineStr">
        <is>
          <t>BOFU</t>
        </is>
      </c>
      <c r="K310" t="inlineStr">
        <is>
          <t>Dubai</t>
        </is>
      </c>
      <c r="L310" t="inlineStr">
        <is>
          <t>Landing</t>
        </is>
      </c>
      <c r="M310">
        <f>IFERROR(VLOOKUP($A310,'Semrush Import'!$A:$D,2,FALSE),"")</f>
        <v/>
      </c>
      <c r="N310">
        <f>IFERROR(VLOOKUP($A310,'Semrush Import'!$A:$D,3,FALSE),"")</f>
        <v/>
      </c>
      <c r="O310">
        <f>IFERROR(VLOOKUP($A310,'Semrush Import'!$A:$D,4,FALSE),"")</f>
        <v/>
      </c>
      <c r="P310">
        <f>IFERROR(VLOOKUP($A310,'KP Import'!$A:$B,2,FALSE),"")</f>
        <v/>
      </c>
      <c r="Q310">
        <f>IF(M310="","",ROUND(M310/(N310+10),1))</f>
        <v/>
      </c>
      <c r="R310">
        <f>IF(Q310="","",IF(Q310&gt;=20,"A - Go first",IF(Q310&gt;=5,"B - Next","C - Later")))</f>
        <v/>
      </c>
      <c r="S310" t="inlineStr">
        <is>
          <t>To do</t>
        </is>
      </c>
      <c r="T310" t="inlineStr"/>
    </row>
    <row r="311">
      <c r="A311" t="inlineStr">
        <is>
          <t>wholesale rice price dubai</t>
        </is>
      </c>
      <c r="B311" t="inlineStr">
        <is>
          <t>Phase 1 - B2B now</t>
        </is>
      </c>
      <c r="C311" t="inlineStr">
        <is>
          <t>Wholesalers / bulk buyers</t>
        </is>
      </c>
      <c r="D311" t="inlineStr">
        <is>
          <t>Wholesale / Bulk</t>
        </is>
      </c>
      <c r="E311" t="inlineStr">
        <is>
          <t>Secondary (long-tail)</t>
        </is>
      </c>
      <c r="F311" t="inlineStr">
        <is>
          <t>H3 / body paragraph / table row / image alt</t>
        </is>
      </c>
      <c r="G311" t="inlineStr">
        <is>
          <t>Wholesale/B2B</t>
        </is>
      </c>
      <c r="H311" t="inlineStr">
        <is>
          <t>B2B</t>
        </is>
      </c>
      <c r="I311" t="inlineStr">
        <is>
          <t>Transactional (B2B)</t>
        </is>
      </c>
      <c r="J311" t="inlineStr">
        <is>
          <t>BOFU</t>
        </is>
      </c>
      <c r="K311" t="inlineStr">
        <is>
          <t>Dubai</t>
        </is>
      </c>
      <c r="L311" t="inlineStr">
        <is>
          <t>Landing</t>
        </is>
      </c>
      <c r="M311">
        <f>IFERROR(VLOOKUP($A311,'Semrush Import'!$A:$D,2,FALSE),"")</f>
        <v/>
      </c>
      <c r="N311">
        <f>IFERROR(VLOOKUP($A311,'Semrush Import'!$A:$D,3,FALSE),"")</f>
        <v/>
      </c>
      <c r="O311">
        <f>IFERROR(VLOOKUP($A311,'Semrush Import'!$A:$D,4,FALSE),"")</f>
        <v/>
      </c>
      <c r="P311">
        <f>IFERROR(VLOOKUP($A311,'KP Import'!$A:$B,2,FALSE),"")</f>
        <v/>
      </c>
      <c r="Q311">
        <f>IF(M311="","",ROUND(M311/(N311+10),1))</f>
        <v/>
      </c>
      <c r="R311">
        <f>IF(Q311="","",IF(Q311&gt;=20,"A - Go first",IF(Q311&gt;=5,"B - Next","C - Later")))</f>
        <v/>
      </c>
      <c r="S311" t="inlineStr">
        <is>
          <t>To do</t>
        </is>
      </c>
      <c r="T311" t="inlineStr"/>
    </row>
    <row r="312">
      <c r="A312" t="inlineStr">
        <is>
          <t>bulk basmati rice uae</t>
        </is>
      </c>
      <c r="B312" t="inlineStr">
        <is>
          <t>Phase 1 - B2B now</t>
        </is>
      </c>
      <c r="C312" t="inlineStr">
        <is>
          <t>Wholesalers / bulk buyers</t>
        </is>
      </c>
      <c r="D312" t="inlineStr">
        <is>
          <t>Basmati Rice (category)</t>
        </is>
      </c>
      <c r="E312" t="inlineStr">
        <is>
          <t>Secondary (long-tail)</t>
        </is>
      </c>
      <c r="F312" t="inlineStr">
        <is>
          <t>H3 / body paragraph / table row / image alt</t>
        </is>
      </c>
      <c r="G312" t="inlineStr">
        <is>
          <t>Wholesale/B2B</t>
        </is>
      </c>
      <c r="H312" t="inlineStr">
        <is>
          <t>B2B</t>
        </is>
      </c>
      <c r="I312" t="inlineStr">
        <is>
          <t>Transactional (B2B)</t>
        </is>
      </c>
      <c r="J312" t="inlineStr">
        <is>
          <t>BOFU</t>
        </is>
      </c>
      <c r="K312" t="inlineStr">
        <is>
          <t>UAE</t>
        </is>
      </c>
      <c r="L312" t="inlineStr">
        <is>
          <t>Landing</t>
        </is>
      </c>
      <c r="M312">
        <f>IFERROR(VLOOKUP($A312,'Semrush Import'!$A:$D,2,FALSE),"")</f>
        <v/>
      </c>
      <c r="N312">
        <f>IFERROR(VLOOKUP($A312,'Semrush Import'!$A:$D,3,FALSE),"")</f>
        <v/>
      </c>
      <c r="O312">
        <f>IFERROR(VLOOKUP($A312,'Semrush Import'!$A:$D,4,FALSE),"")</f>
        <v/>
      </c>
      <c r="P312">
        <f>IFERROR(VLOOKUP($A312,'KP Import'!$A:$B,2,FALSE),"")</f>
        <v/>
      </c>
      <c r="Q312">
        <f>IF(M312="","",ROUND(M312/(N312+10),1))</f>
        <v/>
      </c>
      <c r="R312">
        <f>IF(Q312="","",IF(Q312&gt;=20,"A - Go first",IF(Q312&gt;=5,"B - Next","C - Later")))</f>
        <v/>
      </c>
      <c r="S312" t="inlineStr">
        <is>
          <t>To do</t>
        </is>
      </c>
      <c r="T312" t="inlineStr"/>
    </row>
    <row r="313">
      <c r="A313" t="inlineStr">
        <is>
          <t>rice wholesale sharjah</t>
        </is>
      </c>
      <c r="B313" t="inlineStr">
        <is>
          <t>Phase 1 - B2B now</t>
        </is>
      </c>
      <c r="C313" t="inlineStr">
        <is>
          <t>Wholesalers / bulk buyers</t>
        </is>
      </c>
      <c r="D313" t="inlineStr">
        <is>
          <t>Emirate page: Sharjah</t>
        </is>
      </c>
      <c r="E313" t="inlineStr">
        <is>
          <t>Secondary (short)</t>
        </is>
      </c>
      <c r="F313" t="inlineStr">
        <is>
          <t>H2 heading + 1st paragraph under it</t>
        </is>
      </c>
      <c r="G313" t="inlineStr">
        <is>
          <t>Wholesale/B2B</t>
        </is>
      </c>
      <c r="H313" t="inlineStr">
        <is>
          <t>B2B</t>
        </is>
      </c>
      <c r="I313" t="inlineStr">
        <is>
          <t>Transactional (B2B)</t>
        </is>
      </c>
      <c r="J313" t="inlineStr">
        <is>
          <t>BOFU</t>
        </is>
      </c>
      <c r="K313" t="inlineStr">
        <is>
          <t>Sharjah</t>
        </is>
      </c>
      <c r="L313" t="inlineStr">
        <is>
          <t>Landing</t>
        </is>
      </c>
      <c r="M313">
        <f>IFERROR(VLOOKUP($A313,'Semrush Import'!$A:$D,2,FALSE),"")</f>
        <v/>
      </c>
      <c r="N313">
        <f>IFERROR(VLOOKUP($A313,'Semrush Import'!$A:$D,3,FALSE),"")</f>
        <v/>
      </c>
      <c r="O313">
        <f>IFERROR(VLOOKUP($A313,'Semrush Import'!$A:$D,4,FALSE),"")</f>
        <v/>
      </c>
      <c r="P313">
        <f>IFERROR(VLOOKUP($A313,'KP Import'!$A:$B,2,FALSE),"")</f>
        <v/>
      </c>
      <c r="Q313">
        <f>IF(M313="","",ROUND(M313/(N313+10),1))</f>
        <v/>
      </c>
      <c r="R313">
        <f>IF(Q313="","",IF(Q313&gt;=20,"A - Go first",IF(Q313&gt;=5,"B - Next","C - Later")))</f>
        <v/>
      </c>
      <c r="S313" t="inlineStr">
        <is>
          <t>To do</t>
        </is>
      </c>
      <c r="T313" t="inlineStr"/>
    </row>
    <row r="314">
      <c r="A314" t="inlineStr">
        <is>
          <t>rice supplier abu dhabi</t>
        </is>
      </c>
      <c r="B314" t="inlineStr">
        <is>
          <t>Phase 1 - B2B now</t>
        </is>
      </c>
      <c r="C314" t="inlineStr">
        <is>
          <t>Wholesalers / bulk buyers</t>
        </is>
      </c>
      <c r="D314" t="inlineStr">
        <is>
          <t>Emirate page: Abu Dhabi</t>
        </is>
      </c>
      <c r="E314" t="inlineStr">
        <is>
          <t>PRIMARY</t>
        </is>
      </c>
      <c r="F314" t="inlineStr">
        <is>
          <t>URL slug + SEO title + H1 + meta description + first 100 words</t>
        </is>
      </c>
      <c r="G314" t="inlineStr">
        <is>
          <t>Wholesale/B2B</t>
        </is>
      </c>
      <c r="H314" t="inlineStr">
        <is>
          <t>B2B</t>
        </is>
      </c>
      <c r="I314" t="inlineStr">
        <is>
          <t>Transactional (B2B)</t>
        </is>
      </c>
      <c r="J314" t="inlineStr">
        <is>
          <t>BOFU</t>
        </is>
      </c>
      <c r="K314" t="inlineStr">
        <is>
          <t>Abu Dhabi</t>
        </is>
      </c>
      <c r="L314" t="inlineStr">
        <is>
          <t>Landing</t>
        </is>
      </c>
      <c r="M314">
        <f>IFERROR(VLOOKUP($A314,'Semrush Import'!$A:$D,2,FALSE),"")</f>
        <v/>
      </c>
      <c r="N314">
        <f>IFERROR(VLOOKUP($A314,'Semrush Import'!$A:$D,3,FALSE),"")</f>
        <v/>
      </c>
      <c r="O314">
        <f>IFERROR(VLOOKUP($A314,'Semrush Import'!$A:$D,4,FALSE),"")</f>
        <v/>
      </c>
      <c r="P314">
        <f>IFERROR(VLOOKUP($A314,'KP Import'!$A:$B,2,FALSE),"")</f>
        <v/>
      </c>
      <c r="Q314">
        <f>IF(M314="","",ROUND(M314/(N314+10),1))</f>
        <v/>
      </c>
      <c r="R314">
        <f>IF(Q314="","",IF(Q314&gt;=20,"A - Go first",IF(Q314&gt;=5,"B - Next","C - Later")))</f>
        <v/>
      </c>
      <c r="S314" t="inlineStr">
        <is>
          <t>To do</t>
        </is>
      </c>
      <c r="T314" t="inlineStr"/>
    </row>
    <row r="315">
      <c r="A315" t="inlineStr">
        <is>
          <t>rice suppliers in ajman</t>
        </is>
      </c>
      <c r="B315" t="inlineStr">
        <is>
          <t>Phase 1 - B2B now</t>
        </is>
      </c>
      <c r="C315" t="inlineStr">
        <is>
          <t>Wholesalers / bulk buyers</t>
        </is>
      </c>
      <c r="D315" t="inlineStr">
        <is>
          <t>Emirate page: Ajman</t>
        </is>
      </c>
      <c r="E315" t="inlineStr">
        <is>
          <t>Secondary (long-tail)</t>
        </is>
      </c>
      <c r="F315" t="inlineStr">
        <is>
          <t>H3 / body paragraph / table row / image alt</t>
        </is>
      </c>
      <c r="G315" t="inlineStr">
        <is>
          <t>Wholesale/B2B</t>
        </is>
      </c>
      <c r="H315" t="inlineStr">
        <is>
          <t>B2B</t>
        </is>
      </c>
      <c r="I315" t="inlineStr">
        <is>
          <t>Transactional (B2B)</t>
        </is>
      </c>
      <c r="J315" t="inlineStr">
        <is>
          <t>BOFU</t>
        </is>
      </c>
      <c r="K315" t="inlineStr">
        <is>
          <t>Ajman</t>
        </is>
      </c>
      <c r="L315" t="inlineStr">
        <is>
          <t>Landing</t>
        </is>
      </c>
      <c r="M315">
        <f>IFERROR(VLOOKUP($A315,'Semrush Import'!$A:$D,2,FALSE),"")</f>
        <v/>
      </c>
      <c r="N315">
        <f>IFERROR(VLOOKUP($A315,'Semrush Import'!$A:$D,3,FALSE),"")</f>
        <v/>
      </c>
      <c r="O315">
        <f>IFERROR(VLOOKUP($A315,'Semrush Import'!$A:$D,4,FALSE),"")</f>
        <v/>
      </c>
      <c r="P315">
        <f>IFERROR(VLOOKUP($A315,'KP Import'!$A:$B,2,FALSE),"")</f>
        <v/>
      </c>
      <c r="Q315">
        <f>IF(M315="","",ROUND(M315/(N315+10),1))</f>
        <v/>
      </c>
      <c r="R315">
        <f>IF(Q315="","",IF(Q315&gt;=20,"A - Go first",IF(Q315&gt;=5,"B - Next","C - Later")))</f>
        <v/>
      </c>
      <c r="S315" t="inlineStr">
        <is>
          <t>To do</t>
        </is>
      </c>
      <c r="T315" t="inlineStr"/>
    </row>
    <row r="316">
      <c r="A316" t="inlineStr">
        <is>
          <t>rice exporter to uae</t>
        </is>
      </c>
      <c r="B316" t="inlineStr">
        <is>
          <t>Phase 1 - B2B now</t>
        </is>
      </c>
      <c r="C316" t="inlineStr">
        <is>
          <t>Wholesalers / bulk buyers</t>
        </is>
      </c>
      <c r="D316" t="inlineStr">
        <is>
          <t>Origin sourcing</t>
        </is>
      </c>
      <c r="E316" t="inlineStr">
        <is>
          <t>Secondary (long-tail)</t>
        </is>
      </c>
      <c r="F316" t="inlineStr">
        <is>
          <t>H3 / body paragraph / table row / image alt</t>
        </is>
      </c>
      <c r="G316" t="inlineStr">
        <is>
          <t>Wholesale/B2B</t>
        </is>
      </c>
      <c r="H316" t="inlineStr">
        <is>
          <t>B2B</t>
        </is>
      </c>
      <c r="I316" t="inlineStr">
        <is>
          <t>Transactional (B2B)</t>
        </is>
      </c>
      <c r="J316" t="inlineStr">
        <is>
          <t>BOFU</t>
        </is>
      </c>
      <c r="K316" t="inlineStr">
        <is>
          <t>UAE</t>
        </is>
      </c>
      <c r="L316" t="inlineStr">
        <is>
          <t>Landing</t>
        </is>
      </c>
      <c r="M316">
        <f>IFERROR(VLOOKUP($A316,'Semrush Import'!$A:$D,2,FALSE),"")</f>
        <v/>
      </c>
      <c r="N316">
        <f>IFERROR(VLOOKUP($A316,'Semrush Import'!$A:$D,3,FALSE),"")</f>
        <v/>
      </c>
      <c r="O316">
        <f>IFERROR(VLOOKUP($A316,'Semrush Import'!$A:$D,4,FALSE),"")</f>
        <v/>
      </c>
      <c r="P316">
        <f>IFERROR(VLOOKUP($A316,'KP Import'!$A:$B,2,FALSE),"")</f>
        <v/>
      </c>
      <c r="Q316">
        <f>IF(M316="","",ROUND(M316/(N316+10),1))</f>
        <v/>
      </c>
      <c r="R316">
        <f>IF(Q316="","",IF(Q316&gt;=20,"A - Go first",IF(Q316&gt;=5,"B - Next","C - Later")))</f>
        <v/>
      </c>
      <c r="S316" t="inlineStr">
        <is>
          <t>To do</t>
        </is>
      </c>
      <c r="T316" t="inlineStr"/>
    </row>
    <row r="317">
      <c r="A317" t="inlineStr">
        <is>
          <t>indian rice exporters uae</t>
        </is>
      </c>
      <c r="B317" t="inlineStr">
        <is>
          <t>Phase 1 - B2B now</t>
        </is>
      </c>
      <c r="C317" t="inlineStr">
        <is>
          <t>Wholesalers / bulk buyers</t>
        </is>
      </c>
      <c r="D317" t="inlineStr">
        <is>
          <t>Origin sourcing</t>
        </is>
      </c>
      <c r="E317" t="inlineStr">
        <is>
          <t>Secondary (long-tail)</t>
        </is>
      </c>
      <c r="F317" t="inlineStr">
        <is>
          <t>H3 / body paragraph / table row / image alt</t>
        </is>
      </c>
      <c r="G317" t="inlineStr">
        <is>
          <t>Wholesale/B2B</t>
        </is>
      </c>
      <c r="H317" t="inlineStr">
        <is>
          <t>B2B</t>
        </is>
      </c>
      <c r="I317" t="inlineStr">
        <is>
          <t>Transactional (B2B)</t>
        </is>
      </c>
      <c r="J317" t="inlineStr">
        <is>
          <t>BOFU</t>
        </is>
      </c>
      <c r="K317" t="inlineStr">
        <is>
          <t>UAE</t>
        </is>
      </c>
      <c r="L317" t="inlineStr">
        <is>
          <t>Landing</t>
        </is>
      </c>
      <c r="M317">
        <f>IFERROR(VLOOKUP($A317,'Semrush Import'!$A:$D,2,FALSE),"")</f>
        <v/>
      </c>
      <c r="N317">
        <f>IFERROR(VLOOKUP($A317,'Semrush Import'!$A:$D,3,FALSE),"")</f>
        <v/>
      </c>
      <c r="O317">
        <f>IFERROR(VLOOKUP($A317,'Semrush Import'!$A:$D,4,FALSE),"")</f>
        <v/>
      </c>
      <c r="P317">
        <f>IFERROR(VLOOKUP($A317,'KP Import'!$A:$B,2,FALSE),"")</f>
        <v/>
      </c>
      <c r="Q317">
        <f>IF(M317="","",ROUND(M317/(N317+10),1))</f>
        <v/>
      </c>
      <c r="R317">
        <f>IF(Q317="","",IF(Q317&gt;=20,"A - Go first",IF(Q317&gt;=5,"B - Next","C - Later")))</f>
        <v/>
      </c>
      <c r="S317" t="inlineStr">
        <is>
          <t>To do</t>
        </is>
      </c>
      <c r="T317" t="inlineStr"/>
    </row>
    <row r="318">
      <c r="A318" t="inlineStr">
        <is>
          <t>private label rice uae</t>
        </is>
      </c>
      <c r="B318" t="inlineStr">
        <is>
          <t>Phase 1 - B2B now</t>
        </is>
      </c>
      <c r="C318" t="inlineStr">
        <is>
          <t>Wholesalers / bulk buyers</t>
        </is>
      </c>
      <c r="D318" t="inlineStr">
        <is>
          <t>Private label</t>
        </is>
      </c>
      <c r="E318" t="inlineStr">
        <is>
          <t>Secondary (long-tail)</t>
        </is>
      </c>
      <c r="F318" t="inlineStr">
        <is>
          <t>H3 / body paragraph / table row / image alt</t>
        </is>
      </c>
      <c r="G318" t="inlineStr">
        <is>
          <t>Wholesale/B2B</t>
        </is>
      </c>
      <c r="H318" t="inlineStr">
        <is>
          <t>B2B</t>
        </is>
      </c>
      <c r="I318" t="inlineStr">
        <is>
          <t>Transactional (B2B)</t>
        </is>
      </c>
      <c r="J318" t="inlineStr">
        <is>
          <t>BOFU</t>
        </is>
      </c>
      <c r="K318" t="inlineStr">
        <is>
          <t>UAE</t>
        </is>
      </c>
      <c r="L318" t="inlineStr">
        <is>
          <t>Landing</t>
        </is>
      </c>
      <c r="M318">
        <f>IFERROR(VLOOKUP($A318,'Semrush Import'!$A:$D,2,FALSE),"")</f>
        <v/>
      </c>
      <c r="N318">
        <f>IFERROR(VLOOKUP($A318,'Semrush Import'!$A:$D,3,FALSE),"")</f>
        <v/>
      </c>
      <c r="O318">
        <f>IFERROR(VLOOKUP($A318,'Semrush Import'!$A:$D,4,FALSE),"")</f>
        <v/>
      </c>
      <c r="P318">
        <f>IFERROR(VLOOKUP($A318,'KP Import'!$A:$B,2,FALSE),"")</f>
        <v/>
      </c>
      <c r="Q318">
        <f>IF(M318="","",ROUND(M318/(N318+10),1))</f>
        <v/>
      </c>
      <c r="R318">
        <f>IF(Q318="","",IF(Q318&gt;=20,"A - Go first",IF(Q318&gt;=5,"B - Next","C - Later")))</f>
        <v/>
      </c>
      <c r="S318" t="inlineStr">
        <is>
          <t>To do</t>
        </is>
      </c>
      <c r="T318" t="inlineStr"/>
    </row>
    <row r="319">
      <c r="A319" t="inlineStr">
        <is>
          <t>rice in bulk 50kg uae</t>
        </is>
      </c>
      <c r="B319" t="inlineStr">
        <is>
          <t>Phase 1 - B2B now</t>
        </is>
      </c>
      <c r="C319" t="inlineStr">
        <is>
          <t>Wholesalers / bulk buyers</t>
        </is>
      </c>
      <c r="D319" t="inlineStr">
        <is>
          <t>Wholesale / Bulk</t>
        </is>
      </c>
      <c r="E319" t="inlineStr">
        <is>
          <t>Secondary (long-tail)</t>
        </is>
      </c>
      <c r="F319" t="inlineStr">
        <is>
          <t>H3 / body paragraph / table row / image alt</t>
        </is>
      </c>
      <c r="G319" t="inlineStr">
        <is>
          <t>Wholesale/B2B</t>
        </is>
      </c>
      <c r="H319" t="inlineStr">
        <is>
          <t>B2B</t>
        </is>
      </c>
      <c r="I319" t="inlineStr">
        <is>
          <t>Transactional (B2B)</t>
        </is>
      </c>
      <c r="J319" t="inlineStr">
        <is>
          <t>BOFU</t>
        </is>
      </c>
      <c r="K319" t="inlineStr">
        <is>
          <t>UAE</t>
        </is>
      </c>
      <c r="L319" t="inlineStr">
        <is>
          <t>Landing</t>
        </is>
      </c>
      <c r="M319">
        <f>IFERROR(VLOOKUP($A319,'Semrush Import'!$A:$D,2,FALSE),"")</f>
        <v/>
      </c>
      <c r="N319">
        <f>IFERROR(VLOOKUP($A319,'Semrush Import'!$A:$D,3,FALSE),"")</f>
        <v/>
      </c>
      <c r="O319">
        <f>IFERROR(VLOOKUP($A319,'Semrush Import'!$A:$D,4,FALSE),"")</f>
        <v/>
      </c>
      <c r="P319">
        <f>IFERROR(VLOOKUP($A319,'KP Import'!$A:$B,2,FALSE),"")</f>
        <v/>
      </c>
      <c r="Q319">
        <f>IF(M319="","",ROUND(M319/(N319+10),1))</f>
        <v/>
      </c>
      <c r="R319">
        <f>IF(Q319="","",IF(Q319&gt;=20,"A - Go first",IF(Q319&gt;=5,"B - Next","C - Later")))</f>
        <v/>
      </c>
      <c r="S319" t="inlineStr">
        <is>
          <t>To do</t>
        </is>
      </c>
      <c r="T319" t="inlineStr"/>
    </row>
    <row r="320">
      <c r="A320" t="inlineStr">
        <is>
          <t>rice container import uae</t>
        </is>
      </c>
      <c r="B320" t="inlineStr">
        <is>
          <t>Phase 1 - B2B now</t>
        </is>
      </c>
      <c r="C320" t="inlineStr">
        <is>
          <t>Wholesalers / bulk buyers</t>
        </is>
      </c>
      <c r="D320" t="inlineStr">
        <is>
          <t>Importers &amp; Exporters</t>
        </is>
      </c>
      <c r="E320" t="inlineStr">
        <is>
          <t>Secondary (long-tail)</t>
        </is>
      </c>
      <c r="F320" t="inlineStr">
        <is>
          <t>H3 / body paragraph / table row / image alt</t>
        </is>
      </c>
      <c r="G320" t="inlineStr">
        <is>
          <t>Wholesale/B2B</t>
        </is>
      </c>
      <c r="H320" t="inlineStr">
        <is>
          <t>B2B</t>
        </is>
      </c>
      <c r="I320" t="inlineStr">
        <is>
          <t>Transactional (B2B)</t>
        </is>
      </c>
      <c r="J320" t="inlineStr">
        <is>
          <t>BOFU</t>
        </is>
      </c>
      <c r="K320" t="inlineStr">
        <is>
          <t>UAE</t>
        </is>
      </c>
      <c r="L320" t="inlineStr">
        <is>
          <t>Landing</t>
        </is>
      </c>
      <c r="M320">
        <f>IFERROR(VLOOKUP($A320,'Semrush Import'!$A:$D,2,FALSE),"")</f>
        <v/>
      </c>
      <c r="N320">
        <f>IFERROR(VLOOKUP($A320,'Semrush Import'!$A:$D,3,FALSE),"")</f>
        <v/>
      </c>
      <c r="O320">
        <f>IFERROR(VLOOKUP($A320,'Semrush Import'!$A:$D,4,FALSE),"")</f>
        <v/>
      </c>
      <c r="P320">
        <f>IFERROR(VLOOKUP($A320,'KP Import'!$A:$B,2,FALSE),"")</f>
        <v/>
      </c>
      <c r="Q320">
        <f>IF(M320="","",ROUND(M320/(N320+10),1))</f>
        <v/>
      </c>
      <c r="R320">
        <f>IF(Q320="","",IF(Q320&gt;=20,"A - Go first",IF(Q320&gt;=5,"B - Next","C - Later")))</f>
        <v/>
      </c>
      <c r="S320" t="inlineStr">
        <is>
          <t>To do</t>
        </is>
      </c>
      <c r="T320" t="inlineStr"/>
    </row>
    <row r="321">
      <c r="A321" t="inlineStr">
        <is>
          <t>food stuff trading dubai</t>
        </is>
      </c>
      <c r="B321" t="inlineStr">
        <is>
          <t>Phase 1 - B2B now</t>
        </is>
      </c>
      <c r="C321" t="inlineStr">
        <is>
          <t>Wholesalers / bulk buyers</t>
        </is>
      </c>
      <c r="D321" t="inlineStr">
        <is>
          <t>Wholesale / Bulk</t>
        </is>
      </c>
      <c r="E321" t="inlineStr">
        <is>
          <t>Secondary (long-tail)</t>
        </is>
      </c>
      <c r="F321" t="inlineStr">
        <is>
          <t>H3 / body paragraph / table row / image alt</t>
        </is>
      </c>
      <c r="G321" t="inlineStr">
        <is>
          <t>Wholesale/B2B</t>
        </is>
      </c>
      <c r="H321" t="inlineStr">
        <is>
          <t>B2B</t>
        </is>
      </c>
      <c r="I321" t="inlineStr">
        <is>
          <t>Transactional (B2B)</t>
        </is>
      </c>
      <c r="J321" t="inlineStr">
        <is>
          <t>BOFU</t>
        </is>
      </c>
      <c r="K321" t="inlineStr">
        <is>
          <t>Dubai</t>
        </is>
      </c>
      <c r="L321" t="inlineStr">
        <is>
          <t>Landing</t>
        </is>
      </c>
      <c r="M321">
        <f>IFERROR(VLOOKUP($A321,'Semrush Import'!$A:$D,2,FALSE),"")</f>
        <v/>
      </c>
      <c r="N321">
        <f>IFERROR(VLOOKUP($A321,'Semrush Import'!$A:$D,3,FALSE),"")</f>
        <v/>
      </c>
      <c r="O321">
        <f>IFERROR(VLOOKUP($A321,'Semrush Import'!$A:$D,4,FALSE),"")</f>
        <v/>
      </c>
      <c r="P321">
        <f>IFERROR(VLOOKUP($A321,'KP Import'!$A:$B,2,FALSE),"")</f>
        <v/>
      </c>
      <c r="Q321">
        <f>IF(M321="","",ROUND(M321/(N321+10),1))</f>
        <v/>
      </c>
      <c r="R321">
        <f>IF(Q321="","",IF(Q321&gt;=20,"A - Go first",IF(Q321&gt;=5,"B - Next","C - Later")))</f>
        <v/>
      </c>
      <c r="S321" t="inlineStr">
        <is>
          <t>To do</t>
        </is>
      </c>
      <c r="T321" t="inlineStr"/>
    </row>
    <row r="322">
      <c r="A322" t="inlineStr">
        <is>
          <t>foodstuff wholesale dubai</t>
        </is>
      </c>
      <c r="B322" t="inlineStr">
        <is>
          <t>Phase 1 - B2B now</t>
        </is>
      </c>
      <c r="C322" t="inlineStr">
        <is>
          <t>Wholesalers / bulk buyers</t>
        </is>
      </c>
      <c r="D322" t="inlineStr">
        <is>
          <t>Wholesale / Bulk</t>
        </is>
      </c>
      <c r="E322" t="inlineStr">
        <is>
          <t>Secondary (short)</t>
        </is>
      </c>
      <c r="F322" t="inlineStr">
        <is>
          <t>H2 heading + 1st paragraph under it</t>
        </is>
      </c>
      <c r="G322" t="inlineStr">
        <is>
          <t>Wholesale/B2B</t>
        </is>
      </c>
      <c r="H322" t="inlineStr">
        <is>
          <t>B2B</t>
        </is>
      </c>
      <c r="I322" t="inlineStr">
        <is>
          <t>Transactional (B2B)</t>
        </is>
      </c>
      <c r="J322" t="inlineStr">
        <is>
          <t>BOFU</t>
        </is>
      </c>
      <c r="K322" t="inlineStr">
        <is>
          <t>Dubai</t>
        </is>
      </c>
      <c r="L322" t="inlineStr">
        <is>
          <t>Landing</t>
        </is>
      </c>
      <c r="M322">
        <f>IFERROR(VLOOKUP($A322,'Semrush Import'!$A:$D,2,FALSE),"")</f>
        <v/>
      </c>
      <c r="N322">
        <f>IFERROR(VLOOKUP($A322,'Semrush Import'!$A:$D,3,FALSE),"")</f>
        <v/>
      </c>
      <c r="O322">
        <f>IFERROR(VLOOKUP($A322,'Semrush Import'!$A:$D,4,FALSE),"")</f>
        <v/>
      </c>
      <c r="P322">
        <f>IFERROR(VLOOKUP($A322,'KP Import'!$A:$B,2,FALSE),"")</f>
        <v/>
      </c>
      <c r="Q322">
        <f>IF(M322="","",ROUND(M322/(N322+10),1))</f>
        <v/>
      </c>
      <c r="R322">
        <f>IF(Q322="","",IF(Q322&gt;=20,"A - Go first",IF(Q322&gt;=5,"B - Next","C - Later")))</f>
        <v/>
      </c>
      <c r="S322" t="inlineStr">
        <is>
          <t>To do</t>
        </is>
      </c>
      <c r="T322" t="inlineStr"/>
    </row>
    <row r="323">
      <c r="A323" t="inlineStr">
        <is>
          <t>grocery wholesale dubai</t>
        </is>
      </c>
      <c r="B323" t="inlineStr">
        <is>
          <t>Phase 1 - B2B now</t>
        </is>
      </c>
      <c r="C323" t="inlineStr">
        <is>
          <t>Wholesalers / bulk buyers</t>
        </is>
      </c>
      <c r="D323" t="inlineStr">
        <is>
          <t>Wholesale / Bulk</t>
        </is>
      </c>
      <c r="E323" t="inlineStr">
        <is>
          <t>Secondary (short)</t>
        </is>
      </c>
      <c r="F323" t="inlineStr">
        <is>
          <t>H2 heading + 1st paragraph under it</t>
        </is>
      </c>
      <c r="G323" t="inlineStr">
        <is>
          <t>Wholesale/B2B</t>
        </is>
      </c>
      <c r="H323" t="inlineStr">
        <is>
          <t>B2B</t>
        </is>
      </c>
      <c r="I323" t="inlineStr">
        <is>
          <t>Transactional (B2B)</t>
        </is>
      </c>
      <c r="J323" t="inlineStr">
        <is>
          <t>BOFU</t>
        </is>
      </c>
      <c r="K323" t="inlineStr">
        <is>
          <t>Dubai</t>
        </is>
      </c>
      <c r="L323" t="inlineStr">
        <is>
          <t>Landing</t>
        </is>
      </c>
      <c r="M323">
        <f>IFERROR(VLOOKUP($A323,'Semrush Import'!$A:$D,2,FALSE),"")</f>
        <v/>
      </c>
      <c r="N323">
        <f>IFERROR(VLOOKUP($A323,'Semrush Import'!$A:$D,3,FALSE),"")</f>
        <v/>
      </c>
      <c r="O323">
        <f>IFERROR(VLOOKUP($A323,'Semrush Import'!$A:$D,4,FALSE),"")</f>
        <v/>
      </c>
      <c r="P323">
        <f>IFERROR(VLOOKUP($A323,'KP Import'!$A:$B,2,FALSE),"")</f>
        <v/>
      </c>
      <c r="Q323">
        <f>IF(M323="","",ROUND(M323/(N323+10),1))</f>
        <v/>
      </c>
      <c r="R323">
        <f>IF(Q323="","",IF(Q323&gt;=20,"A - Go first",IF(Q323&gt;=5,"B - Next","C - Later")))</f>
        <v/>
      </c>
      <c r="S323" t="inlineStr">
        <is>
          <t>To do</t>
        </is>
      </c>
      <c r="T323" t="inlineStr"/>
    </row>
    <row r="324">
      <c r="A324" t="inlineStr">
        <is>
          <t>rice online dubai</t>
        </is>
      </c>
      <c r="B324" t="inlineStr">
        <is>
          <t>Phase 2 - B2C (later)</t>
        </is>
      </c>
      <c r="C324" t="inlineStr">
        <is>
          <t>Consumer / household</t>
        </is>
      </c>
      <c r="D324" t="inlineStr">
        <is>
          <t>Shop (B2C)</t>
        </is>
      </c>
      <c r="E324" t="inlineStr">
        <is>
          <t>Secondary (short)</t>
        </is>
      </c>
      <c r="F324" t="inlineStr">
        <is>
          <t>H2 heading + 1st paragraph under it</t>
        </is>
      </c>
      <c r="G324" t="inlineStr">
        <is>
          <t>Retail/B2C</t>
        </is>
      </c>
      <c r="H324" t="inlineStr">
        <is>
          <t>Retail</t>
        </is>
      </c>
      <c r="I324" t="inlineStr">
        <is>
          <t>Transactional</t>
        </is>
      </c>
      <c r="J324" t="inlineStr">
        <is>
          <t>BOFU</t>
        </is>
      </c>
      <c r="K324" t="inlineStr">
        <is>
          <t>Dubai</t>
        </is>
      </c>
      <c r="L324" t="inlineStr">
        <is>
          <t>Home</t>
        </is>
      </c>
      <c r="M324">
        <f>IFERROR(VLOOKUP($A324,'Semrush Import'!$A:$D,2,FALSE),"")</f>
        <v/>
      </c>
      <c r="N324">
        <f>IFERROR(VLOOKUP($A324,'Semrush Import'!$A:$D,3,FALSE),"")</f>
        <v/>
      </c>
      <c r="O324">
        <f>IFERROR(VLOOKUP($A324,'Semrush Import'!$A:$D,4,FALSE),"")</f>
        <v/>
      </c>
      <c r="P324">
        <f>IFERROR(VLOOKUP($A324,'KP Import'!$A:$B,2,FALSE),"")</f>
        <v/>
      </c>
      <c r="Q324">
        <f>IF(M324="","",ROUND(M324/(N324+10),1))</f>
        <v/>
      </c>
      <c r="R324">
        <f>IF(Q324="","",IF(Q324&gt;=20,"A - Go first",IF(Q324&gt;=5,"B - Next","C - Later")))</f>
        <v/>
      </c>
      <c r="S324" t="inlineStr">
        <is>
          <t>To do</t>
        </is>
      </c>
      <c r="T324" t="inlineStr"/>
    </row>
    <row r="325">
      <c r="A325" t="inlineStr">
        <is>
          <t>buy rice online uae</t>
        </is>
      </c>
      <c r="B325" t="inlineStr">
        <is>
          <t>Phase 2 - B2C (later)</t>
        </is>
      </c>
      <c r="C325" t="inlineStr">
        <is>
          <t>Consumer / household</t>
        </is>
      </c>
      <c r="D325" t="inlineStr">
        <is>
          <t>Shop (B2C)</t>
        </is>
      </c>
      <c r="E325" t="inlineStr">
        <is>
          <t>PRIMARY</t>
        </is>
      </c>
      <c r="F325" t="inlineStr">
        <is>
          <t>URL slug + SEO title + H1 + meta description + first 100 words</t>
        </is>
      </c>
      <c r="G325" t="inlineStr">
        <is>
          <t>Retail/B2C</t>
        </is>
      </c>
      <c r="H325" t="inlineStr">
        <is>
          <t>Retail</t>
        </is>
      </c>
      <c r="I325" t="inlineStr">
        <is>
          <t>Transactional</t>
        </is>
      </c>
      <c r="J325" t="inlineStr">
        <is>
          <t>BOFU</t>
        </is>
      </c>
      <c r="K325" t="inlineStr">
        <is>
          <t>UAE</t>
        </is>
      </c>
      <c r="L325" t="inlineStr">
        <is>
          <t>Home</t>
        </is>
      </c>
      <c r="M325">
        <f>IFERROR(VLOOKUP($A325,'Semrush Import'!$A:$D,2,FALSE),"")</f>
        <v/>
      </c>
      <c r="N325">
        <f>IFERROR(VLOOKUP($A325,'Semrush Import'!$A:$D,3,FALSE),"")</f>
        <v/>
      </c>
      <c r="O325">
        <f>IFERROR(VLOOKUP($A325,'Semrush Import'!$A:$D,4,FALSE),"")</f>
        <v/>
      </c>
      <c r="P325">
        <f>IFERROR(VLOOKUP($A325,'KP Import'!$A:$B,2,FALSE),"")</f>
        <v/>
      </c>
      <c r="Q325">
        <f>IF(M325="","",ROUND(M325/(N325+10),1))</f>
        <v/>
      </c>
      <c r="R325">
        <f>IF(Q325="","",IF(Q325&gt;=20,"A - Go first",IF(Q325&gt;=5,"B - Next","C - Later")))</f>
        <v/>
      </c>
      <c r="S325" t="inlineStr">
        <is>
          <t>To do</t>
        </is>
      </c>
      <c r="T325" t="inlineStr"/>
    </row>
    <row r="326">
      <c r="A326" t="inlineStr">
        <is>
          <t>rice delivery dubai</t>
        </is>
      </c>
      <c r="B326" t="inlineStr">
        <is>
          <t>Phase 2 - B2C (later)</t>
        </is>
      </c>
      <c r="C326" t="inlineStr">
        <is>
          <t>Consumer / household</t>
        </is>
      </c>
      <c r="D326" t="inlineStr">
        <is>
          <t>Delivery page (B2C)</t>
        </is>
      </c>
      <c r="E326" t="inlineStr">
        <is>
          <t>PRIMARY</t>
        </is>
      </c>
      <c r="F326" t="inlineStr">
        <is>
          <t>URL slug + SEO title + H1 + meta description + first 100 words</t>
        </is>
      </c>
      <c r="G326" t="inlineStr">
        <is>
          <t>Retail/B2C</t>
        </is>
      </c>
      <c r="H326" t="inlineStr">
        <is>
          <t>Retail</t>
        </is>
      </c>
      <c r="I326" t="inlineStr">
        <is>
          <t>Transactional</t>
        </is>
      </c>
      <c r="J326" t="inlineStr">
        <is>
          <t>BOFU</t>
        </is>
      </c>
      <c r="K326" t="inlineStr">
        <is>
          <t>Dubai</t>
        </is>
      </c>
      <c r="L326" t="inlineStr">
        <is>
          <t>Home</t>
        </is>
      </c>
      <c r="M326">
        <f>IFERROR(VLOOKUP($A326,'Semrush Import'!$A:$D,2,FALSE),"")</f>
        <v/>
      </c>
      <c r="N326">
        <f>IFERROR(VLOOKUP($A326,'Semrush Import'!$A:$D,3,FALSE),"")</f>
        <v/>
      </c>
      <c r="O326">
        <f>IFERROR(VLOOKUP($A326,'Semrush Import'!$A:$D,4,FALSE),"")</f>
        <v/>
      </c>
      <c r="P326">
        <f>IFERROR(VLOOKUP($A326,'KP Import'!$A:$B,2,FALSE),"")</f>
        <v/>
      </c>
      <c r="Q326">
        <f>IF(M326="","",ROUND(M326/(N326+10),1))</f>
        <v/>
      </c>
      <c r="R326">
        <f>IF(Q326="","",IF(Q326&gt;=20,"A - Go first",IF(Q326&gt;=5,"B - Next","C - Later")))</f>
        <v/>
      </c>
      <c r="S326" t="inlineStr">
        <is>
          <t>To do</t>
        </is>
      </c>
      <c r="T326" t="inlineStr"/>
    </row>
    <row r="327">
      <c r="A327" t="inlineStr">
        <is>
          <t>rice home delivery uae</t>
        </is>
      </c>
      <c r="B327" t="inlineStr">
        <is>
          <t>Phase 2 - B2C (later)</t>
        </is>
      </c>
      <c r="C327" t="inlineStr">
        <is>
          <t>Consumer / household</t>
        </is>
      </c>
      <c r="D327" t="inlineStr">
        <is>
          <t>Delivery page (B2C)</t>
        </is>
      </c>
      <c r="E327" t="inlineStr">
        <is>
          <t>Secondary (long-tail)</t>
        </is>
      </c>
      <c r="F327" t="inlineStr">
        <is>
          <t>H3 / body paragraph / table row / image alt</t>
        </is>
      </c>
      <c r="G327" t="inlineStr">
        <is>
          <t>Retail/B2C</t>
        </is>
      </c>
      <c r="H327" t="inlineStr">
        <is>
          <t>Retail</t>
        </is>
      </c>
      <c r="I327" t="inlineStr">
        <is>
          <t>Transactional</t>
        </is>
      </c>
      <c r="J327" t="inlineStr">
        <is>
          <t>BOFU</t>
        </is>
      </c>
      <c r="K327" t="inlineStr">
        <is>
          <t>UAE</t>
        </is>
      </c>
      <c r="L327" t="inlineStr">
        <is>
          <t>Category</t>
        </is>
      </c>
      <c r="M327">
        <f>IFERROR(VLOOKUP($A327,'Semrush Import'!$A:$D,2,FALSE),"")</f>
        <v/>
      </c>
      <c r="N327">
        <f>IFERROR(VLOOKUP($A327,'Semrush Import'!$A:$D,3,FALSE),"")</f>
        <v/>
      </c>
      <c r="O327">
        <f>IFERROR(VLOOKUP($A327,'Semrush Import'!$A:$D,4,FALSE),"")</f>
        <v/>
      </c>
      <c r="P327">
        <f>IFERROR(VLOOKUP($A327,'KP Import'!$A:$B,2,FALSE),"")</f>
        <v/>
      </c>
      <c r="Q327">
        <f>IF(M327="","",ROUND(M327/(N327+10),1))</f>
        <v/>
      </c>
      <c r="R327">
        <f>IF(Q327="","",IF(Q327&gt;=20,"A - Go first",IF(Q327&gt;=5,"B - Next","C - Later")))</f>
        <v/>
      </c>
      <c r="S327" t="inlineStr">
        <is>
          <t>To do</t>
        </is>
      </c>
      <c r="T327" t="inlineStr"/>
    </row>
    <row r="328">
      <c r="A328" t="inlineStr">
        <is>
          <t>order rice online dubai</t>
        </is>
      </c>
      <c r="B328" t="inlineStr">
        <is>
          <t>Phase 2 - B2C (later)</t>
        </is>
      </c>
      <c r="C328" t="inlineStr">
        <is>
          <t>Consumer / household</t>
        </is>
      </c>
      <c r="D328" t="inlineStr">
        <is>
          <t>Shop (B2C)</t>
        </is>
      </c>
      <c r="E328" t="inlineStr">
        <is>
          <t>Secondary (long-tail)</t>
        </is>
      </c>
      <c r="F328" t="inlineStr">
        <is>
          <t>H3 / body paragraph / table row / image alt</t>
        </is>
      </c>
      <c r="G328" t="inlineStr">
        <is>
          <t>Retail/B2C</t>
        </is>
      </c>
      <c r="H328" t="inlineStr">
        <is>
          <t>Retail</t>
        </is>
      </c>
      <c r="I328" t="inlineStr">
        <is>
          <t>Transactional</t>
        </is>
      </c>
      <c r="J328" t="inlineStr">
        <is>
          <t>BOFU</t>
        </is>
      </c>
      <c r="K328" t="inlineStr">
        <is>
          <t>Dubai</t>
        </is>
      </c>
      <c r="L328" t="inlineStr">
        <is>
          <t>Category</t>
        </is>
      </c>
      <c r="M328">
        <f>IFERROR(VLOOKUP($A328,'Semrush Import'!$A:$D,2,FALSE),"")</f>
        <v/>
      </c>
      <c r="N328">
        <f>IFERROR(VLOOKUP($A328,'Semrush Import'!$A:$D,3,FALSE),"")</f>
        <v/>
      </c>
      <c r="O328">
        <f>IFERROR(VLOOKUP($A328,'Semrush Import'!$A:$D,4,FALSE),"")</f>
        <v/>
      </c>
      <c r="P328">
        <f>IFERROR(VLOOKUP($A328,'KP Import'!$A:$B,2,FALSE),"")</f>
        <v/>
      </c>
      <c r="Q328">
        <f>IF(M328="","",ROUND(M328/(N328+10),1))</f>
        <v/>
      </c>
      <c r="R328">
        <f>IF(Q328="","",IF(Q328&gt;=20,"A - Go first",IF(Q328&gt;=5,"B - Next","C - Later")))</f>
        <v/>
      </c>
      <c r="S328" t="inlineStr">
        <is>
          <t>To do</t>
        </is>
      </c>
      <c r="T328" t="inlineStr"/>
    </row>
    <row r="329">
      <c r="A329" t="inlineStr">
        <is>
          <t>rice delivery near me</t>
        </is>
      </c>
      <c r="B329" t="inlineStr">
        <is>
          <t>Phase 2 - B2C (later)</t>
        </is>
      </c>
      <c r="C329" t="inlineStr">
        <is>
          <t>Consumer / household</t>
        </is>
      </c>
      <c r="D329" t="inlineStr">
        <is>
          <t>Delivery page (B2C)</t>
        </is>
      </c>
      <c r="E329" t="inlineStr">
        <is>
          <t>Secondary (long-tail)</t>
        </is>
      </c>
      <c r="F329" t="inlineStr">
        <is>
          <t>H3 / body paragraph / table row / image alt</t>
        </is>
      </c>
      <c r="G329" t="inlineStr">
        <is>
          <t>Retail/B2C</t>
        </is>
      </c>
      <c r="H329" t="inlineStr">
        <is>
          <t>Retail</t>
        </is>
      </c>
      <c r="I329" t="inlineStr">
        <is>
          <t>Transactional</t>
        </is>
      </c>
      <c r="J329" t="inlineStr">
        <is>
          <t>BOFU</t>
        </is>
      </c>
      <c r="K329" t="inlineStr">
        <is>
          <t>UAE</t>
        </is>
      </c>
      <c r="L329" t="inlineStr">
        <is>
          <t>Category</t>
        </is>
      </c>
      <c r="M329">
        <f>IFERROR(VLOOKUP($A329,'Semrush Import'!$A:$D,2,FALSE),"")</f>
        <v/>
      </c>
      <c r="N329">
        <f>IFERROR(VLOOKUP($A329,'Semrush Import'!$A:$D,3,FALSE),"")</f>
        <v/>
      </c>
      <c r="O329">
        <f>IFERROR(VLOOKUP($A329,'Semrush Import'!$A:$D,4,FALSE),"")</f>
        <v/>
      </c>
      <c r="P329">
        <f>IFERROR(VLOOKUP($A329,'KP Import'!$A:$B,2,FALSE),"")</f>
        <v/>
      </c>
      <c r="Q329">
        <f>IF(M329="","",ROUND(M329/(N329+10),1))</f>
        <v/>
      </c>
      <c r="R329">
        <f>IF(Q329="","",IF(Q329&gt;=20,"A - Go first",IF(Q329&gt;=5,"B - Next","C - Later")))</f>
        <v/>
      </c>
      <c r="S329" t="inlineStr">
        <is>
          <t>To do</t>
        </is>
      </c>
      <c r="T329" t="inlineStr"/>
    </row>
    <row r="330">
      <c r="A330" t="inlineStr">
        <is>
          <t>online grocery rice dubai</t>
        </is>
      </c>
      <c r="B330" t="inlineStr">
        <is>
          <t>Phase 2 - B2C (later)</t>
        </is>
      </c>
      <c r="C330" t="inlineStr">
        <is>
          <t>Consumer / household</t>
        </is>
      </c>
      <c r="D330" t="inlineStr">
        <is>
          <t>Shop (B2C)</t>
        </is>
      </c>
      <c r="E330" t="inlineStr">
        <is>
          <t>Secondary (long-tail)</t>
        </is>
      </c>
      <c r="F330" t="inlineStr">
        <is>
          <t>H3 / body paragraph / table row / image alt</t>
        </is>
      </c>
      <c r="G330" t="inlineStr">
        <is>
          <t>Retail/B2C</t>
        </is>
      </c>
      <c r="H330" t="inlineStr">
        <is>
          <t>Retail</t>
        </is>
      </c>
      <c r="I330" t="inlineStr">
        <is>
          <t>Transactional</t>
        </is>
      </c>
      <c r="J330" t="inlineStr">
        <is>
          <t>BOFU</t>
        </is>
      </c>
      <c r="K330" t="inlineStr">
        <is>
          <t>Dubai</t>
        </is>
      </c>
      <c r="L330" t="inlineStr">
        <is>
          <t>Category</t>
        </is>
      </c>
      <c r="M330">
        <f>IFERROR(VLOOKUP($A330,'Semrush Import'!$A:$D,2,FALSE),"")</f>
        <v/>
      </c>
      <c r="N330">
        <f>IFERROR(VLOOKUP($A330,'Semrush Import'!$A:$D,3,FALSE),"")</f>
        <v/>
      </c>
      <c r="O330">
        <f>IFERROR(VLOOKUP($A330,'Semrush Import'!$A:$D,4,FALSE),"")</f>
        <v/>
      </c>
      <c r="P330">
        <f>IFERROR(VLOOKUP($A330,'KP Import'!$A:$B,2,FALSE),"")</f>
        <v/>
      </c>
      <c r="Q330">
        <f>IF(M330="","",ROUND(M330/(N330+10),1))</f>
        <v/>
      </c>
      <c r="R330">
        <f>IF(Q330="","",IF(Q330&gt;=20,"A - Go first",IF(Q330&gt;=5,"B - Next","C - Later")))</f>
        <v/>
      </c>
      <c r="S330" t="inlineStr">
        <is>
          <t>To do</t>
        </is>
      </c>
      <c r="T330" t="inlineStr"/>
    </row>
    <row r="331">
      <c r="A331" t="inlineStr">
        <is>
          <t>best basmati rice in uae</t>
        </is>
      </c>
      <c r="B331" t="inlineStr">
        <is>
          <t>Phase 2 - B2C (later)</t>
        </is>
      </c>
      <c r="C331" t="inlineStr">
        <is>
          <t>Consumer / household</t>
        </is>
      </c>
      <c r="D331" t="inlineStr">
        <is>
          <t>Shop (B2C)</t>
        </is>
      </c>
      <c r="E331" t="inlineStr">
        <is>
          <t>Secondary (long-tail)</t>
        </is>
      </c>
      <c r="F331" t="inlineStr">
        <is>
          <t>H3 / body paragraph / table row / image alt</t>
        </is>
      </c>
      <c r="G331" t="inlineStr">
        <is>
          <t>Retail/B2C</t>
        </is>
      </c>
      <c r="H331" t="inlineStr">
        <is>
          <t>Retail</t>
        </is>
      </c>
      <c r="I331" t="inlineStr">
        <is>
          <t>Transactional</t>
        </is>
      </c>
      <c r="J331" t="inlineStr">
        <is>
          <t>BOFU</t>
        </is>
      </c>
      <c r="K331" t="inlineStr">
        <is>
          <t>UAE</t>
        </is>
      </c>
      <c r="L331" t="inlineStr">
        <is>
          <t>Category</t>
        </is>
      </c>
      <c r="M331">
        <f>IFERROR(VLOOKUP($A331,'Semrush Import'!$A:$D,2,FALSE),"")</f>
        <v/>
      </c>
      <c r="N331">
        <f>IFERROR(VLOOKUP($A331,'Semrush Import'!$A:$D,3,FALSE),"")</f>
        <v/>
      </c>
      <c r="O331">
        <f>IFERROR(VLOOKUP($A331,'Semrush Import'!$A:$D,4,FALSE),"")</f>
        <v/>
      </c>
      <c r="P331">
        <f>IFERROR(VLOOKUP($A331,'KP Import'!$A:$B,2,FALSE),"")</f>
        <v/>
      </c>
      <c r="Q331">
        <f>IF(M331="","",ROUND(M331/(N331+10),1))</f>
        <v/>
      </c>
      <c r="R331">
        <f>IF(Q331="","",IF(Q331&gt;=20,"A - Go first",IF(Q331&gt;=5,"B - Next","C - Later")))</f>
        <v/>
      </c>
      <c r="S331" t="inlineStr">
        <is>
          <t>To do</t>
        </is>
      </c>
      <c r="T331" t="inlineStr"/>
    </row>
    <row r="332">
      <c r="A332" t="inlineStr">
        <is>
          <t>best basmati rice in dubai</t>
        </is>
      </c>
      <c r="B332" t="inlineStr">
        <is>
          <t>Phase 2 - B2C (later)</t>
        </is>
      </c>
      <c r="C332" t="inlineStr">
        <is>
          <t>Consumer / household</t>
        </is>
      </c>
      <c r="D332" t="inlineStr">
        <is>
          <t>Shop (B2C)</t>
        </is>
      </c>
      <c r="E332" t="inlineStr">
        <is>
          <t>Secondary (long-tail)</t>
        </is>
      </c>
      <c r="F332" t="inlineStr">
        <is>
          <t>H3 / body paragraph / table row / image alt</t>
        </is>
      </c>
      <c r="G332" t="inlineStr">
        <is>
          <t>Retail/B2C</t>
        </is>
      </c>
      <c r="H332" t="inlineStr">
        <is>
          <t>Retail</t>
        </is>
      </c>
      <c r="I332" t="inlineStr">
        <is>
          <t>Transactional</t>
        </is>
      </c>
      <c r="J332" t="inlineStr">
        <is>
          <t>BOFU</t>
        </is>
      </c>
      <c r="K332" t="inlineStr">
        <is>
          <t>Dubai</t>
        </is>
      </c>
      <c r="L332" t="inlineStr">
        <is>
          <t>Category</t>
        </is>
      </c>
      <c r="M332">
        <f>IFERROR(VLOOKUP($A332,'Semrush Import'!$A:$D,2,FALSE),"")</f>
        <v/>
      </c>
      <c r="N332">
        <f>IFERROR(VLOOKUP($A332,'Semrush Import'!$A:$D,3,FALSE),"")</f>
        <v/>
      </c>
      <c r="O332">
        <f>IFERROR(VLOOKUP($A332,'Semrush Import'!$A:$D,4,FALSE),"")</f>
        <v/>
      </c>
      <c r="P332">
        <f>IFERROR(VLOOKUP($A332,'KP Import'!$A:$B,2,FALSE),"")</f>
        <v/>
      </c>
      <c r="Q332">
        <f>IF(M332="","",ROUND(M332/(N332+10),1))</f>
        <v/>
      </c>
      <c r="R332">
        <f>IF(Q332="","",IF(Q332&gt;=20,"A - Go first",IF(Q332&gt;=5,"B - Next","C - Later")))</f>
        <v/>
      </c>
      <c r="S332" t="inlineStr">
        <is>
          <t>To do</t>
        </is>
      </c>
      <c r="T332" t="inlineStr"/>
    </row>
    <row r="333">
      <c r="A333" t="inlineStr">
        <is>
          <t>best rice brand in uae</t>
        </is>
      </c>
      <c r="B333" t="inlineStr">
        <is>
          <t>Phase 2 - B2C (later)</t>
        </is>
      </c>
      <c r="C333" t="inlineStr">
        <is>
          <t>Consumer / household</t>
        </is>
      </c>
      <c r="D333" t="inlineStr">
        <is>
          <t>Shop (B2C)</t>
        </is>
      </c>
      <c r="E333" t="inlineStr">
        <is>
          <t>Secondary (long-tail)</t>
        </is>
      </c>
      <c r="F333" t="inlineStr">
        <is>
          <t>H3 / body paragraph / table row / image alt</t>
        </is>
      </c>
      <c r="G333" t="inlineStr">
        <is>
          <t>Retail/B2C</t>
        </is>
      </c>
      <c r="H333" t="inlineStr">
        <is>
          <t>Retail</t>
        </is>
      </c>
      <c r="I333" t="inlineStr">
        <is>
          <t>Transactional</t>
        </is>
      </c>
      <c r="J333" t="inlineStr">
        <is>
          <t>BOFU</t>
        </is>
      </c>
      <c r="K333" t="inlineStr">
        <is>
          <t>UAE</t>
        </is>
      </c>
      <c r="L333" t="inlineStr">
        <is>
          <t>Category</t>
        </is>
      </c>
      <c r="M333">
        <f>IFERROR(VLOOKUP($A333,'Semrush Import'!$A:$D,2,FALSE),"")</f>
        <v/>
      </c>
      <c r="N333">
        <f>IFERROR(VLOOKUP($A333,'Semrush Import'!$A:$D,3,FALSE),"")</f>
        <v/>
      </c>
      <c r="O333">
        <f>IFERROR(VLOOKUP($A333,'Semrush Import'!$A:$D,4,FALSE),"")</f>
        <v/>
      </c>
      <c r="P333">
        <f>IFERROR(VLOOKUP($A333,'KP Import'!$A:$B,2,FALSE),"")</f>
        <v/>
      </c>
      <c r="Q333">
        <f>IF(M333="","",ROUND(M333/(N333+10),1))</f>
        <v/>
      </c>
      <c r="R333">
        <f>IF(Q333="","",IF(Q333&gt;=20,"A - Go first",IF(Q333&gt;=5,"B - Next","C - Later")))</f>
        <v/>
      </c>
      <c r="S333" t="inlineStr">
        <is>
          <t>To do</t>
        </is>
      </c>
      <c r="T333" t="inlineStr"/>
    </row>
    <row r="334">
      <c r="A334" t="inlineStr">
        <is>
          <t>best rice for biryani in dubai</t>
        </is>
      </c>
      <c r="B334" t="inlineStr">
        <is>
          <t>Phase 2 - B2C (later)</t>
        </is>
      </c>
      <c r="C334" t="inlineStr">
        <is>
          <t>Consumer / household</t>
        </is>
      </c>
      <c r="D334" t="inlineStr">
        <is>
          <t>Biryani &amp; Kabsa Rice (B2C)</t>
        </is>
      </c>
      <c r="E334" t="inlineStr">
        <is>
          <t>Secondary (long-tail)</t>
        </is>
      </c>
      <c r="F334" t="inlineStr">
        <is>
          <t>H3 / body paragraph / table row / image alt</t>
        </is>
      </c>
      <c r="G334" t="inlineStr">
        <is>
          <t>Retail/B2C</t>
        </is>
      </c>
      <c r="H334" t="inlineStr">
        <is>
          <t>Retail</t>
        </is>
      </c>
      <c r="I334" t="inlineStr">
        <is>
          <t>Transactional</t>
        </is>
      </c>
      <c r="J334" t="inlineStr">
        <is>
          <t>BOFU</t>
        </is>
      </c>
      <c r="K334" t="inlineStr">
        <is>
          <t>Dubai</t>
        </is>
      </c>
      <c r="L334" t="inlineStr">
        <is>
          <t>Category</t>
        </is>
      </c>
      <c r="M334">
        <f>IFERROR(VLOOKUP($A334,'Semrush Import'!$A:$D,2,FALSE),"")</f>
        <v/>
      </c>
      <c r="N334">
        <f>IFERROR(VLOOKUP($A334,'Semrush Import'!$A:$D,3,FALSE),"")</f>
        <v/>
      </c>
      <c r="O334">
        <f>IFERROR(VLOOKUP($A334,'Semrush Import'!$A:$D,4,FALSE),"")</f>
        <v/>
      </c>
      <c r="P334">
        <f>IFERROR(VLOOKUP($A334,'KP Import'!$A:$B,2,FALSE),"")</f>
        <v/>
      </c>
      <c r="Q334">
        <f>IF(M334="","",ROUND(M334/(N334+10),1))</f>
        <v/>
      </c>
      <c r="R334">
        <f>IF(Q334="","",IF(Q334&gt;=20,"A - Go first",IF(Q334&gt;=5,"B - Next","C - Later")))</f>
        <v/>
      </c>
      <c r="S334" t="inlineStr">
        <is>
          <t>To do</t>
        </is>
      </c>
      <c r="T334" t="inlineStr"/>
    </row>
    <row r="335">
      <c r="A335" t="inlineStr">
        <is>
          <t>cheap rice dubai</t>
        </is>
      </c>
      <c r="B335" t="inlineStr">
        <is>
          <t>Phase 2 - B2C (later)</t>
        </is>
      </c>
      <c r="C335" t="inlineStr">
        <is>
          <t>Consumer / household</t>
        </is>
      </c>
      <c r="D335" t="inlineStr">
        <is>
          <t>Shop (B2C)</t>
        </is>
      </c>
      <c r="E335" t="inlineStr">
        <is>
          <t>Secondary (short)</t>
        </is>
      </c>
      <c r="F335" t="inlineStr">
        <is>
          <t>H2 heading + 1st paragraph under it</t>
        </is>
      </c>
      <c r="G335" t="inlineStr">
        <is>
          <t>Retail/B2C</t>
        </is>
      </c>
      <c r="H335" t="inlineStr">
        <is>
          <t>Retail</t>
        </is>
      </c>
      <c r="I335" t="inlineStr">
        <is>
          <t>Transactional</t>
        </is>
      </c>
      <c r="J335" t="inlineStr">
        <is>
          <t>BOFU</t>
        </is>
      </c>
      <c r="K335" t="inlineStr">
        <is>
          <t>Dubai</t>
        </is>
      </c>
      <c r="L335" t="inlineStr">
        <is>
          <t>Category</t>
        </is>
      </c>
      <c r="M335">
        <f>IFERROR(VLOOKUP($A335,'Semrush Import'!$A:$D,2,FALSE),"")</f>
        <v/>
      </c>
      <c r="N335">
        <f>IFERROR(VLOOKUP($A335,'Semrush Import'!$A:$D,3,FALSE),"")</f>
        <v/>
      </c>
      <c r="O335">
        <f>IFERROR(VLOOKUP($A335,'Semrush Import'!$A:$D,4,FALSE),"")</f>
        <v/>
      </c>
      <c r="P335">
        <f>IFERROR(VLOOKUP($A335,'KP Import'!$A:$B,2,FALSE),"")</f>
        <v/>
      </c>
      <c r="Q335">
        <f>IF(M335="","",ROUND(M335/(N335+10),1))</f>
        <v/>
      </c>
      <c r="R335">
        <f>IF(Q335="","",IF(Q335&gt;=20,"A - Go first",IF(Q335&gt;=5,"B - Next","C - Later")))</f>
        <v/>
      </c>
      <c r="S335" t="inlineStr">
        <is>
          <t>To do</t>
        </is>
      </c>
      <c r="T335" t="inlineStr"/>
    </row>
    <row r="336">
      <c r="A336" t="inlineStr">
        <is>
          <t>rice offers uae</t>
        </is>
      </c>
      <c r="B336" t="inlineStr">
        <is>
          <t>Phase 2 - B2C (later)</t>
        </is>
      </c>
      <c r="C336" t="inlineStr">
        <is>
          <t>Consumer / household</t>
        </is>
      </c>
      <c r="D336" t="inlineStr">
        <is>
          <t>Shop (B2C)</t>
        </is>
      </c>
      <c r="E336" t="inlineStr">
        <is>
          <t>Secondary (short)</t>
        </is>
      </c>
      <c r="F336" t="inlineStr">
        <is>
          <t>H2 heading + 1st paragraph under it</t>
        </is>
      </c>
      <c r="G336" t="inlineStr">
        <is>
          <t>Retail/B2C</t>
        </is>
      </c>
      <c r="H336" t="inlineStr">
        <is>
          <t>Retail</t>
        </is>
      </c>
      <c r="I336" t="inlineStr">
        <is>
          <t>Transactional</t>
        </is>
      </c>
      <c r="J336" t="inlineStr">
        <is>
          <t>BOFU</t>
        </is>
      </c>
      <c r="K336" t="inlineStr">
        <is>
          <t>UAE</t>
        </is>
      </c>
      <c r="L336" t="inlineStr">
        <is>
          <t>Category</t>
        </is>
      </c>
      <c r="M336">
        <f>IFERROR(VLOOKUP($A336,'Semrush Import'!$A:$D,2,FALSE),"")</f>
        <v/>
      </c>
      <c r="N336">
        <f>IFERROR(VLOOKUP($A336,'Semrush Import'!$A:$D,3,FALSE),"")</f>
        <v/>
      </c>
      <c r="O336">
        <f>IFERROR(VLOOKUP($A336,'Semrush Import'!$A:$D,4,FALSE),"")</f>
        <v/>
      </c>
      <c r="P336">
        <f>IFERROR(VLOOKUP($A336,'KP Import'!$A:$B,2,FALSE),"")</f>
        <v/>
      </c>
      <c r="Q336">
        <f>IF(M336="","",ROUND(M336/(N336+10),1))</f>
        <v/>
      </c>
      <c r="R336">
        <f>IF(Q336="","",IF(Q336&gt;=20,"A - Go first",IF(Q336&gt;=5,"B - Next","C - Later")))</f>
        <v/>
      </c>
      <c r="S336" t="inlineStr">
        <is>
          <t>To do</t>
        </is>
      </c>
      <c r="T336" t="inlineStr"/>
    </row>
    <row r="337">
      <c r="A337" t="inlineStr">
        <is>
          <t>rice sale dubai</t>
        </is>
      </c>
      <c r="B337" t="inlineStr">
        <is>
          <t>Phase 2 - B2C (later)</t>
        </is>
      </c>
      <c r="C337" t="inlineStr">
        <is>
          <t>Consumer / household</t>
        </is>
      </c>
      <c r="D337" t="inlineStr">
        <is>
          <t>Shop (B2C)</t>
        </is>
      </c>
      <c r="E337" t="inlineStr">
        <is>
          <t>Secondary (short)</t>
        </is>
      </c>
      <c r="F337" t="inlineStr">
        <is>
          <t>H2 heading + 1st paragraph under it</t>
        </is>
      </c>
      <c r="G337" t="inlineStr">
        <is>
          <t>Retail/B2C</t>
        </is>
      </c>
      <c r="H337" t="inlineStr">
        <is>
          <t>Retail</t>
        </is>
      </c>
      <c r="I337" t="inlineStr">
        <is>
          <t>Transactional</t>
        </is>
      </c>
      <c r="J337" t="inlineStr">
        <is>
          <t>BOFU</t>
        </is>
      </c>
      <c r="K337" t="inlineStr">
        <is>
          <t>Dubai</t>
        </is>
      </c>
      <c r="L337" t="inlineStr">
        <is>
          <t>Category</t>
        </is>
      </c>
      <c r="M337">
        <f>IFERROR(VLOOKUP($A337,'Semrush Import'!$A:$D,2,FALSE),"")</f>
        <v/>
      </c>
      <c r="N337">
        <f>IFERROR(VLOOKUP($A337,'Semrush Import'!$A:$D,3,FALSE),"")</f>
        <v/>
      </c>
      <c r="O337">
        <f>IFERROR(VLOOKUP($A337,'Semrush Import'!$A:$D,4,FALSE),"")</f>
        <v/>
      </c>
      <c r="P337">
        <f>IFERROR(VLOOKUP($A337,'KP Import'!$A:$B,2,FALSE),"")</f>
        <v/>
      </c>
      <c r="Q337">
        <f>IF(M337="","",ROUND(M337/(N337+10),1))</f>
        <v/>
      </c>
      <c r="R337">
        <f>IF(Q337="","",IF(Q337&gt;=20,"A - Go first",IF(Q337&gt;=5,"B - Next","C - Later")))</f>
        <v/>
      </c>
      <c r="S337" t="inlineStr">
        <is>
          <t>To do</t>
        </is>
      </c>
      <c r="T337" t="inlineStr"/>
    </row>
    <row r="338">
      <c r="A338" t="inlineStr">
        <is>
          <t>rice discount uae</t>
        </is>
      </c>
      <c r="B338" t="inlineStr">
        <is>
          <t>Phase 2 - B2C (later)</t>
        </is>
      </c>
      <c r="C338" t="inlineStr">
        <is>
          <t>Consumer / household</t>
        </is>
      </c>
      <c r="D338" t="inlineStr">
        <is>
          <t>Shop (B2C)</t>
        </is>
      </c>
      <c r="E338" t="inlineStr">
        <is>
          <t>Secondary (short)</t>
        </is>
      </c>
      <c r="F338" t="inlineStr">
        <is>
          <t>H2 heading + 1st paragraph under it</t>
        </is>
      </c>
      <c r="G338" t="inlineStr">
        <is>
          <t>Retail/B2C</t>
        </is>
      </c>
      <c r="H338" t="inlineStr">
        <is>
          <t>Retail</t>
        </is>
      </c>
      <c r="I338" t="inlineStr">
        <is>
          <t>Transactional</t>
        </is>
      </c>
      <c r="J338" t="inlineStr">
        <is>
          <t>BOFU</t>
        </is>
      </c>
      <c r="K338" t="inlineStr">
        <is>
          <t>UAE</t>
        </is>
      </c>
      <c r="L338" t="inlineStr">
        <is>
          <t>Category</t>
        </is>
      </c>
      <c r="M338">
        <f>IFERROR(VLOOKUP($A338,'Semrush Import'!$A:$D,2,FALSE),"")</f>
        <v/>
      </c>
      <c r="N338">
        <f>IFERROR(VLOOKUP($A338,'Semrush Import'!$A:$D,3,FALSE),"")</f>
        <v/>
      </c>
      <c r="O338">
        <f>IFERROR(VLOOKUP($A338,'Semrush Import'!$A:$D,4,FALSE),"")</f>
        <v/>
      </c>
      <c r="P338">
        <f>IFERROR(VLOOKUP($A338,'KP Import'!$A:$B,2,FALSE),"")</f>
        <v/>
      </c>
      <c r="Q338">
        <f>IF(M338="","",ROUND(M338/(N338+10),1))</f>
        <v/>
      </c>
      <c r="R338">
        <f>IF(Q338="","",IF(Q338&gt;=20,"A - Go first",IF(Q338&gt;=5,"B - Next","C - Later")))</f>
        <v/>
      </c>
      <c r="S338" t="inlineStr">
        <is>
          <t>To do</t>
        </is>
      </c>
      <c r="T338" t="inlineStr"/>
    </row>
    <row r="339">
      <c r="A339" t="inlineStr">
        <is>
          <t>rice price today dubai</t>
        </is>
      </c>
      <c r="B339" t="inlineStr">
        <is>
          <t>Phase 2 - B2C (later)</t>
        </is>
      </c>
      <c r="C339" t="inlineStr">
        <is>
          <t>Consumer / household</t>
        </is>
      </c>
      <c r="D339" t="inlineStr">
        <is>
          <t>Shop (B2C)</t>
        </is>
      </c>
      <c r="E339" t="inlineStr">
        <is>
          <t>Secondary (long-tail)</t>
        </is>
      </c>
      <c r="F339" t="inlineStr">
        <is>
          <t>H3 / body paragraph / table row / image alt</t>
        </is>
      </c>
      <c r="G339" t="inlineStr">
        <is>
          <t>Retail/B2C</t>
        </is>
      </c>
      <c r="H339" t="inlineStr">
        <is>
          <t>Retail</t>
        </is>
      </c>
      <c r="I339" t="inlineStr">
        <is>
          <t>Transactional</t>
        </is>
      </c>
      <c r="J339" t="inlineStr">
        <is>
          <t>BOFU</t>
        </is>
      </c>
      <c r="K339" t="inlineStr">
        <is>
          <t>Dubai</t>
        </is>
      </c>
      <c r="L339" t="inlineStr">
        <is>
          <t>Category</t>
        </is>
      </c>
      <c r="M339">
        <f>IFERROR(VLOOKUP($A339,'Semrush Import'!$A:$D,2,FALSE),"")</f>
        <v/>
      </c>
      <c r="N339">
        <f>IFERROR(VLOOKUP($A339,'Semrush Import'!$A:$D,3,FALSE),"")</f>
        <v/>
      </c>
      <c r="O339">
        <f>IFERROR(VLOOKUP($A339,'Semrush Import'!$A:$D,4,FALSE),"")</f>
        <v/>
      </c>
      <c r="P339">
        <f>IFERROR(VLOOKUP($A339,'KP Import'!$A:$B,2,FALSE),"")</f>
        <v/>
      </c>
      <c r="Q339">
        <f>IF(M339="","",ROUND(M339/(N339+10),1))</f>
        <v/>
      </c>
      <c r="R339">
        <f>IF(Q339="","",IF(Q339&gt;=20,"A - Go first",IF(Q339&gt;=5,"B - Next","C - Later")))</f>
        <v/>
      </c>
      <c r="S339" t="inlineStr">
        <is>
          <t>To do</t>
        </is>
      </c>
      <c r="T339" t="inlineStr"/>
    </row>
    <row r="340">
      <c r="A340" t="inlineStr">
        <is>
          <t>rice price list uae</t>
        </is>
      </c>
      <c r="B340" t="inlineStr">
        <is>
          <t>Phase 2 - B2C (later)</t>
        </is>
      </c>
      <c r="C340" t="inlineStr">
        <is>
          <t>Consumer / household</t>
        </is>
      </c>
      <c r="D340" t="inlineStr">
        <is>
          <t>Shop (B2C)</t>
        </is>
      </c>
      <c r="E340" t="inlineStr">
        <is>
          <t>Secondary (long-tail)</t>
        </is>
      </c>
      <c r="F340" t="inlineStr">
        <is>
          <t>H3 / body paragraph / table row / image alt</t>
        </is>
      </c>
      <c r="G340" t="inlineStr">
        <is>
          <t>Retail/B2C</t>
        </is>
      </c>
      <c r="H340" t="inlineStr">
        <is>
          <t>Retail</t>
        </is>
      </c>
      <c r="I340" t="inlineStr">
        <is>
          <t>Transactional</t>
        </is>
      </c>
      <c r="J340" t="inlineStr">
        <is>
          <t>BOFU</t>
        </is>
      </c>
      <c r="K340" t="inlineStr">
        <is>
          <t>UAE</t>
        </is>
      </c>
      <c r="L340" t="inlineStr">
        <is>
          <t>Category</t>
        </is>
      </c>
      <c r="M340">
        <f>IFERROR(VLOOKUP($A340,'Semrush Import'!$A:$D,2,FALSE),"")</f>
        <v/>
      </c>
      <c r="N340">
        <f>IFERROR(VLOOKUP($A340,'Semrush Import'!$A:$D,3,FALSE),"")</f>
        <v/>
      </c>
      <c r="O340">
        <f>IFERROR(VLOOKUP($A340,'Semrush Import'!$A:$D,4,FALSE),"")</f>
        <v/>
      </c>
      <c r="P340">
        <f>IFERROR(VLOOKUP($A340,'KP Import'!$A:$B,2,FALSE),"")</f>
        <v/>
      </c>
      <c r="Q340">
        <f>IF(M340="","",ROUND(M340/(N340+10),1))</f>
        <v/>
      </c>
      <c r="R340">
        <f>IF(Q340="","",IF(Q340&gt;=20,"A - Go first",IF(Q340&gt;=5,"B - Next","C - Later")))</f>
        <v/>
      </c>
      <c r="S340" t="inlineStr">
        <is>
          <t>To do</t>
        </is>
      </c>
      <c r="T340" t="inlineStr"/>
    </row>
    <row r="341">
      <c r="A341" t="inlineStr">
        <is>
          <t>rice shop dubai</t>
        </is>
      </c>
      <c r="B341" t="inlineStr">
        <is>
          <t>Phase 2 - B2C (later)</t>
        </is>
      </c>
      <c r="C341" t="inlineStr">
        <is>
          <t>Consumer / household</t>
        </is>
      </c>
      <c r="D341" t="inlineStr">
        <is>
          <t>Shop (B2C)</t>
        </is>
      </c>
      <c r="E341" t="inlineStr">
        <is>
          <t>Secondary (short)</t>
        </is>
      </c>
      <c r="F341" t="inlineStr">
        <is>
          <t>H2 heading + 1st paragraph under it</t>
        </is>
      </c>
      <c r="G341" t="inlineStr">
        <is>
          <t>Retail/B2C</t>
        </is>
      </c>
      <c r="H341" t="inlineStr">
        <is>
          <t>Retail</t>
        </is>
      </c>
      <c r="I341" t="inlineStr">
        <is>
          <t>Transactional</t>
        </is>
      </c>
      <c r="J341" t="inlineStr">
        <is>
          <t>BOFU</t>
        </is>
      </c>
      <c r="K341" t="inlineStr">
        <is>
          <t>Dubai</t>
        </is>
      </c>
      <c r="L341" t="inlineStr">
        <is>
          <t>Category</t>
        </is>
      </c>
      <c r="M341">
        <f>IFERROR(VLOOKUP($A341,'Semrush Import'!$A:$D,2,FALSE),"")</f>
        <v/>
      </c>
      <c r="N341">
        <f>IFERROR(VLOOKUP($A341,'Semrush Import'!$A:$D,3,FALSE),"")</f>
        <v/>
      </c>
      <c r="O341">
        <f>IFERROR(VLOOKUP($A341,'Semrush Import'!$A:$D,4,FALSE),"")</f>
        <v/>
      </c>
      <c r="P341">
        <f>IFERROR(VLOOKUP($A341,'KP Import'!$A:$B,2,FALSE),"")</f>
        <v/>
      </c>
      <c r="Q341">
        <f>IF(M341="","",ROUND(M341/(N341+10),1))</f>
        <v/>
      </c>
      <c r="R341">
        <f>IF(Q341="","",IF(Q341&gt;=20,"A - Go first",IF(Q341&gt;=5,"B - Next","C - Later")))</f>
        <v/>
      </c>
      <c r="S341" t="inlineStr">
        <is>
          <t>To do</t>
        </is>
      </c>
      <c r="T341" t="inlineStr"/>
    </row>
    <row r="342">
      <c r="A342" t="inlineStr">
        <is>
          <t>rice shop near me</t>
        </is>
      </c>
      <c r="B342" t="inlineStr">
        <is>
          <t>Phase 2 - B2C (later)</t>
        </is>
      </c>
      <c r="C342" t="inlineStr">
        <is>
          <t>Consumer / household</t>
        </is>
      </c>
      <c r="D342" t="inlineStr">
        <is>
          <t>Delivery page (B2C)</t>
        </is>
      </c>
      <c r="E342" t="inlineStr">
        <is>
          <t>Secondary (long-tail)</t>
        </is>
      </c>
      <c r="F342" t="inlineStr">
        <is>
          <t>H3 / body paragraph / table row / image alt</t>
        </is>
      </c>
      <c r="G342" t="inlineStr">
        <is>
          <t>Retail/B2C</t>
        </is>
      </c>
      <c r="H342" t="inlineStr">
        <is>
          <t>Retail</t>
        </is>
      </c>
      <c r="I342" t="inlineStr">
        <is>
          <t>Transactional</t>
        </is>
      </c>
      <c r="J342" t="inlineStr">
        <is>
          <t>BOFU</t>
        </is>
      </c>
      <c r="K342" t="inlineStr">
        <is>
          <t>UAE</t>
        </is>
      </c>
      <c r="L342" t="inlineStr">
        <is>
          <t>Category</t>
        </is>
      </c>
      <c r="M342">
        <f>IFERROR(VLOOKUP($A342,'Semrush Import'!$A:$D,2,FALSE),"")</f>
        <v/>
      </c>
      <c r="N342">
        <f>IFERROR(VLOOKUP($A342,'Semrush Import'!$A:$D,3,FALSE),"")</f>
        <v/>
      </c>
      <c r="O342">
        <f>IFERROR(VLOOKUP($A342,'Semrush Import'!$A:$D,4,FALSE),"")</f>
        <v/>
      </c>
      <c r="P342">
        <f>IFERROR(VLOOKUP($A342,'KP Import'!$A:$B,2,FALSE),"")</f>
        <v/>
      </c>
      <c r="Q342">
        <f>IF(M342="","",ROUND(M342/(N342+10),1))</f>
        <v/>
      </c>
      <c r="R342">
        <f>IF(Q342="","",IF(Q342&gt;=20,"A - Go first",IF(Q342&gt;=5,"B - Next","C - Later")))</f>
        <v/>
      </c>
      <c r="S342" t="inlineStr">
        <is>
          <t>To do</t>
        </is>
      </c>
      <c r="T342" t="inlineStr"/>
    </row>
    <row r="343">
      <c r="A343" t="inlineStr">
        <is>
          <t>same day rice delivery dubai</t>
        </is>
      </c>
      <c r="B343" t="inlineStr">
        <is>
          <t>Phase 2 - B2C (later)</t>
        </is>
      </c>
      <c r="C343" t="inlineStr">
        <is>
          <t>Consumer / household</t>
        </is>
      </c>
      <c r="D343" t="inlineStr">
        <is>
          <t>Delivery page (B2C)</t>
        </is>
      </c>
      <c r="E343" t="inlineStr">
        <is>
          <t>Secondary (long-tail)</t>
        </is>
      </c>
      <c r="F343" t="inlineStr">
        <is>
          <t>H3 / body paragraph / table row / image alt</t>
        </is>
      </c>
      <c r="G343" t="inlineStr">
        <is>
          <t>Retail/B2C</t>
        </is>
      </c>
      <c r="H343" t="inlineStr">
        <is>
          <t>Retail</t>
        </is>
      </c>
      <c r="I343" t="inlineStr">
        <is>
          <t>Transactional</t>
        </is>
      </c>
      <c r="J343" t="inlineStr">
        <is>
          <t>BOFU</t>
        </is>
      </c>
      <c r="K343" t="inlineStr">
        <is>
          <t>Dubai</t>
        </is>
      </c>
      <c r="L343" t="inlineStr">
        <is>
          <t>Category</t>
        </is>
      </c>
      <c r="M343">
        <f>IFERROR(VLOOKUP($A343,'Semrush Import'!$A:$D,2,FALSE),"")</f>
        <v/>
      </c>
      <c r="N343">
        <f>IFERROR(VLOOKUP($A343,'Semrush Import'!$A:$D,3,FALSE),"")</f>
        <v/>
      </c>
      <c r="O343">
        <f>IFERROR(VLOOKUP($A343,'Semrush Import'!$A:$D,4,FALSE),"")</f>
        <v/>
      </c>
      <c r="P343">
        <f>IFERROR(VLOOKUP($A343,'KP Import'!$A:$B,2,FALSE),"")</f>
        <v/>
      </c>
      <c r="Q343">
        <f>IF(M343="","",ROUND(M343/(N343+10),1))</f>
        <v/>
      </c>
      <c r="R343">
        <f>IF(Q343="","",IF(Q343&gt;=20,"A - Go first",IF(Q343&gt;=5,"B - Next","C - Later")))</f>
        <v/>
      </c>
      <c r="S343" t="inlineStr">
        <is>
          <t>To do</t>
        </is>
      </c>
      <c r="T343" t="inlineStr"/>
    </row>
    <row r="344">
      <c r="A344" t="inlineStr">
        <is>
          <t>cash on delivery rice uae</t>
        </is>
      </c>
      <c r="B344" t="inlineStr">
        <is>
          <t>Phase 2 - B2C (later)</t>
        </is>
      </c>
      <c r="C344" t="inlineStr">
        <is>
          <t>Consumer / household</t>
        </is>
      </c>
      <c r="D344" t="inlineStr">
        <is>
          <t>Delivery page (B2C)</t>
        </is>
      </c>
      <c r="E344" t="inlineStr">
        <is>
          <t>Secondary (long-tail)</t>
        </is>
      </c>
      <c r="F344" t="inlineStr">
        <is>
          <t>H3 / body paragraph / table row / image alt</t>
        </is>
      </c>
      <c r="G344" t="inlineStr">
        <is>
          <t>Retail/B2C</t>
        </is>
      </c>
      <c r="H344" t="inlineStr">
        <is>
          <t>Retail</t>
        </is>
      </c>
      <c r="I344" t="inlineStr">
        <is>
          <t>Transactional</t>
        </is>
      </c>
      <c r="J344" t="inlineStr">
        <is>
          <t>BOFU</t>
        </is>
      </c>
      <c r="K344" t="inlineStr">
        <is>
          <t>UAE</t>
        </is>
      </c>
      <c r="L344" t="inlineStr">
        <is>
          <t>Category</t>
        </is>
      </c>
      <c r="M344">
        <f>IFERROR(VLOOKUP($A344,'Semrush Import'!$A:$D,2,FALSE),"")</f>
        <v/>
      </c>
      <c r="N344">
        <f>IFERROR(VLOOKUP($A344,'Semrush Import'!$A:$D,3,FALSE),"")</f>
        <v/>
      </c>
      <c r="O344">
        <f>IFERROR(VLOOKUP($A344,'Semrush Import'!$A:$D,4,FALSE),"")</f>
        <v/>
      </c>
      <c r="P344">
        <f>IFERROR(VLOOKUP($A344,'KP Import'!$A:$B,2,FALSE),"")</f>
        <v/>
      </c>
      <c r="Q344">
        <f>IF(M344="","",ROUND(M344/(N344+10),1))</f>
        <v/>
      </c>
      <c r="R344">
        <f>IF(Q344="","",IF(Q344&gt;=20,"A - Go first",IF(Q344&gt;=5,"B - Next","C - Later")))</f>
        <v/>
      </c>
      <c r="S344" t="inlineStr">
        <is>
          <t>To do</t>
        </is>
      </c>
      <c r="T344" t="inlineStr"/>
    </row>
    <row r="345">
      <c r="A345" t="inlineStr">
        <is>
          <t>rice subscription uae</t>
        </is>
      </c>
      <c r="B345" t="inlineStr">
        <is>
          <t>Phase 2 - B2C (later)</t>
        </is>
      </c>
      <c r="C345" t="inlineStr">
        <is>
          <t>Consumer / household</t>
        </is>
      </c>
      <c r="D345" t="inlineStr">
        <is>
          <t>Shop (B2C)</t>
        </is>
      </c>
      <c r="E345" t="inlineStr">
        <is>
          <t>Secondary (short)</t>
        </is>
      </c>
      <c r="F345" t="inlineStr">
        <is>
          <t>H2 heading + 1st paragraph under it</t>
        </is>
      </c>
      <c r="G345" t="inlineStr">
        <is>
          <t>Retail/B2C</t>
        </is>
      </c>
      <c r="H345" t="inlineStr">
        <is>
          <t>Retail</t>
        </is>
      </c>
      <c r="I345" t="inlineStr">
        <is>
          <t>Transactional</t>
        </is>
      </c>
      <c r="J345" t="inlineStr">
        <is>
          <t>BOFU</t>
        </is>
      </c>
      <c r="K345" t="inlineStr">
        <is>
          <t>UAE</t>
        </is>
      </c>
      <c r="L345" t="inlineStr">
        <is>
          <t>Category</t>
        </is>
      </c>
      <c r="M345">
        <f>IFERROR(VLOOKUP($A345,'Semrush Import'!$A:$D,2,FALSE),"")</f>
        <v/>
      </c>
      <c r="N345">
        <f>IFERROR(VLOOKUP($A345,'Semrush Import'!$A:$D,3,FALSE),"")</f>
        <v/>
      </c>
      <c r="O345">
        <f>IFERROR(VLOOKUP($A345,'Semrush Import'!$A:$D,4,FALSE),"")</f>
        <v/>
      </c>
      <c r="P345">
        <f>IFERROR(VLOOKUP($A345,'KP Import'!$A:$B,2,FALSE),"")</f>
        <v/>
      </c>
      <c r="Q345">
        <f>IF(M345="","",ROUND(M345/(N345+10),1))</f>
        <v/>
      </c>
      <c r="R345">
        <f>IF(Q345="","",IF(Q345&gt;=20,"A - Go first",IF(Q345&gt;=5,"B - Next","C - Later")))</f>
        <v/>
      </c>
      <c r="S345" t="inlineStr">
        <is>
          <t>To do</t>
        </is>
      </c>
      <c r="T345" t="inlineStr"/>
    </row>
    <row r="346">
      <c r="A346" t="inlineStr">
        <is>
          <t>monthly grocery rice dubai</t>
        </is>
      </c>
      <c r="B346" t="inlineStr">
        <is>
          <t>Phase 2 - B2C (later)</t>
        </is>
      </c>
      <c r="C346" t="inlineStr">
        <is>
          <t>Consumer / household</t>
        </is>
      </c>
      <c r="D346" t="inlineStr">
        <is>
          <t>Shop (B2C)</t>
        </is>
      </c>
      <c r="E346" t="inlineStr">
        <is>
          <t>Secondary (long-tail)</t>
        </is>
      </c>
      <c r="F346" t="inlineStr">
        <is>
          <t>H3 / body paragraph / table row / image alt</t>
        </is>
      </c>
      <c r="G346" t="inlineStr">
        <is>
          <t>Retail/B2C</t>
        </is>
      </c>
      <c r="H346" t="inlineStr">
        <is>
          <t>Retail</t>
        </is>
      </c>
      <c r="I346" t="inlineStr">
        <is>
          <t>Transactional</t>
        </is>
      </c>
      <c r="J346" t="inlineStr">
        <is>
          <t>BOFU</t>
        </is>
      </c>
      <c r="K346" t="inlineStr">
        <is>
          <t>Dubai</t>
        </is>
      </c>
      <c r="L346" t="inlineStr">
        <is>
          <t>Category</t>
        </is>
      </c>
      <c r="M346">
        <f>IFERROR(VLOOKUP($A346,'Semrush Import'!$A:$D,2,FALSE),"")</f>
        <v/>
      </c>
      <c r="N346">
        <f>IFERROR(VLOOKUP($A346,'Semrush Import'!$A:$D,3,FALSE),"")</f>
        <v/>
      </c>
      <c r="O346">
        <f>IFERROR(VLOOKUP($A346,'Semrush Import'!$A:$D,4,FALSE),"")</f>
        <v/>
      </c>
      <c r="P346">
        <f>IFERROR(VLOOKUP($A346,'KP Import'!$A:$B,2,FALSE),"")</f>
        <v/>
      </c>
      <c r="Q346">
        <f>IF(M346="","",ROUND(M346/(N346+10),1))</f>
        <v/>
      </c>
      <c r="R346">
        <f>IF(Q346="","",IF(Q346&gt;=20,"A - Go first",IF(Q346&gt;=5,"B - Next","C - Later")))</f>
        <v/>
      </c>
      <c r="S346" t="inlineStr">
        <is>
          <t>To do</t>
        </is>
      </c>
      <c r="T346" t="inlineStr"/>
    </row>
    <row r="347">
      <c r="A347" t="inlineStr">
        <is>
          <t>rice cod dubai</t>
        </is>
      </c>
      <c r="B347" t="inlineStr">
        <is>
          <t>Phase 2 - B2C (later)</t>
        </is>
      </c>
      <c r="C347" t="inlineStr">
        <is>
          <t>Consumer / household</t>
        </is>
      </c>
      <c r="D347" t="inlineStr">
        <is>
          <t>Shop (B2C)</t>
        </is>
      </c>
      <c r="E347" t="inlineStr">
        <is>
          <t>Secondary (short)</t>
        </is>
      </c>
      <c r="F347" t="inlineStr">
        <is>
          <t>H2 heading + 1st paragraph under it</t>
        </is>
      </c>
      <c r="G347" t="inlineStr">
        <is>
          <t>Retail/B2C</t>
        </is>
      </c>
      <c r="H347" t="inlineStr">
        <is>
          <t>Retail</t>
        </is>
      </c>
      <c r="I347" t="inlineStr">
        <is>
          <t>Transactional</t>
        </is>
      </c>
      <c r="J347" t="inlineStr">
        <is>
          <t>BOFU</t>
        </is>
      </c>
      <c r="K347" t="inlineStr">
        <is>
          <t>Dubai</t>
        </is>
      </c>
      <c r="L347" t="inlineStr">
        <is>
          <t>Category</t>
        </is>
      </c>
      <c r="M347">
        <f>IFERROR(VLOOKUP($A347,'Semrush Import'!$A:$D,2,FALSE),"")</f>
        <v/>
      </c>
      <c r="N347">
        <f>IFERROR(VLOOKUP($A347,'Semrush Import'!$A:$D,3,FALSE),"")</f>
        <v/>
      </c>
      <c r="O347">
        <f>IFERROR(VLOOKUP($A347,'Semrush Import'!$A:$D,4,FALSE),"")</f>
        <v/>
      </c>
      <c r="P347">
        <f>IFERROR(VLOOKUP($A347,'KP Import'!$A:$B,2,FALSE),"")</f>
        <v/>
      </c>
      <c r="Q347">
        <f>IF(M347="","",ROUND(M347/(N347+10),1))</f>
        <v/>
      </c>
      <c r="R347">
        <f>IF(Q347="","",IF(Q347&gt;=20,"A - Go first",IF(Q347&gt;=5,"B - Next","C - Later")))</f>
        <v/>
      </c>
      <c r="S347" t="inlineStr">
        <is>
          <t>To do</t>
        </is>
      </c>
      <c r="T347" t="inlineStr"/>
    </row>
    <row r="348">
      <c r="A348" t="inlineStr">
        <is>
          <t>rice online shopping uae</t>
        </is>
      </c>
      <c r="B348" t="inlineStr">
        <is>
          <t>Phase 2 - B2C (later)</t>
        </is>
      </c>
      <c r="C348" t="inlineStr">
        <is>
          <t>Consumer / household</t>
        </is>
      </c>
      <c r="D348" t="inlineStr">
        <is>
          <t>Shop (B2C)</t>
        </is>
      </c>
      <c r="E348" t="inlineStr">
        <is>
          <t>Secondary (long-tail)</t>
        </is>
      </c>
      <c r="F348" t="inlineStr">
        <is>
          <t>H3 / body paragraph / table row / image alt</t>
        </is>
      </c>
      <c r="G348" t="inlineStr">
        <is>
          <t>Retail/B2C</t>
        </is>
      </c>
      <c r="H348" t="inlineStr">
        <is>
          <t>Retail</t>
        </is>
      </c>
      <c r="I348" t="inlineStr">
        <is>
          <t>Transactional</t>
        </is>
      </c>
      <c r="J348" t="inlineStr">
        <is>
          <t>BOFU</t>
        </is>
      </c>
      <c r="K348" t="inlineStr">
        <is>
          <t>UAE</t>
        </is>
      </c>
      <c r="L348" t="inlineStr">
        <is>
          <t>Category</t>
        </is>
      </c>
      <c r="M348">
        <f>IFERROR(VLOOKUP($A348,'Semrush Import'!$A:$D,2,FALSE),"")</f>
        <v/>
      </c>
      <c r="N348">
        <f>IFERROR(VLOOKUP($A348,'Semrush Import'!$A:$D,3,FALSE),"")</f>
        <v/>
      </c>
      <c r="O348">
        <f>IFERROR(VLOOKUP($A348,'Semrush Import'!$A:$D,4,FALSE),"")</f>
        <v/>
      </c>
      <c r="P348">
        <f>IFERROR(VLOOKUP($A348,'KP Import'!$A:$B,2,FALSE),"")</f>
        <v/>
      </c>
      <c r="Q348">
        <f>IF(M348="","",ROUND(M348/(N348+10),1))</f>
        <v/>
      </c>
      <c r="R348">
        <f>IF(Q348="","",IF(Q348&gt;=20,"A - Go first",IF(Q348&gt;=5,"B - Next","C - Later")))</f>
        <v/>
      </c>
      <c r="S348" t="inlineStr">
        <is>
          <t>To do</t>
        </is>
      </c>
      <c r="T348" t="inlineStr"/>
    </row>
    <row r="349">
      <c r="A349" t="inlineStr">
        <is>
          <t>halal rice uae</t>
        </is>
      </c>
      <c r="B349" t="inlineStr">
        <is>
          <t>Phase 2 - B2C (later)</t>
        </is>
      </c>
      <c r="C349" t="inlineStr">
        <is>
          <t>Consumer / household</t>
        </is>
      </c>
      <c r="D349" t="inlineStr">
        <is>
          <t>Shop (B2C)</t>
        </is>
      </c>
      <c r="E349" t="inlineStr">
        <is>
          <t>Secondary (short)</t>
        </is>
      </c>
      <c r="F349" t="inlineStr">
        <is>
          <t>H2 heading + 1st paragraph under it</t>
        </is>
      </c>
      <c r="G349" t="inlineStr">
        <is>
          <t>Retail/B2C</t>
        </is>
      </c>
      <c r="H349" t="inlineStr">
        <is>
          <t>Retail</t>
        </is>
      </c>
      <c r="I349" t="inlineStr">
        <is>
          <t>Transactional</t>
        </is>
      </c>
      <c r="J349" t="inlineStr">
        <is>
          <t>BOFU</t>
        </is>
      </c>
      <c r="K349" t="inlineStr">
        <is>
          <t>UAE</t>
        </is>
      </c>
      <c r="L349" t="inlineStr">
        <is>
          <t>Category</t>
        </is>
      </c>
      <c r="M349">
        <f>IFERROR(VLOOKUP($A349,'Semrush Import'!$A:$D,2,FALSE),"")</f>
        <v/>
      </c>
      <c r="N349">
        <f>IFERROR(VLOOKUP($A349,'Semrush Import'!$A:$D,3,FALSE),"")</f>
        <v/>
      </c>
      <c r="O349">
        <f>IFERROR(VLOOKUP($A349,'Semrush Import'!$A:$D,4,FALSE),"")</f>
        <v/>
      </c>
      <c r="P349">
        <f>IFERROR(VLOOKUP($A349,'KP Import'!$A:$B,2,FALSE),"")</f>
        <v/>
      </c>
      <c r="Q349">
        <f>IF(M349="","",ROUND(M349/(N349+10),1))</f>
        <v/>
      </c>
      <c r="R349">
        <f>IF(Q349="","",IF(Q349&gt;=20,"A - Go first",IF(Q349&gt;=5,"B - Next","C - Later")))</f>
        <v/>
      </c>
      <c r="S349" t="inlineStr">
        <is>
          <t>To do</t>
        </is>
      </c>
      <c r="T349" t="inlineStr"/>
    </row>
    <row r="350">
      <c r="A350" t="inlineStr">
        <is>
          <t>organic rice uae</t>
        </is>
      </c>
      <c r="B350" t="inlineStr">
        <is>
          <t>Phase 2 - B2C (later)</t>
        </is>
      </c>
      <c r="C350" t="inlineStr">
        <is>
          <t>Consumer / household</t>
        </is>
      </c>
      <c r="D350" t="inlineStr">
        <is>
          <t>Shop (B2C)</t>
        </is>
      </c>
      <c r="E350" t="inlineStr">
        <is>
          <t>Secondary (short)</t>
        </is>
      </c>
      <c r="F350" t="inlineStr">
        <is>
          <t>H2 heading + 1st paragraph under it</t>
        </is>
      </c>
      <c r="G350" t="inlineStr">
        <is>
          <t>Retail/B2C</t>
        </is>
      </c>
      <c r="H350" t="inlineStr">
        <is>
          <t>Retail</t>
        </is>
      </c>
      <c r="I350" t="inlineStr">
        <is>
          <t>Transactional</t>
        </is>
      </c>
      <c r="J350" t="inlineStr">
        <is>
          <t>BOFU</t>
        </is>
      </c>
      <c r="K350" t="inlineStr">
        <is>
          <t>UAE</t>
        </is>
      </c>
      <c r="L350" t="inlineStr">
        <is>
          <t>Category</t>
        </is>
      </c>
      <c r="M350">
        <f>IFERROR(VLOOKUP($A350,'Semrush Import'!$A:$D,2,FALSE),"")</f>
        <v/>
      </c>
      <c r="N350">
        <f>IFERROR(VLOOKUP($A350,'Semrush Import'!$A:$D,3,FALSE),"")</f>
        <v/>
      </c>
      <c r="O350">
        <f>IFERROR(VLOOKUP($A350,'Semrush Import'!$A:$D,4,FALSE),"")</f>
        <v/>
      </c>
      <c r="P350">
        <f>IFERROR(VLOOKUP($A350,'KP Import'!$A:$B,2,FALSE),"")</f>
        <v/>
      </c>
      <c r="Q350">
        <f>IF(M350="","",ROUND(M350/(N350+10),1))</f>
        <v/>
      </c>
      <c r="R350">
        <f>IF(Q350="","",IF(Q350&gt;=20,"A - Go first",IF(Q350&gt;=5,"B - Next","C - Later")))</f>
        <v/>
      </c>
      <c r="S350" t="inlineStr">
        <is>
          <t>To do</t>
        </is>
      </c>
      <c r="T350" t="inlineStr"/>
    </row>
    <row r="351">
      <c r="A351" t="inlineStr">
        <is>
          <t>organic basmati rice dubai</t>
        </is>
      </c>
      <c r="B351" t="inlineStr">
        <is>
          <t>Phase 2 - B2C (later)</t>
        </is>
      </c>
      <c r="C351" t="inlineStr">
        <is>
          <t>Consumer / household</t>
        </is>
      </c>
      <c r="D351" t="inlineStr">
        <is>
          <t>Shop (B2C)</t>
        </is>
      </c>
      <c r="E351" t="inlineStr">
        <is>
          <t>Secondary (long-tail)</t>
        </is>
      </c>
      <c r="F351" t="inlineStr">
        <is>
          <t>H3 / body paragraph / table row / image alt</t>
        </is>
      </c>
      <c r="G351" t="inlineStr">
        <is>
          <t>Retail/B2C</t>
        </is>
      </c>
      <c r="H351" t="inlineStr">
        <is>
          <t>Retail</t>
        </is>
      </c>
      <c r="I351" t="inlineStr">
        <is>
          <t>Transactional</t>
        </is>
      </c>
      <c r="J351" t="inlineStr">
        <is>
          <t>BOFU</t>
        </is>
      </c>
      <c r="K351" t="inlineStr">
        <is>
          <t>Dubai</t>
        </is>
      </c>
      <c r="L351" t="inlineStr">
        <is>
          <t>Category</t>
        </is>
      </c>
      <c r="M351">
        <f>IFERROR(VLOOKUP($A351,'Semrush Import'!$A:$D,2,FALSE),"")</f>
        <v/>
      </c>
      <c r="N351">
        <f>IFERROR(VLOOKUP($A351,'Semrush Import'!$A:$D,3,FALSE),"")</f>
        <v/>
      </c>
      <c r="O351">
        <f>IFERROR(VLOOKUP($A351,'Semrush Import'!$A:$D,4,FALSE),"")</f>
        <v/>
      </c>
      <c r="P351">
        <f>IFERROR(VLOOKUP($A351,'KP Import'!$A:$B,2,FALSE),"")</f>
        <v/>
      </c>
      <c r="Q351">
        <f>IF(M351="","",ROUND(M351/(N351+10),1))</f>
        <v/>
      </c>
      <c r="R351">
        <f>IF(Q351="","",IF(Q351&gt;=20,"A - Go first",IF(Q351&gt;=5,"B - Next","C - Later")))</f>
        <v/>
      </c>
      <c r="S351" t="inlineStr">
        <is>
          <t>To do</t>
        </is>
      </c>
      <c r="T351" t="inlineStr"/>
    </row>
    <row r="352">
      <c r="A352" t="inlineStr">
        <is>
          <t>gluten free rice uae</t>
        </is>
      </c>
      <c r="B352" t="inlineStr">
        <is>
          <t>Phase 2 - B2C (later)</t>
        </is>
      </c>
      <c r="C352" t="inlineStr">
        <is>
          <t>Consumer / household</t>
        </is>
      </c>
      <c r="D352" t="inlineStr">
        <is>
          <t>Shop (B2C)</t>
        </is>
      </c>
      <c r="E352" t="inlineStr">
        <is>
          <t>Secondary (long-tail)</t>
        </is>
      </c>
      <c r="F352" t="inlineStr">
        <is>
          <t>H3 / body paragraph / table row / image alt</t>
        </is>
      </c>
      <c r="G352" t="inlineStr">
        <is>
          <t>Retail/B2C</t>
        </is>
      </c>
      <c r="H352" t="inlineStr">
        <is>
          <t>Retail</t>
        </is>
      </c>
      <c r="I352" t="inlineStr">
        <is>
          <t>Transactional</t>
        </is>
      </c>
      <c r="J352" t="inlineStr">
        <is>
          <t>BOFU</t>
        </is>
      </c>
      <c r="K352" t="inlineStr">
        <is>
          <t>UAE</t>
        </is>
      </c>
      <c r="L352" t="inlineStr">
        <is>
          <t>Category</t>
        </is>
      </c>
      <c r="M352">
        <f>IFERROR(VLOOKUP($A352,'Semrush Import'!$A:$D,2,FALSE),"")</f>
        <v/>
      </c>
      <c r="N352">
        <f>IFERROR(VLOOKUP($A352,'Semrush Import'!$A:$D,3,FALSE),"")</f>
        <v/>
      </c>
      <c r="O352">
        <f>IFERROR(VLOOKUP($A352,'Semrush Import'!$A:$D,4,FALSE),"")</f>
        <v/>
      </c>
      <c r="P352">
        <f>IFERROR(VLOOKUP($A352,'KP Import'!$A:$B,2,FALSE),"")</f>
        <v/>
      </c>
      <c r="Q352">
        <f>IF(M352="","",ROUND(M352/(N352+10),1))</f>
        <v/>
      </c>
      <c r="R352">
        <f>IF(Q352="","",IF(Q352&gt;=20,"A - Go first",IF(Q352&gt;=5,"B - Next","C - Later")))</f>
        <v/>
      </c>
      <c r="S352" t="inlineStr">
        <is>
          <t>To do</t>
        </is>
      </c>
      <c r="T352" t="inlineStr"/>
    </row>
    <row r="353">
      <c r="A353" t="inlineStr">
        <is>
          <t>export quality basmati rice uae</t>
        </is>
      </c>
      <c r="B353" t="inlineStr">
        <is>
          <t>Phase 2 - B2C (later)</t>
        </is>
      </c>
      <c r="C353" t="inlineStr">
        <is>
          <t>Consumer / household</t>
        </is>
      </c>
      <c r="D353" t="inlineStr">
        <is>
          <t>Shop (B2C)</t>
        </is>
      </c>
      <c r="E353" t="inlineStr">
        <is>
          <t>Secondary (long-tail)</t>
        </is>
      </c>
      <c r="F353" t="inlineStr">
        <is>
          <t>H3 / body paragraph / table row / image alt</t>
        </is>
      </c>
      <c r="G353" t="inlineStr">
        <is>
          <t>Retail/B2C</t>
        </is>
      </c>
      <c r="H353" t="inlineStr">
        <is>
          <t>Retail</t>
        </is>
      </c>
      <c r="I353" t="inlineStr">
        <is>
          <t>Transactional</t>
        </is>
      </c>
      <c r="J353" t="inlineStr">
        <is>
          <t>BOFU</t>
        </is>
      </c>
      <c r="K353" t="inlineStr">
        <is>
          <t>UAE</t>
        </is>
      </c>
      <c r="L353" t="inlineStr">
        <is>
          <t>Category</t>
        </is>
      </c>
      <c r="M353">
        <f>IFERROR(VLOOKUP($A353,'Semrush Import'!$A:$D,2,FALSE),"")</f>
        <v/>
      </c>
      <c r="N353">
        <f>IFERROR(VLOOKUP($A353,'Semrush Import'!$A:$D,3,FALSE),"")</f>
        <v/>
      </c>
      <c r="O353">
        <f>IFERROR(VLOOKUP($A353,'Semrush Import'!$A:$D,4,FALSE),"")</f>
        <v/>
      </c>
      <c r="P353">
        <f>IFERROR(VLOOKUP($A353,'KP Import'!$A:$B,2,FALSE),"")</f>
        <v/>
      </c>
      <c r="Q353">
        <f>IF(M353="","",ROUND(M353/(N353+10),1))</f>
        <v/>
      </c>
      <c r="R353">
        <f>IF(Q353="","",IF(Q353&gt;=20,"A - Go first",IF(Q353&gt;=5,"B - Next","C - Later")))</f>
        <v/>
      </c>
      <c r="S353" t="inlineStr">
        <is>
          <t>To do</t>
        </is>
      </c>
      <c r="T353" t="inlineStr"/>
    </row>
    <row r="354">
      <c r="A354" t="inlineStr">
        <is>
          <t>basmati rice dubai</t>
        </is>
      </c>
      <c r="B354" t="inlineStr">
        <is>
          <t>Phase 1 - B2B now</t>
        </is>
      </c>
      <c r="C354" t="inlineStr">
        <is>
          <t>Wholesalers / bulk buyers</t>
        </is>
      </c>
      <c r="D354" t="inlineStr">
        <is>
          <t>Basmati Rice (category)</t>
        </is>
      </c>
      <c r="E354" t="inlineStr">
        <is>
          <t>Secondary (short)</t>
        </is>
      </c>
      <c r="F354" t="inlineStr">
        <is>
          <t>H2 heading + 1st paragraph under it</t>
        </is>
      </c>
      <c r="G354" t="inlineStr">
        <is>
          <t>Location</t>
        </is>
      </c>
      <c r="H354" t="inlineStr">
        <is>
          <t>Basmati Rice</t>
        </is>
      </c>
      <c r="I354" t="inlineStr">
        <is>
          <t>Local/Transactional</t>
        </is>
      </c>
      <c r="J354" t="inlineStr">
        <is>
          <t>BOFU</t>
        </is>
      </c>
      <c r="K354" t="inlineStr">
        <is>
          <t>Dubai</t>
        </is>
      </c>
      <c r="L354" t="inlineStr">
        <is>
          <t>Location landing</t>
        </is>
      </c>
      <c r="M354">
        <f>IFERROR(VLOOKUP($A354,'Semrush Import'!$A:$D,2,FALSE),"")</f>
        <v/>
      </c>
      <c r="N354">
        <f>IFERROR(VLOOKUP($A354,'Semrush Import'!$A:$D,3,FALSE),"")</f>
        <v/>
      </c>
      <c r="O354">
        <f>IFERROR(VLOOKUP($A354,'Semrush Import'!$A:$D,4,FALSE),"")</f>
        <v/>
      </c>
      <c r="P354">
        <f>IFERROR(VLOOKUP($A354,'KP Import'!$A:$B,2,FALSE),"")</f>
        <v/>
      </c>
      <c r="Q354">
        <f>IF(M354="","",ROUND(M354/(N354+10),1))</f>
        <v/>
      </c>
      <c r="R354">
        <f>IF(Q354="","",IF(Q354&gt;=20,"A - Go first",IF(Q354&gt;=5,"B - Next","C - Later")))</f>
        <v/>
      </c>
      <c r="S354" t="inlineStr">
        <is>
          <t>To do</t>
        </is>
      </c>
      <c r="T354" t="inlineStr"/>
    </row>
    <row r="355">
      <c r="A355" t="inlineStr">
        <is>
          <t>buy rice online dubai</t>
        </is>
      </c>
      <c r="B355" t="inlineStr">
        <is>
          <t>Phase 2 - B2C (later)</t>
        </is>
      </c>
      <c r="C355" t="inlineStr">
        <is>
          <t>Consumer / household</t>
        </is>
      </c>
      <c r="D355" t="inlineStr">
        <is>
          <t>Shop (B2C)</t>
        </is>
      </c>
      <c r="E355" t="inlineStr">
        <is>
          <t>Secondary (long-tail)</t>
        </is>
      </c>
      <c r="F355" t="inlineStr">
        <is>
          <t>H3 / body paragraph / table row / image alt</t>
        </is>
      </c>
      <c r="G355" t="inlineStr">
        <is>
          <t>Location</t>
        </is>
      </c>
      <c r="H355" t="inlineStr">
        <is>
          <t>Buy Rice Online</t>
        </is>
      </c>
      <c r="I355" t="inlineStr">
        <is>
          <t>Local/Transactional</t>
        </is>
      </c>
      <c r="J355" t="inlineStr">
        <is>
          <t>BOFU</t>
        </is>
      </c>
      <c r="K355" t="inlineStr">
        <is>
          <t>Dubai</t>
        </is>
      </c>
      <c r="L355" t="inlineStr">
        <is>
          <t>Location landing</t>
        </is>
      </c>
      <c r="M355">
        <f>IFERROR(VLOOKUP($A355,'Semrush Import'!$A:$D,2,FALSE),"")</f>
        <v/>
      </c>
      <c r="N355">
        <f>IFERROR(VLOOKUP($A355,'Semrush Import'!$A:$D,3,FALSE),"")</f>
        <v/>
      </c>
      <c r="O355">
        <f>IFERROR(VLOOKUP($A355,'Semrush Import'!$A:$D,4,FALSE),"")</f>
        <v/>
      </c>
      <c r="P355">
        <f>IFERROR(VLOOKUP($A355,'KP Import'!$A:$B,2,FALSE),"")</f>
        <v/>
      </c>
      <c r="Q355">
        <f>IF(M355="","",ROUND(M355/(N355+10),1))</f>
        <v/>
      </c>
      <c r="R355">
        <f>IF(Q355="","",IF(Q355&gt;=20,"A - Go first",IF(Q355&gt;=5,"B - Next","C - Later")))</f>
        <v/>
      </c>
      <c r="S355" t="inlineStr">
        <is>
          <t>To do</t>
        </is>
      </c>
      <c r="T355" t="inlineStr"/>
    </row>
    <row r="356">
      <c r="A356" t="inlineStr">
        <is>
          <t>sella basmati rice dubai</t>
        </is>
      </c>
      <c r="B356" t="inlineStr">
        <is>
          <t>Phase 1 - B2B now</t>
        </is>
      </c>
      <c r="C356" t="inlineStr">
        <is>
          <t>Wholesalers / bulk buyers</t>
        </is>
      </c>
      <c r="D356" t="inlineStr">
        <is>
          <t>Sella Basmati</t>
        </is>
      </c>
      <c r="E356" t="inlineStr">
        <is>
          <t>Secondary (long-tail)</t>
        </is>
      </c>
      <c r="F356" t="inlineStr">
        <is>
          <t>H3 / body paragraph / table row / image alt</t>
        </is>
      </c>
      <c r="G356" t="inlineStr">
        <is>
          <t>Location</t>
        </is>
      </c>
      <c r="H356" t="inlineStr">
        <is>
          <t>Sella Basmati Rice</t>
        </is>
      </c>
      <c r="I356" t="inlineStr">
        <is>
          <t>Local/Transactional</t>
        </is>
      </c>
      <c r="J356" t="inlineStr">
        <is>
          <t>BOFU</t>
        </is>
      </c>
      <c r="K356" t="inlineStr">
        <is>
          <t>Dubai</t>
        </is>
      </c>
      <c r="L356" t="inlineStr">
        <is>
          <t>Location landing</t>
        </is>
      </c>
      <c r="M356">
        <f>IFERROR(VLOOKUP($A356,'Semrush Import'!$A:$D,2,FALSE),"")</f>
        <v/>
      </c>
      <c r="N356">
        <f>IFERROR(VLOOKUP($A356,'Semrush Import'!$A:$D,3,FALSE),"")</f>
        <v/>
      </c>
      <c r="O356">
        <f>IFERROR(VLOOKUP($A356,'Semrush Import'!$A:$D,4,FALSE),"")</f>
        <v/>
      </c>
      <c r="P356">
        <f>IFERROR(VLOOKUP($A356,'KP Import'!$A:$B,2,FALSE),"")</f>
        <v/>
      </c>
      <c r="Q356">
        <f>IF(M356="","",ROUND(M356/(N356+10),1))</f>
        <v/>
      </c>
      <c r="R356">
        <f>IF(Q356="","",IF(Q356&gt;=20,"A - Go first",IF(Q356&gt;=5,"B - Next","C - Later")))</f>
        <v/>
      </c>
      <c r="S356" t="inlineStr">
        <is>
          <t>To do</t>
        </is>
      </c>
      <c r="T356" t="inlineStr"/>
    </row>
    <row r="357">
      <c r="A357" t="inlineStr">
        <is>
          <t>basmati rice abu dhabi</t>
        </is>
      </c>
      <c r="B357" t="inlineStr">
        <is>
          <t>Phase 1 - B2B now</t>
        </is>
      </c>
      <c r="C357" t="inlineStr">
        <is>
          <t>Wholesalers / bulk buyers</t>
        </is>
      </c>
      <c r="D357" t="inlineStr">
        <is>
          <t>Emirate page: Abu Dhabi</t>
        </is>
      </c>
      <c r="E357" t="inlineStr">
        <is>
          <t>Secondary (long-tail)</t>
        </is>
      </c>
      <c r="F357" t="inlineStr">
        <is>
          <t>H3 / body paragraph / table row / image alt</t>
        </is>
      </c>
      <c r="G357" t="inlineStr">
        <is>
          <t>Location</t>
        </is>
      </c>
      <c r="H357" t="inlineStr">
        <is>
          <t>Basmati Rice</t>
        </is>
      </c>
      <c r="I357" t="inlineStr">
        <is>
          <t>Local/Transactional</t>
        </is>
      </c>
      <c r="J357" t="inlineStr">
        <is>
          <t>BOFU</t>
        </is>
      </c>
      <c r="K357" t="inlineStr">
        <is>
          <t>Abu Dhabi</t>
        </is>
      </c>
      <c r="L357" t="inlineStr">
        <is>
          <t>Location landing</t>
        </is>
      </c>
      <c r="M357">
        <f>IFERROR(VLOOKUP($A357,'Semrush Import'!$A:$D,2,FALSE),"")</f>
        <v/>
      </c>
      <c r="N357">
        <f>IFERROR(VLOOKUP($A357,'Semrush Import'!$A:$D,3,FALSE),"")</f>
        <v/>
      </c>
      <c r="O357">
        <f>IFERROR(VLOOKUP($A357,'Semrush Import'!$A:$D,4,FALSE),"")</f>
        <v/>
      </c>
      <c r="P357">
        <f>IFERROR(VLOOKUP($A357,'KP Import'!$A:$B,2,FALSE),"")</f>
        <v/>
      </c>
      <c r="Q357">
        <f>IF(M357="","",ROUND(M357/(N357+10),1))</f>
        <v/>
      </c>
      <c r="R357">
        <f>IF(Q357="","",IF(Q357&gt;=20,"A - Go first",IF(Q357&gt;=5,"B - Next","C - Later")))</f>
        <v/>
      </c>
      <c r="S357" t="inlineStr">
        <is>
          <t>To do</t>
        </is>
      </c>
      <c r="T357" t="inlineStr"/>
    </row>
    <row r="358">
      <c r="A358" t="inlineStr">
        <is>
          <t>rice wholesale abu dhabi</t>
        </is>
      </c>
      <c r="B358" t="inlineStr">
        <is>
          <t>Phase 2 - B2C (later)</t>
        </is>
      </c>
      <c r="C358" t="inlineStr">
        <is>
          <t>Consumer / household</t>
        </is>
      </c>
      <c r="D358" t="inlineStr">
        <is>
          <t>Emirate page: Abu Dhabi</t>
        </is>
      </c>
      <c r="E358" t="inlineStr">
        <is>
          <t>Secondary (long-tail)</t>
        </is>
      </c>
      <c r="F358" t="inlineStr">
        <is>
          <t>H3 / body paragraph / table row / image alt</t>
        </is>
      </c>
      <c r="G358" t="inlineStr">
        <is>
          <t>Location</t>
        </is>
      </c>
      <c r="H358" t="inlineStr">
        <is>
          <t>Rice Wholesale</t>
        </is>
      </c>
      <c r="I358" t="inlineStr">
        <is>
          <t>Local/Transactional</t>
        </is>
      </c>
      <c r="J358" t="inlineStr">
        <is>
          <t>BOFU</t>
        </is>
      </c>
      <c r="K358" t="inlineStr">
        <is>
          <t>Abu Dhabi</t>
        </is>
      </c>
      <c r="L358" t="inlineStr">
        <is>
          <t>Location landing</t>
        </is>
      </c>
      <c r="M358">
        <f>IFERROR(VLOOKUP($A358,'Semrush Import'!$A:$D,2,FALSE),"")</f>
        <v/>
      </c>
      <c r="N358">
        <f>IFERROR(VLOOKUP($A358,'Semrush Import'!$A:$D,3,FALSE),"")</f>
        <v/>
      </c>
      <c r="O358">
        <f>IFERROR(VLOOKUP($A358,'Semrush Import'!$A:$D,4,FALSE),"")</f>
        <v/>
      </c>
      <c r="P358">
        <f>IFERROR(VLOOKUP($A358,'KP Import'!$A:$B,2,FALSE),"")</f>
        <v/>
      </c>
      <c r="Q358">
        <f>IF(M358="","",ROUND(M358/(N358+10),1))</f>
        <v/>
      </c>
      <c r="R358">
        <f>IF(Q358="","",IF(Q358&gt;=20,"A - Go first",IF(Q358&gt;=5,"B - Next","C - Later")))</f>
        <v/>
      </c>
      <c r="S358" t="inlineStr">
        <is>
          <t>To do</t>
        </is>
      </c>
      <c r="T358" t="inlineStr"/>
    </row>
    <row r="359">
      <c r="A359" t="inlineStr">
        <is>
          <t>buy rice online abu dhabi</t>
        </is>
      </c>
      <c r="B359" t="inlineStr">
        <is>
          <t>Phase 2 - B2C (later)</t>
        </is>
      </c>
      <c r="C359" t="inlineStr">
        <is>
          <t>Consumer / household</t>
        </is>
      </c>
      <c r="D359" t="inlineStr">
        <is>
          <t>Emirate page: Abu Dhabi</t>
        </is>
      </c>
      <c r="E359" t="inlineStr">
        <is>
          <t>Secondary (long-tail)</t>
        </is>
      </c>
      <c r="F359" t="inlineStr">
        <is>
          <t>H3 / body paragraph / table row / image alt</t>
        </is>
      </c>
      <c r="G359" t="inlineStr">
        <is>
          <t>Location</t>
        </is>
      </c>
      <c r="H359" t="inlineStr">
        <is>
          <t>Buy Rice Online</t>
        </is>
      </c>
      <c r="I359" t="inlineStr">
        <is>
          <t>Local/Transactional</t>
        </is>
      </c>
      <c r="J359" t="inlineStr">
        <is>
          <t>BOFU</t>
        </is>
      </c>
      <c r="K359" t="inlineStr">
        <is>
          <t>Abu Dhabi</t>
        </is>
      </c>
      <c r="L359" t="inlineStr">
        <is>
          <t>Location landing</t>
        </is>
      </c>
      <c r="M359">
        <f>IFERROR(VLOOKUP($A359,'Semrush Import'!$A:$D,2,FALSE),"")</f>
        <v/>
      </c>
      <c r="N359">
        <f>IFERROR(VLOOKUP($A359,'Semrush Import'!$A:$D,3,FALSE),"")</f>
        <v/>
      </c>
      <c r="O359">
        <f>IFERROR(VLOOKUP($A359,'Semrush Import'!$A:$D,4,FALSE),"")</f>
        <v/>
      </c>
      <c r="P359">
        <f>IFERROR(VLOOKUP($A359,'KP Import'!$A:$B,2,FALSE),"")</f>
        <v/>
      </c>
      <c r="Q359">
        <f>IF(M359="","",ROUND(M359/(N359+10),1))</f>
        <v/>
      </c>
      <c r="R359">
        <f>IF(Q359="","",IF(Q359&gt;=20,"A - Go first",IF(Q359&gt;=5,"B - Next","C - Later")))</f>
        <v/>
      </c>
      <c r="S359" t="inlineStr">
        <is>
          <t>To do</t>
        </is>
      </c>
      <c r="T359" t="inlineStr"/>
    </row>
    <row r="360">
      <c r="A360" t="inlineStr">
        <is>
          <t>rice delivery abu dhabi</t>
        </is>
      </c>
      <c r="B360" t="inlineStr">
        <is>
          <t>Phase 2 - B2C (later)</t>
        </is>
      </c>
      <c r="C360" t="inlineStr">
        <is>
          <t>Consumer / household</t>
        </is>
      </c>
      <c r="D360" t="inlineStr">
        <is>
          <t>Emirate page: Abu Dhabi</t>
        </is>
      </c>
      <c r="E360" t="inlineStr">
        <is>
          <t>Secondary (long-tail)</t>
        </is>
      </c>
      <c r="F360" t="inlineStr">
        <is>
          <t>H3 / body paragraph / table row / image alt</t>
        </is>
      </c>
      <c r="G360" t="inlineStr">
        <is>
          <t>Location</t>
        </is>
      </c>
      <c r="H360" t="inlineStr">
        <is>
          <t>Rice Delivery</t>
        </is>
      </c>
      <c r="I360" t="inlineStr">
        <is>
          <t>Local/Transactional</t>
        </is>
      </c>
      <c r="J360" t="inlineStr">
        <is>
          <t>BOFU</t>
        </is>
      </c>
      <c r="K360" t="inlineStr">
        <is>
          <t>Abu Dhabi</t>
        </is>
      </c>
      <c r="L360" t="inlineStr">
        <is>
          <t>Location landing</t>
        </is>
      </c>
      <c r="M360">
        <f>IFERROR(VLOOKUP($A360,'Semrush Import'!$A:$D,2,FALSE),"")</f>
        <v/>
      </c>
      <c r="N360">
        <f>IFERROR(VLOOKUP($A360,'Semrush Import'!$A:$D,3,FALSE),"")</f>
        <v/>
      </c>
      <c r="O360">
        <f>IFERROR(VLOOKUP($A360,'Semrush Import'!$A:$D,4,FALSE),"")</f>
        <v/>
      </c>
      <c r="P360">
        <f>IFERROR(VLOOKUP($A360,'KP Import'!$A:$B,2,FALSE),"")</f>
        <v/>
      </c>
      <c r="Q360">
        <f>IF(M360="","",ROUND(M360/(N360+10),1))</f>
        <v/>
      </c>
      <c r="R360">
        <f>IF(Q360="","",IF(Q360&gt;=20,"A - Go first",IF(Q360&gt;=5,"B - Next","C - Later")))</f>
        <v/>
      </c>
      <c r="S360" t="inlineStr">
        <is>
          <t>To do</t>
        </is>
      </c>
      <c r="T360" t="inlineStr"/>
    </row>
    <row r="361">
      <c r="A361" t="inlineStr">
        <is>
          <t>sella basmati rice abu dhabi</t>
        </is>
      </c>
      <c r="B361" t="inlineStr">
        <is>
          <t>Phase 1 - B2B now</t>
        </is>
      </c>
      <c r="C361" t="inlineStr">
        <is>
          <t>Wholesalers / bulk buyers</t>
        </is>
      </c>
      <c r="D361" t="inlineStr">
        <is>
          <t>Emirate page: Abu Dhabi</t>
        </is>
      </c>
      <c r="E361" t="inlineStr">
        <is>
          <t>Secondary (long-tail)</t>
        </is>
      </c>
      <c r="F361" t="inlineStr">
        <is>
          <t>H3 / body paragraph / table row / image alt</t>
        </is>
      </c>
      <c r="G361" t="inlineStr">
        <is>
          <t>Location</t>
        </is>
      </c>
      <c r="H361" t="inlineStr">
        <is>
          <t>Sella Basmati Rice</t>
        </is>
      </c>
      <c r="I361" t="inlineStr">
        <is>
          <t>Local/Transactional</t>
        </is>
      </c>
      <c r="J361" t="inlineStr">
        <is>
          <t>BOFU</t>
        </is>
      </c>
      <c r="K361" t="inlineStr">
        <is>
          <t>Abu Dhabi</t>
        </is>
      </c>
      <c r="L361" t="inlineStr">
        <is>
          <t>Location landing</t>
        </is>
      </c>
      <c r="M361">
        <f>IFERROR(VLOOKUP($A361,'Semrush Import'!$A:$D,2,FALSE),"")</f>
        <v/>
      </c>
      <c r="N361">
        <f>IFERROR(VLOOKUP($A361,'Semrush Import'!$A:$D,3,FALSE),"")</f>
        <v/>
      </c>
      <c r="O361">
        <f>IFERROR(VLOOKUP($A361,'Semrush Import'!$A:$D,4,FALSE),"")</f>
        <v/>
      </c>
      <c r="P361">
        <f>IFERROR(VLOOKUP($A361,'KP Import'!$A:$B,2,FALSE),"")</f>
        <v/>
      </c>
      <c r="Q361">
        <f>IF(M361="","",ROUND(M361/(N361+10),1))</f>
        <v/>
      </c>
      <c r="R361">
        <f>IF(Q361="","",IF(Q361&gt;=20,"A - Go first",IF(Q361&gt;=5,"B - Next","C - Later")))</f>
        <v/>
      </c>
      <c r="S361" t="inlineStr">
        <is>
          <t>To do</t>
        </is>
      </c>
      <c r="T361" t="inlineStr"/>
    </row>
    <row r="362">
      <c r="A362" t="inlineStr">
        <is>
          <t>basmati rice sharjah</t>
        </is>
      </c>
      <c r="B362" t="inlineStr">
        <is>
          <t>Phase 1 - B2B now</t>
        </is>
      </c>
      <c r="C362" t="inlineStr">
        <is>
          <t>Wholesalers / bulk buyers</t>
        </is>
      </c>
      <c r="D362" t="inlineStr">
        <is>
          <t>Emirate page: Sharjah</t>
        </is>
      </c>
      <c r="E362" t="inlineStr">
        <is>
          <t>Secondary (short)</t>
        </is>
      </c>
      <c r="F362" t="inlineStr">
        <is>
          <t>H2 heading + 1st paragraph under it</t>
        </is>
      </c>
      <c r="G362" t="inlineStr">
        <is>
          <t>Location</t>
        </is>
      </c>
      <c r="H362" t="inlineStr">
        <is>
          <t>Basmati Rice</t>
        </is>
      </c>
      <c r="I362" t="inlineStr">
        <is>
          <t>Local/Transactional</t>
        </is>
      </c>
      <c r="J362" t="inlineStr">
        <is>
          <t>BOFU</t>
        </is>
      </c>
      <c r="K362" t="inlineStr">
        <is>
          <t>Sharjah</t>
        </is>
      </c>
      <c r="L362" t="inlineStr">
        <is>
          <t>Location landing</t>
        </is>
      </c>
      <c r="M362">
        <f>IFERROR(VLOOKUP($A362,'Semrush Import'!$A:$D,2,FALSE),"")</f>
        <v/>
      </c>
      <c r="N362">
        <f>IFERROR(VLOOKUP($A362,'Semrush Import'!$A:$D,3,FALSE),"")</f>
        <v/>
      </c>
      <c r="O362">
        <f>IFERROR(VLOOKUP($A362,'Semrush Import'!$A:$D,4,FALSE),"")</f>
        <v/>
      </c>
      <c r="P362">
        <f>IFERROR(VLOOKUP($A362,'KP Import'!$A:$B,2,FALSE),"")</f>
        <v/>
      </c>
      <c r="Q362">
        <f>IF(M362="","",ROUND(M362/(N362+10),1))</f>
        <v/>
      </c>
      <c r="R362">
        <f>IF(Q362="","",IF(Q362&gt;=20,"A - Go first",IF(Q362&gt;=5,"B - Next","C - Later")))</f>
        <v/>
      </c>
      <c r="S362" t="inlineStr">
        <is>
          <t>To do</t>
        </is>
      </c>
      <c r="T362" t="inlineStr"/>
    </row>
    <row r="363">
      <c r="A363" t="inlineStr">
        <is>
          <t>rice supplier sharjah</t>
        </is>
      </c>
      <c r="B363" t="inlineStr">
        <is>
          <t>Phase 1 - B2B now</t>
        </is>
      </c>
      <c r="C363" t="inlineStr">
        <is>
          <t>Wholesalers / bulk buyers</t>
        </is>
      </c>
      <c r="D363" t="inlineStr">
        <is>
          <t>Emirate page: Sharjah</t>
        </is>
      </c>
      <c r="E363" t="inlineStr">
        <is>
          <t>PRIMARY</t>
        </is>
      </c>
      <c r="F363" t="inlineStr">
        <is>
          <t>URL slug + SEO title + H1 + meta description + first 100 words</t>
        </is>
      </c>
      <c r="G363" t="inlineStr">
        <is>
          <t>Location</t>
        </is>
      </c>
      <c r="H363" t="inlineStr">
        <is>
          <t>Rice Supplier</t>
        </is>
      </c>
      <c r="I363" t="inlineStr">
        <is>
          <t>Local/Transactional</t>
        </is>
      </c>
      <c r="J363" t="inlineStr">
        <is>
          <t>BOFU</t>
        </is>
      </c>
      <c r="K363" t="inlineStr">
        <is>
          <t>Sharjah</t>
        </is>
      </c>
      <c r="L363" t="inlineStr">
        <is>
          <t>Location landing</t>
        </is>
      </c>
      <c r="M363">
        <f>IFERROR(VLOOKUP($A363,'Semrush Import'!$A:$D,2,FALSE),"")</f>
        <v/>
      </c>
      <c r="N363">
        <f>IFERROR(VLOOKUP($A363,'Semrush Import'!$A:$D,3,FALSE),"")</f>
        <v/>
      </c>
      <c r="O363">
        <f>IFERROR(VLOOKUP($A363,'Semrush Import'!$A:$D,4,FALSE),"")</f>
        <v/>
      </c>
      <c r="P363">
        <f>IFERROR(VLOOKUP($A363,'KP Import'!$A:$B,2,FALSE),"")</f>
        <v/>
      </c>
      <c r="Q363">
        <f>IF(M363="","",ROUND(M363/(N363+10),1))</f>
        <v/>
      </c>
      <c r="R363">
        <f>IF(Q363="","",IF(Q363&gt;=20,"A - Go first",IF(Q363&gt;=5,"B - Next","C - Later")))</f>
        <v/>
      </c>
      <c r="S363" t="inlineStr">
        <is>
          <t>To do</t>
        </is>
      </c>
      <c r="T363" t="inlineStr"/>
    </row>
    <row r="364">
      <c r="A364" t="inlineStr">
        <is>
          <t>buy rice online sharjah</t>
        </is>
      </c>
      <c r="B364" t="inlineStr">
        <is>
          <t>Phase 2 - B2C (later)</t>
        </is>
      </c>
      <c r="C364" t="inlineStr">
        <is>
          <t>Consumer / household</t>
        </is>
      </c>
      <c r="D364" t="inlineStr">
        <is>
          <t>Emirate page: Sharjah</t>
        </is>
      </c>
      <c r="E364" t="inlineStr">
        <is>
          <t>Secondary (long-tail)</t>
        </is>
      </c>
      <c r="F364" t="inlineStr">
        <is>
          <t>H3 / body paragraph / table row / image alt</t>
        </is>
      </c>
      <c r="G364" t="inlineStr">
        <is>
          <t>Location</t>
        </is>
      </c>
      <c r="H364" t="inlineStr">
        <is>
          <t>Buy Rice Online</t>
        </is>
      </c>
      <c r="I364" t="inlineStr">
        <is>
          <t>Local/Transactional</t>
        </is>
      </c>
      <c r="J364" t="inlineStr">
        <is>
          <t>BOFU</t>
        </is>
      </c>
      <c r="K364" t="inlineStr">
        <is>
          <t>Sharjah</t>
        </is>
      </c>
      <c r="L364" t="inlineStr">
        <is>
          <t>Location landing</t>
        </is>
      </c>
      <c r="M364">
        <f>IFERROR(VLOOKUP($A364,'Semrush Import'!$A:$D,2,FALSE),"")</f>
        <v/>
      </c>
      <c r="N364">
        <f>IFERROR(VLOOKUP($A364,'Semrush Import'!$A:$D,3,FALSE),"")</f>
        <v/>
      </c>
      <c r="O364">
        <f>IFERROR(VLOOKUP($A364,'Semrush Import'!$A:$D,4,FALSE),"")</f>
        <v/>
      </c>
      <c r="P364">
        <f>IFERROR(VLOOKUP($A364,'KP Import'!$A:$B,2,FALSE),"")</f>
        <v/>
      </c>
      <c r="Q364">
        <f>IF(M364="","",ROUND(M364/(N364+10),1))</f>
        <v/>
      </c>
      <c r="R364">
        <f>IF(Q364="","",IF(Q364&gt;=20,"A - Go first",IF(Q364&gt;=5,"B - Next","C - Later")))</f>
        <v/>
      </c>
      <c r="S364" t="inlineStr">
        <is>
          <t>To do</t>
        </is>
      </c>
      <c r="T364" t="inlineStr"/>
    </row>
    <row r="365">
      <c r="A365" t="inlineStr">
        <is>
          <t>rice delivery sharjah</t>
        </is>
      </c>
      <c r="B365" t="inlineStr">
        <is>
          <t>Phase 2 - B2C (later)</t>
        </is>
      </c>
      <c r="C365" t="inlineStr">
        <is>
          <t>Consumer / household</t>
        </is>
      </c>
      <c r="D365" t="inlineStr">
        <is>
          <t>Emirate page: Sharjah</t>
        </is>
      </c>
      <c r="E365" t="inlineStr">
        <is>
          <t>Secondary (short)</t>
        </is>
      </c>
      <c r="F365" t="inlineStr">
        <is>
          <t>H2 heading + 1st paragraph under it</t>
        </is>
      </c>
      <c r="G365" t="inlineStr">
        <is>
          <t>Location</t>
        </is>
      </c>
      <c r="H365" t="inlineStr">
        <is>
          <t>Rice Delivery</t>
        </is>
      </c>
      <c r="I365" t="inlineStr">
        <is>
          <t>Local/Transactional</t>
        </is>
      </c>
      <c r="J365" t="inlineStr">
        <is>
          <t>BOFU</t>
        </is>
      </c>
      <c r="K365" t="inlineStr">
        <is>
          <t>Sharjah</t>
        </is>
      </c>
      <c r="L365" t="inlineStr">
        <is>
          <t>Location landing</t>
        </is>
      </c>
      <c r="M365">
        <f>IFERROR(VLOOKUP($A365,'Semrush Import'!$A:$D,2,FALSE),"")</f>
        <v/>
      </c>
      <c r="N365">
        <f>IFERROR(VLOOKUP($A365,'Semrush Import'!$A:$D,3,FALSE),"")</f>
        <v/>
      </c>
      <c r="O365">
        <f>IFERROR(VLOOKUP($A365,'Semrush Import'!$A:$D,4,FALSE),"")</f>
        <v/>
      </c>
      <c r="P365">
        <f>IFERROR(VLOOKUP($A365,'KP Import'!$A:$B,2,FALSE),"")</f>
        <v/>
      </c>
      <c r="Q365">
        <f>IF(M365="","",ROUND(M365/(N365+10),1))</f>
        <v/>
      </c>
      <c r="R365">
        <f>IF(Q365="","",IF(Q365&gt;=20,"A - Go first",IF(Q365&gt;=5,"B - Next","C - Later")))</f>
        <v/>
      </c>
      <c r="S365" t="inlineStr">
        <is>
          <t>To do</t>
        </is>
      </c>
      <c r="T365" t="inlineStr"/>
    </row>
    <row r="366">
      <c r="A366" t="inlineStr">
        <is>
          <t>sella basmati rice sharjah</t>
        </is>
      </c>
      <c r="B366" t="inlineStr">
        <is>
          <t>Phase 1 - B2B now</t>
        </is>
      </c>
      <c r="C366" t="inlineStr">
        <is>
          <t>Wholesalers / bulk buyers</t>
        </is>
      </c>
      <c r="D366" t="inlineStr">
        <is>
          <t>Emirate page: Sharjah</t>
        </is>
      </c>
      <c r="E366" t="inlineStr">
        <is>
          <t>Secondary (long-tail)</t>
        </is>
      </c>
      <c r="F366" t="inlineStr">
        <is>
          <t>H3 / body paragraph / table row / image alt</t>
        </is>
      </c>
      <c r="G366" t="inlineStr">
        <is>
          <t>Location</t>
        </is>
      </c>
      <c r="H366" t="inlineStr">
        <is>
          <t>Sella Basmati Rice</t>
        </is>
      </c>
      <c r="I366" t="inlineStr">
        <is>
          <t>Local/Transactional</t>
        </is>
      </c>
      <c r="J366" t="inlineStr">
        <is>
          <t>BOFU</t>
        </is>
      </c>
      <c r="K366" t="inlineStr">
        <is>
          <t>Sharjah</t>
        </is>
      </c>
      <c r="L366" t="inlineStr">
        <is>
          <t>Location landing</t>
        </is>
      </c>
      <c r="M366">
        <f>IFERROR(VLOOKUP($A366,'Semrush Import'!$A:$D,2,FALSE),"")</f>
        <v/>
      </c>
      <c r="N366">
        <f>IFERROR(VLOOKUP($A366,'Semrush Import'!$A:$D,3,FALSE),"")</f>
        <v/>
      </c>
      <c r="O366">
        <f>IFERROR(VLOOKUP($A366,'Semrush Import'!$A:$D,4,FALSE),"")</f>
        <v/>
      </c>
      <c r="P366">
        <f>IFERROR(VLOOKUP($A366,'KP Import'!$A:$B,2,FALSE),"")</f>
        <v/>
      </c>
      <c r="Q366">
        <f>IF(M366="","",ROUND(M366/(N366+10),1))</f>
        <v/>
      </c>
      <c r="R366">
        <f>IF(Q366="","",IF(Q366&gt;=20,"A - Go first",IF(Q366&gt;=5,"B - Next","C - Later")))</f>
        <v/>
      </c>
      <c r="S366" t="inlineStr">
        <is>
          <t>To do</t>
        </is>
      </c>
      <c r="T366" t="inlineStr"/>
    </row>
    <row r="367">
      <c r="A367" t="inlineStr">
        <is>
          <t>basmati rice ajman</t>
        </is>
      </c>
      <c r="B367" t="inlineStr">
        <is>
          <t>Phase 1 - B2B now</t>
        </is>
      </c>
      <c r="C367" t="inlineStr">
        <is>
          <t>Wholesalers / bulk buyers</t>
        </is>
      </c>
      <c r="D367" t="inlineStr">
        <is>
          <t>Emirate page: Ajman</t>
        </is>
      </c>
      <c r="E367" t="inlineStr">
        <is>
          <t>Secondary (short)</t>
        </is>
      </c>
      <c r="F367" t="inlineStr">
        <is>
          <t>H2 heading + 1st paragraph under it</t>
        </is>
      </c>
      <c r="G367" t="inlineStr">
        <is>
          <t>Location</t>
        </is>
      </c>
      <c r="H367" t="inlineStr">
        <is>
          <t>Basmati Rice</t>
        </is>
      </c>
      <c r="I367" t="inlineStr">
        <is>
          <t>Local/Transactional</t>
        </is>
      </c>
      <c r="J367" t="inlineStr">
        <is>
          <t>BOFU</t>
        </is>
      </c>
      <c r="K367" t="inlineStr">
        <is>
          <t>Ajman</t>
        </is>
      </c>
      <c r="L367" t="inlineStr">
        <is>
          <t>Location landing</t>
        </is>
      </c>
      <c r="M367">
        <f>IFERROR(VLOOKUP($A367,'Semrush Import'!$A:$D,2,FALSE),"")</f>
        <v/>
      </c>
      <c r="N367">
        <f>IFERROR(VLOOKUP($A367,'Semrush Import'!$A:$D,3,FALSE),"")</f>
        <v/>
      </c>
      <c r="O367">
        <f>IFERROR(VLOOKUP($A367,'Semrush Import'!$A:$D,4,FALSE),"")</f>
        <v/>
      </c>
      <c r="P367">
        <f>IFERROR(VLOOKUP($A367,'KP Import'!$A:$B,2,FALSE),"")</f>
        <v/>
      </c>
      <c r="Q367">
        <f>IF(M367="","",ROUND(M367/(N367+10),1))</f>
        <v/>
      </c>
      <c r="R367">
        <f>IF(Q367="","",IF(Q367&gt;=20,"A - Go first",IF(Q367&gt;=5,"B - Next","C - Later")))</f>
        <v/>
      </c>
      <c r="S367" t="inlineStr">
        <is>
          <t>To do</t>
        </is>
      </c>
      <c r="T367" t="inlineStr"/>
    </row>
    <row r="368">
      <c r="A368" t="inlineStr">
        <is>
          <t>rice wholesale ajman</t>
        </is>
      </c>
      <c r="B368" t="inlineStr">
        <is>
          <t>Phase 2 - B2C (later)</t>
        </is>
      </c>
      <c r="C368" t="inlineStr">
        <is>
          <t>Consumer / household</t>
        </is>
      </c>
      <c r="D368" t="inlineStr">
        <is>
          <t>Emirate page: Ajman</t>
        </is>
      </c>
      <c r="E368" t="inlineStr">
        <is>
          <t>Secondary (short)</t>
        </is>
      </c>
      <c r="F368" t="inlineStr">
        <is>
          <t>H2 heading + 1st paragraph under it</t>
        </is>
      </c>
      <c r="G368" t="inlineStr">
        <is>
          <t>Location</t>
        </is>
      </c>
      <c r="H368" t="inlineStr">
        <is>
          <t>Rice Wholesale</t>
        </is>
      </c>
      <c r="I368" t="inlineStr">
        <is>
          <t>Local/Transactional</t>
        </is>
      </c>
      <c r="J368" t="inlineStr">
        <is>
          <t>BOFU</t>
        </is>
      </c>
      <c r="K368" t="inlineStr">
        <is>
          <t>Ajman</t>
        </is>
      </c>
      <c r="L368" t="inlineStr">
        <is>
          <t>Location landing</t>
        </is>
      </c>
      <c r="M368">
        <f>IFERROR(VLOOKUP($A368,'Semrush Import'!$A:$D,2,FALSE),"")</f>
        <v/>
      </c>
      <c r="N368">
        <f>IFERROR(VLOOKUP($A368,'Semrush Import'!$A:$D,3,FALSE),"")</f>
        <v/>
      </c>
      <c r="O368">
        <f>IFERROR(VLOOKUP($A368,'Semrush Import'!$A:$D,4,FALSE),"")</f>
        <v/>
      </c>
      <c r="P368">
        <f>IFERROR(VLOOKUP($A368,'KP Import'!$A:$B,2,FALSE),"")</f>
        <v/>
      </c>
      <c r="Q368">
        <f>IF(M368="","",ROUND(M368/(N368+10),1))</f>
        <v/>
      </c>
      <c r="R368">
        <f>IF(Q368="","",IF(Q368&gt;=20,"A - Go first",IF(Q368&gt;=5,"B - Next","C - Later")))</f>
        <v/>
      </c>
      <c r="S368" t="inlineStr">
        <is>
          <t>To do</t>
        </is>
      </c>
      <c r="T368" t="inlineStr"/>
    </row>
    <row r="369">
      <c r="A369" t="inlineStr">
        <is>
          <t>rice supplier ajman</t>
        </is>
      </c>
      <c r="B369" t="inlineStr">
        <is>
          <t>Phase 1 - B2B now</t>
        </is>
      </c>
      <c r="C369" t="inlineStr">
        <is>
          <t>Wholesalers / bulk buyers</t>
        </is>
      </c>
      <c r="D369" t="inlineStr">
        <is>
          <t>Emirate page: Ajman</t>
        </is>
      </c>
      <c r="E369" t="inlineStr">
        <is>
          <t>PRIMARY</t>
        </is>
      </c>
      <c r="F369" t="inlineStr">
        <is>
          <t>URL slug + SEO title + H1 + meta description + first 100 words</t>
        </is>
      </c>
      <c r="G369" t="inlineStr">
        <is>
          <t>Location</t>
        </is>
      </c>
      <c r="H369" t="inlineStr">
        <is>
          <t>Rice Supplier</t>
        </is>
      </c>
      <c r="I369" t="inlineStr">
        <is>
          <t>Local/Transactional</t>
        </is>
      </c>
      <c r="J369" t="inlineStr">
        <is>
          <t>BOFU</t>
        </is>
      </c>
      <c r="K369" t="inlineStr">
        <is>
          <t>Ajman</t>
        </is>
      </c>
      <c r="L369" t="inlineStr">
        <is>
          <t>Location landing</t>
        </is>
      </c>
      <c r="M369">
        <f>IFERROR(VLOOKUP($A369,'Semrush Import'!$A:$D,2,FALSE),"")</f>
        <v/>
      </c>
      <c r="N369">
        <f>IFERROR(VLOOKUP($A369,'Semrush Import'!$A:$D,3,FALSE),"")</f>
        <v/>
      </c>
      <c r="O369">
        <f>IFERROR(VLOOKUP($A369,'Semrush Import'!$A:$D,4,FALSE),"")</f>
        <v/>
      </c>
      <c r="P369">
        <f>IFERROR(VLOOKUP($A369,'KP Import'!$A:$B,2,FALSE),"")</f>
        <v/>
      </c>
      <c r="Q369">
        <f>IF(M369="","",ROUND(M369/(N369+10),1))</f>
        <v/>
      </c>
      <c r="R369">
        <f>IF(Q369="","",IF(Q369&gt;=20,"A - Go first",IF(Q369&gt;=5,"B - Next","C - Later")))</f>
        <v/>
      </c>
      <c r="S369" t="inlineStr">
        <is>
          <t>To do</t>
        </is>
      </c>
      <c r="T369" t="inlineStr"/>
    </row>
    <row r="370">
      <c r="A370" t="inlineStr">
        <is>
          <t>buy rice online ajman</t>
        </is>
      </c>
      <c r="B370" t="inlineStr">
        <is>
          <t>Phase 2 - B2C (later)</t>
        </is>
      </c>
      <c r="C370" t="inlineStr">
        <is>
          <t>Consumer / household</t>
        </is>
      </c>
      <c r="D370" t="inlineStr">
        <is>
          <t>Emirate page: Ajman</t>
        </is>
      </c>
      <c r="E370" t="inlineStr">
        <is>
          <t>Secondary (long-tail)</t>
        </is>
      </c>
      <c r="F370" t="inlineStr">
        <is>
          <t>H3 / body paragraph / table row / image alt</t>
        </is>
      </c>
      <c r="G370" t="inlineStr">
        <is>
          <t>Location</t>
        </is>
      </c>
      <c r="H370" t="inlineStr">
        <is>
          <t>Buy Rice Online</t>
        </is>
      </c>
      <c r="I370" t="inlineStr">
        <is>
          <t>Local/Transactional</t>
        </is>
      </c>
      <c r="J370" t="inlineStr">
        <is>
          <t>BOFU</t>
        </is>
      </c>
      <c r="K370" t="inlineStr">
        <is>
          <t>Ajman</t>
        </is>
      </c>
      <c r="L370" t="inlineStr">
        <is>
          <t>Location landing</t>
        </is>
      </c>
      <c r="M370">
        <f>IFERROR(VLOOKUP($A370,'Semrush Import'!$A:$D,2,FALSE),"")</f>
        <v/>
      </c>
      <c r="N370">
        <f>IFERROR(VLOOKUP($A370,'Semrush Import'!$A:$D,3,FALSE),"")</f>
        <v/>
      </c>
      <c r="O370">
        <f>IFERROR(VLOOKUP($A370,'Semrush Import'!$A:$D,4,FALSE),"")</f>
        <v/>
      </c>
      <c r="P370">
        <f>IFERROR(VLOOKUP($A370,'KP Import'!$A:$B,2,FALSE),"")</f>
        <v/>
      </c>
      <c r="Q370">
        <f>IF(M370="","",ROUND(M370/(N370+10),1))</f>
        <v/>
      </c>
      <c r="R370">
        <f>IF(Q370="","",IF(Q370&gt;=20,"A - Go first",IF(Q370&gt;=5,"B - Next","C - Later")))</f>
        <v/>
      </c>
      <c r="S370" t="inlineStr">
        <is>
          <t>To do</t>
        </is>
      </c>
      <c r="T370" t="inlineStr"/>
    </row>
    <row r="371">
      <c r="A371" t="inlineStr">
        <is>
          <t>rice delivery ajman</t>
        </is>
      </c>
      <c r="B371" t="inlineStr">
        <is>
          <t>Phase 2 - B2C (later)</t>
        </is>
      </c>
      <c r="C371" t="inlineStr">
        <is>
          <t>Consumer / household</t>
        </is>
      </c>
      <c r="D371" t="inlineStr">
        <is>
          <t>Emirate page: Ajman</t>
        </is>
      </c>
      <c r="E371" t="inlineStr">
        <is>
          <t>Secondary (short)</t>
        </is>
      </c>
      <c r="F371" t="inlineStr">
        <is>
          <t>H2 heading + 1st paragraph under it</t>
        </is>
      </c>
      <c r="G371" t="inlineStr">
        <is>
          <t>Location</t>
        </is>
      </c>
      <c r="H371" t="inlineStr">
        <is>
          <t>Rice Delivery</t>
        </is>
      </c>
      <c r="I371" t="inlineStr">
        <is>
          <t>Local/Transactional</t>
        </is>
      </c>
      <c r="J371" t="inlineStr">
        <is>
          <t>BOFU</t>
        </is>
      </c>
      <c r="K371" t="inlineStr">
        <is>
          <t>Ajman</t>
        </is>
      </c>
      <c r="L371" t="inlineStr">
        <is>
          <t>Location landing</t>
        </is>
      </c>
      <c r="M371">
        <f>IFERROR(VLOOKUP($A371,'Semrush Import'!$A:$D,2,FALSE),"")</f>
        <v/>
      </c>
      <c r="N371">
        <f>IFERROR(VLOOKUP($A371,'Semrush Import'!$A:$D,3,FALSE),"")</f>
        <v/>
      </c>
      <c r="O371">
        <f>IFERROR(VLOOKUP($A371,'Semrush Import'!$A:$D,4,FALSE),"")</f>
        <v/>
      </c>
      <c r="P371">
        <f>IFERROR(VLOOKUP($A371,'KP Import'!$A:$B,2,FALSE),"")</f>
        <v/>
      </c>
      <c r="Q371">
        <f>IF(M371="","",ROUND(M371/(N371+10),1))</f>
        <v/>
      </c>
      <c r="R371">
        <f>IF(Q371="","",IF(Q371&gt;=20,"A - Go first",IF(Q371&gt;=5,"B - Next","C - Later")))</f>
        <v/>
      </c>
      <c r="S371" t="inlineStr">
        <is>
          <t>To do</t>
        </is>
      </c>
      <c r="T371" t="inlineStr"/>
    </row>
    <row r="372">
      <c r="A372" t="inlineStr">
        <is>
          <t>sella basmati rice ajman</t>
        </is>
      </c>
      <c r="B372" t="inlineStr">
        <is>
          <t>Phase 1 - B2B now</t>
        </is>
      </c>
      <c r="C372" t="inlineStr">
        <is>
          <t>Wholesalers / bulk buyers</t>
        </is>
      </c>
      <c r="D372" t="inlineStr">
        <is>
          <t>Emirate page: Ajman</t>
        </is>
      </c>
      <c r="E372" t="inlineStr">
        <is>
          <t>Secondary (long-tail)</t>
        </is>
      </c>
      <c r="F372" t="inlineStr">
        <is>
          <t>H3 / body paragraph / table row / image alt</t>
        </is>
      </c>
      <c r="G372" t="inlineStr">
        <is>
          <t>Location</t>
        </is>
      </c>
      <c r="H372" t="inlineStr">
        <is>
          <t>Sella Basmati Rice</t>
        </is>
      </c>
      <c r="I372" t="inlineStr">
        <is>
          <t>Local/Transactional</t>
        </is>
      </c>
      <c r="J372" t="inlineStr">
        <is>
          <t>BOFU</t>
        </is>
      </c>
      <c r="K372" t="inlineStr">
        <is>
          <t>Ajman</t>
        </is>
      </c>
      <c r="L372" t="inlineStr">
        <is>
          <t>Location landing</t>
        </is>
      </c>
      <c r="M372">
        <f>IFERROR(VLOOKUP($A372,'Semrush Import'!$A:$D,2,FALSE),"")</f>
        <v/>
      </c>
      <c r="N372">
        <f>IFERROR(VLOOKUP($A372,'Semrush Import'!$A:$D,3,FALSE),"")</f>
        <v/>
      </c>
      <c r="O372">
        <f>IFERROR(VLOOKUP($A372,'Semrush Import'!$A:$D,4,FALSE),"")</f>
        <v/>
      </c>
      <c r="P372">
        <f>IFERROR(VLOOKUP($A372,'KP Import'!$A:$B,2,FALSE),"")</f>
        <v/>
      </c>
      <c r="Q372">
        <f>IF(M372="","",ROUND(M372/(N372+10),1))</f>
        <v/>
      </c>
      <c r="R372">
        <f>IF(Q372="","",IF(Q372&gt;=20,"A - Go first",IF(Q372&gt;=5,"B - Next","C - Later")))</f>
        <v/>
      </c>
      <c r="S372" t="inlineStr">
        <is>
          <t>To do</t>
        </is>
      </c>
      <c r="T372" t="inlineStr"/>
    </row>
    <row r="373">
      <c r="A373" t="inlineStr">
        <is>
          <t>basmati rice ras al khaimah</t>
        </is>
      </c>
      <c r="B373" t="inlineStr">
        <is>
          <t>Phase 1 - B2B now</t>
        </is>
      </c>
      <c r="C373" t="inlineStr">
        <is>
          <t>Wholesalers / bulk buyers</t>
        </is>
      </c>
      <c r="D373" t="inlineStr">
        <is>
          <t>Emirate page: Ras Al Khaimah</t>
        </is>
      </c>
      <c r="E373" t="inlineStr">
        <is>
          <t>Secondary (long-tail)</t>
        </is>
      </c>
      <c r="F373" t="inlineStr">
        <is>
          <t>H3 / body paragraph / table row / image alt</t>
        </is>
      </c>
      <c r="G373" t="inlineStr">
        <is>
          <t>Location</t>
        </is>
      </c>
      <c r="H373" t="inlineStr">
        <is>
          <t>Basmati Rice</t>
        </is>
      </c>
      <c r="I373" t="inlineStr">
        <is>
          <t>Local/Transactional</t>
        </is>
      </c>
      <c r="J373" t="inlineStr">
        <is>
          <t>BOFU</t>
        </is>
      </c>
      <c r="K373" t="inlineStr">
        <is>
          <t>Ras Al Khaimah</t>
        </is>
      </c>
      <c r="L373" t="inlineStr">
        <is>
          <t>Location landing</t>
        </is>
      </c>
      <c r="M373">
        <f>IFERROR(VLOOKUP($A373,'Semrush Import'!$A:$D,2,FALSE),"")</f>
        <v/>
      </c>
      <c r="N373">
        <f>IFERROR(VLOOKUP($A373,'Semrush Import'!$A:$D,3,FALSE),"")</f>
        <v/>
      </c>
      <c r="O373">
        <f>IFERROR(VLOOKUP($A373,'Semrush Import'!$A:$D,4,FALSE),"")</f>
        <v/>
      </c>
      <c r="P373">
        <f>IFERROR(VLOOKUP($A373,'KP Import'!$A:$B,2,FALSE),"")</f>
        <v/>
      </c>
      <c r="Q373">
        <f>IF(M373="","",ROUND(M373/(N373+10),1))</f>
        <v/>
      </c>
      <c r="R373">
        <f>IF(Q373="","",IF(Q373&gt;=20,"A - Go first",IF(Q373&gt;=5,"B - Next","C - Later")))</f>
        <v/>
      </c>
      <c r="S373" t="inlineStr">
        <is>
          <t>To do</t>
        </is>
      </c>
      <c r="T373" t="inlineStr"/>
    </row>
    <row r="374">
      <c r="A374" t="inlineStr">
        <is>
          <t>rice wholesale ras al khaimah</t>
        </is>
      </c>
      <c r="B374" t="inlineStr">
        <is>
          <t>Phase 2 - B2C (later)</t>
        </is>
      </c>
      <c r="C374" t="inlineStr">
        <is>
          <t>Consumer / household</t>
        </is>
      </c>
      <c r="D374" t="inlineStr">
        <is>
          <t>Emirate page: Ras Al Khaimah</t>
        </is>
      </c>
      <c r="E374" t="inlineStr">
        <is>
          <t>Secondary (long-tail)</t>
        </is>
      </c>
      <c r="F374" t="inlineStr">
        <is>
          <t>H3 / body paragraph / table row / image alt</t>
        </is>
      </c>
      <c r="G374" t="inlineStr">
        <is>
          <t>Location</t>
        </is>
      </c>
      <c r="H374" t="inlineStr">
        <is>
          <t>Rice Wholesale</t>
        </is>
      </c>
      <c r="I374" t="inlineStr">
        <is>
          <t>Local/Transactional</t>
        </is>
      </c>
      <c r="J374" t="inlineStr">
        <is>
          <t>BOFU</t>
        </is>
      </c>
      <c r="K374" t="inlineStr">
        <is>
          <t>Ras Al Khaimah</t>
        </is>
      </c>
      <c r="L374" t="inlineStr">
        <is>
          <t>Location landing</t>
        </is>
      </c>
      <c r="M374">
        <f>IFERROR(VLOOKUP($A374,'Semrush Import'!$A:$D,2,FALSE),"")</f>
        <v/>
      </c>
      <c r="N374">
        <f>IFERROR(VLOOKUP($A374,'Semrush Import'!$A:$D,3,FALSE),"")</f>
        <v/>
      </c>
      <c r="O374">
        <f>IFERROR(VLOOKUP($A374,'Semrush Import'!$A:$D,4,FALSE),"")</f>
        <v/>
      </c>
      <c r="P374">
        <f>IFERROR(VLOOKUP($A374,'KP Import'!$A:$B,2,FALSE),"")</f>
        <v/>
      </c>
      <c r="Q374">
        <f>IF(M374="","",ROUND(M374/(N374+10),1))</f>
        <v/>
      </c>
      <c r="R374">
        <f>IF(Q374="","",IF(Q374&gt;=20,"A - Go first",IF(Q374&gt;=5,"B - Next","C - Later")))</f>
        <v/>
      </c>
      <c r="S374" t="inlineStr">
        <is>
          <t>To do</t>
        </is>
      </c>
      <c r="T374" t="inlineStr"/>
    </row>
    <row r="375">
      <c r="A375" t="inlineStr">
        <is>
          <t>rice supplier ras al khaimah</t>
        </is>
      </c>
      <c r="B375" t="inlineStr">
        <is>
          <t>Phase 1 - B2B now</t>
        </is>
      </c>
      <c r="C375" t="inlineStr">
        <is>
          <t>Wholesalers / bulk buyers</t>
        </is>
      </c>
      <c r="D375" t="inlineStr">
        <is>
          <t>Emirate page: Ras Al Khaimah</t>
        </is>
      </c>
      <c r="E375" t="inlineStr">
        <is>
          <t>PRIMARY</t>
        </is>
      </c>
      <c r="F375" t="inlineStr">
        <is>
          <t>URL slug + SEO title + H1 + meta description + first 100 words</t>
        </is>
      </c>
      <c r="G375" t="inlineStr">
        <is>
          <t>Location</t>
        </is>
      </c>
      <c r="H375" t="inlineStr">
        <is>
          <t>Rice Supplier</t>
        </is>
      </c>
      <c r="I375" t="inlineStr">
        <is>
          <t>Local/Transactional</t>
        </is>
      </c>
      <c r="J375" t="inlineStr">
        <is>
          <t>BOFU</t>
        </is>
      </c>
      <c r="K375" t="inlineStr">
        <is>
          <t>Ras Al Khaimah</t>
        </is>
      </c>
      <c r="L375" t="inlineStr">
        <is>
          <t>Location landing</t>
        </is>
      </c>
      <c r="M375">
        <f>IFERROR(VLOOKUP($A375,'Semrush Import'!$A:$D,2,FALSE),"")</f>
        <v/>
      </c>
      <c r="N375">
        <f>IFERROR(VLOOKUP($A375,'Semrush Import'!$A:$D,3,FALSE),"")</f>
        <v/>
      </c>
      <c r="O375">
        <f>IFERROR(VLOOKUP($A375,'Semrush Import'!$A:$D,4,FALSE),"")</f>
        <v/>
      </c>
      <c r="P375">
        <f>IFERROR(VLOOKUP($A375,'KP Import'!$A:$B,2,FALSE),"")</f>
        <v/>
      </c>
      <c r="Q375">
        <f>IF(M375="","",ROUND(M375/(N375+10),1))</f>
        <v/>
      </c>
      <c r="R375">
        <f>IF(Q375="","",IF(Q375&gt;=20,"A - Go first",IF(Q375&gt;=5,"B - Next","C - Later")))</f>
        <v/>
      </c>
      <c r="S375" t="inlineStr">
        <is>
          <t>To do</t>
        </is>
      </c>
      <c r="T375" t="inlineStr"/>
    </row>
    <row r="376">
      <c r="A376" t="inlineStr">
        <is>
          <t>buy rice online ras al khaimah</t>
        </is>
      </c>
      <c r="B376" t="inlineStr">
        <is>
          <t>Phase 2 - B2C (later)</t>
        </is>
      </c>
      <c r="C376" t="inlineStr">
        <is>
          <t>Consumer / household</t>
        </is>
      </c>
      <c r="D376" t="inlineStr">
        <is>
          <t>Emirate page: Ras Al Khaimah</t>
        </is>
      </c>
      <c r="E376" t="inlineStr">
        <is>
          <t>Secondary (long-tail)</t>
        </is>
      </c>
      <c r="F376" t="inlineStr">
        <is>
          <t>H3 / body paragraph / table row / image alt</t>
        </is>
      </c>
      <c r="G376" t="inlineStr">
        <is>
          <t>Location</t>
        </is>
      </c>
      <c r="H376" t="inlineStr">
        <is>
          <t>Buy Rice Online</t>
        </is>
      </c>
      <c r="I376" t="inlineStr">
        <is>
          <t>Local/Transactional</t>
        </is>
      </c>
      <c r="J376" t="inlineStr">
        <is>
          <t>BOFU</t>
        </is>
      </c>
      <c r="K376" t="inlineStr">
        <is>
          <t>Ras Al Khaimah</t>
        </is>
      </c>
      <c r="L376" t="inlineStr">
        <is>
          <t>Location landing</t>
        </is>
      </c>
      <c r="M376">
        <f>IFERROR(VLOOKUP($A376,'Semrush Import'!$A:$D,2,FALSE),"")</f>
        <v/>
      </c>
      <c r="N376">
        <f>IFERROR(VLOOKUP($A376,'Semrush Import'!$A:$D,3,FALSE),"")</f>
        <v/>
      </c>
      <c r="O376">
        <f>IFERROR(VLOOKUP($A376,'Semrush Import'!$A:$D,4,FALSE),"")</f>
        <v/>
      </c>
      <c r="P376">
        <f>IFERROR(VLOOKUP($A376,'KP Import'!$A:$B,2,FALSE),"")</f>
        <v/>
      </c>
      <c r="Q376">
        <f>IF(M376="","",ROUND(M376/(N376+10),1))</f>
        <v/>
      </c>
      <c r="R376">
        <f>IF(Q376="","",IF(Q376&gt;=20,"A - Go first",IF(Q376&gt;=5,"B - Next","C - Later")))</f>
        <v/>
      </c>
      <c r="S376" t="inlineStr">
        <is>
          <t>To do</t>
        </is>
      </c>
      <c r="T376" t="inlineStr"/>
    </row>
    <row r="377">
      <c r="A377" t="inlineStr">
        <is>
          <t>rice delivery ras al khaimah</t>
        </is>
      </c>
      <c r="B377" t="inlineStr">
        <is>
          <t>Phase 2 - B2C (later)</t>
        </is>
      </c>
      <c r="C377" t="inlineStr">
        <is>
          <t>Consumer / household</t>
        </is>
      </c>
      <c r="D377" t="inlineStr">
        <is>
          <t>Emirate page: Ras Al Khaimah</t>
        </is>
      </c>
      <c r="E377" t="inlineStr">
        <is>
          <t>Secondary (long-tail)</t>
        </is>
      </c>
      <c r="F377" t="inlineStr">
        <is>
          <t>H3 / body paragraph / table row / image alt</t>
        </is>
      </c>
      <c r="G377" t="inlineStr">
        <is>
          <t>Location</t>
        </is>
      </c>
      <c r="H377" t="inlineStr">
        <is>
          <t>Rice Delivery</t>
        </is>
      </c>
      <c r="I377" t="inlineStr">
        <is>
          <t>Local/Transactional</t>
        </is>
      </c>
      <c r="J377" t="inlineStr">
        <is>
          <t>BOFU</t>
        </is>
      </c>
      <c r="K377" t="inlineStr">
        <is>
          <t>Ras Al Khaimah</t>
        </is>
      </c>
      <c r="L377" t="inlineStr">
        <is>
          <t>Location landing</t>
        </is>
      </c>
      <c r="M377">
        <f>IFERROR(VLOOKUP($A377,'Semrush Import'!$A:$D,2,FALSE),"")</f>
        <v/>
      </c>
      <c r="N377">
        <f>IFERROR(VLOOKUP($A377,'Semrush Import'!$A:$D,3,FALSE),"")</f>
        <v/>
      </c>
      <c r="O377">
        <f>IFERROR(VLOOKUP($A377,'Semrush Import'!$A:$D,4,FALSE),"")</f>
        <v/>
      </c>
      <c r="P377">
        <f>IFERROR(VLOOKUP($A377,'KP Import'!$A:$B,2,FALSE),"")</f>
        <v/>
      </c>
      <c r="Q377">
        <f>IF(M377="","",ROUND(M377/(N377+10),1))</f>
        <v/>
      </c>
      <c r="R377">
        <f>IF(Q377="","",IF(Q377&gt;=20,"A - Go first",IF(Q377&gt;=5,"B - Next","C - Later")))</f>
        <v/>
      </c>
      <c r="S377" t="inlineStr">
        <is>
          <t>To do</t>
        </is>
      </c>
      <c r="T377" t="inlineStr"/>
    </row>
    <row r="378">
      <c r="A378" t="inlineStr">
        <is>
          <t>sella basmati rice ras al khaimah</t>
        </is>
      </c>
      <c r="B378" t="inlineStr">
        <is>
          <t>Phase 1 - B2B now</t>
        </is>
      </c>
      <c r="C378" t="inlineStr">
        <is>
          <t>Wholesalers / bulk buyers</t>
        </is>
      </c>
      <c r="D378" t="inlineStr">
        <is>
          <t>Emirate page: Ras Al Khaimah</t>
        </is>
      </c>
      <c r="E378" t="inlineStr">
        <is>
          <t>Secondary (long-tail)</t>
        </is>
      </c>
      <c r="F378" t="inlineStr">
        <is>
          <t>H3 / body paragraph / table row / image alt</t>
        </is>
      </c>
      <c r="G378" t="inlineStr">
        <is>
          <t>Location</t>
        </is>
      </c>
      <c r="H378" t="inlineStr">
        <is>
          <t>Sella Basmati Rice</t>
        </is>
      </c>
      <c r="I378" t="inlineStr">
        <is>
          <t>Local/Transactional</t>
        </is>
      </c>
      <c r="J378" t="inlineStr">
        <is>
          <t>BOFU</t>
        </is>
      </c>
      <c r="K378" t="inlineStr">
        <is>
          <t>Ras Al Khaimah</t>
        </is>
      </c>
      <c r="L378" t="inlineStr">
        <is>
          <t>Location landing</t>
        </is>
      </c>
      <c r="M378">
        <f>IFERROR(VLOOKUP($A378,'Semrush Import'!$A:$D,2,FALSE),"")</f>
        <v/>
      </c>
      <c r="N378">
        <f>IFERROR(VLOOKUP($A378,'Semrush Import'!$A:$D,3,FALSE),"")</f>
        <v/>
      </c>
      <c r="O378">
        <f>IFERROR(VLOOKUP($A378,'Semrush Import'!$A:$D,4,FALSE),"")</f>
        <v/>
      </c>
      <c r="P378">
        <f>IFERROR(VLOOKUP($A378,'KP Import'!$A:$B,2,FALSE),"")</f>
        <v/>
      </c>
      <c r="Q378">
        <f>IF(M378="","",ROUND(M378/(N378+10),1))</f>
        <v/>
      </c>
      <c r="R378">
        <f>IF(Q378="","",IF(Q378&gt;=20,"A - Go first",IF(Q378&gt;=5,"B - Next","C - Later")))</f>
        <v/>
      </c>
      <c r="S378" t="inlineStr">
        <is>
          <t>To do</t>
        </is>
      </c>
      <c r="T378" t="inlineStr"/>
    </row>
    <row r="379">
      <c r="A379" t="inlineStr">
        <is>
          <t>basmati rice fujairah</t>
        </is>
      </c>
      <c r="B379" t="inlineStr">
        <is>
          <t>Phase 1 - B2B now</t>
        </is>
      </c>
      <c r="C379" t="inlineStr">
        <is>
          <t>Wholesalers / bulk buyers</t>
        </is>
      </c>
      <c r="D379" t="inlineStr">
        <is>
          <t>Emirate page: Fujairah</t>
        </is>
      </c>
      <c r="E379" t="inlineStr">
        <is>
          <t>Secondary (short)</t>
        </is>
      </c>
      <c r="F379" t="inlineStr">
        <is>
          <t>H2 heading + 1st paragraph under it</t>
        </is>
      </c>
      <c r="G379" t="inlineStr">
        <is>
          <t>Location</t>
        </is>
      </c>
      <c r="H379" t="inlineStr">
        <is>
          <t>Basmati Rice</t>
        </is>
      </c>
      <c r="I379" t="inlineStr">
        <is>
          <t>Local/Transactional</t>
        </is>
      </c>
      <c r="J379" t="inlineStr">
        <is>
          <t>BOFU</t>
        </is>
      </c>
      <c r="K379" t="inlineStr">
        <is>
          <t>Fujairah</t>
        </is>
      </c>
      <c r="L379" t="inlineStr">
        <is>
          <t>Location landing</t>
        </is>
      </c>
      <c r="M379">
        <f>IFERROR(VLOOKUP($A379,'Semrush Import'!$A:$D,2,FALSE),"")</f>
        <v/>
      </c>
      <c r="N379">
        <f>IFERROR(VLOOKUP($A379,'Semrush Import'!$A:$D,3,FALSE),"")</f>
        <v/>
      </c>
      <c r="O379">
        <f>IFERROR(VLOOKUP($A379,'Semrush Import'!$A:$D,4,FALSE),"")</f>
        <v/>
      </c>
      <c r="P379">
        <f>IFERROR(VLOOKUP($A379,'KP Import'!$A:$B,2,FALSE),"")</f>
        <v/>
      </c>
      <c r="Q379">
        <f>IF(M379="","",ROUND(M379/(N379+10),1))</f>
        <v/>
      </c>
      <c r="R379">
        <f>IF(Q379="","",IF(Q379&gt;=20,"A - Go first",IF(Q379&gt;=5,"B - Next","C - Later")))</f>
        <v/>
      </c>
      <c r="S379" t="inlineStr">
        <is>
          <t>To do</t>
        </is>
      </c>
      <c r="T379" t="inlineStr"/>
    </row>
    <row r="380">
      <c r="A380" t="inlineStr">
        <is>
          <t>rice wholesale fujairah</t>
        </is>
      </c>
      <c r="B380" t="inlineStr">
        <is>
          <t>Phase 2 - B2C (later)</t>
        </is>
      </c>
      <c r="C380" t="inlineStr">
        <is>
          <t>Consumer / household</t>
        </is>
      </c>
      <c r="D380" t="inlineStr">
        <is>
          <t>Emirate page: Fujairah</t>
        </is>
      </c>
      <c r="E380" t="inlineStr">
        <is>
          <t>Secondary (short)</t>
        </is>
      </c>
      <c r="F380" t="inlineStr">
        <is>
          <t>H2 heading + 1st paragraph under it</t>
        </is>
      </c>
      <c r="G380" t="inlineStr">
        <is>
          <t>Location</t>
        </is>
      </c>
      <c r="H380" t="inlineStr">
        <is>
          <t>Rice Wholesale</t>
        </is>
      </c>
      <c r="I380" t="inlineStr">
        <is>
          <t>Local/Transactional</t>
        </is>
      </c>
      <c r="J380" t="inlineStr">
        <is>
          <t>BOFU</t>
        </is>
      </c>
      <c r="K380" t="inlineStr">
        <is>
          <t>Fujairah</t>
        </is>
      </c>
      <c r="L380" t="inlineStr">
        <is>
          <t>Location landing</t>
        </is>
      </c>
      <c r="M380">
        <f>IFERROR(VLOOKUP($A380,'Semrush Import'!$A:$D,2,FALSE),"")</f>
        <v/>
      </c>
      <c r="N380">
        <f>IFERROR(VLOOKUP($A380,'Semrush Import'!$A:$D,3,FALSE),"")</f>
        <v/>
      </c>
      <c r="O380">
        <f>IFERROR(VLOOKUP($A380,'Semrush Import'!$A:$D,4,FALSE),"")</f>
        <v/>
      </c>
      <c r="P380">
        <f>IFERROR(VLOOKUP($A380,'KP Import'!$A:$B,2,FALSE),"")</f>
        <v/>
      </c>
      <c r="Q380">
        <f>IF(M380="","",ROUND(M380/(N380+10),1))</f>
        <v/>
      </c>
      <c r="R380">
        <f>IF(Q380="","",IF(Q380&gt;=20,"A - Go first",IF(Q380&gt;=5,"B - Next","C - Later")))</f>
        <v/>
      </c>
      <c r="S380" t="inlineStr">
        <is>
          <t>To do</t>
        </is>
      </c>
      <c r="T380" t="inlineStr"/>
    </row>
    <row r="381">
      <c r="A381" t="inlineStr">
        <is>
          <t>rice supplier fujairah</t>
        </is>
      </c>
      <c r="B381" t="inlineStr">
        <is>
          <t>Phase 1 - B2B now</t>
        </is>
      </c>
      <c r="C381" t="inlineStr">
        <is>
          <t>Wholesalers / bulk buyers</t>
        </is>
      </c>
      <c r="D381" t="inlineStr">
        <is>
          <t>Emirate page: Fujairah</t>
        </is>
      </c>
      <c r="E381" t="inlineStr">
        <is>
          <t>PRIMARY</t>
        </is>
      </c>
      <c r="F381" t="inlineStr">
        <is>
          <t>URL slug + SEO title + H1 + meta description + first 100 words</t>
        </is>
      </c>
      <c r="G381" t="inlineStr">
        <is>
          <t>Location</t>
        </is>
      </c>
      <c r="H381" t="inlineStr">
        <is>
          <t>Rice Supplier</t>
        </is>
      </c>
      <c r="I381" t="inlineStr">
        <is>
          <t>Local/Transactional</t>
        </is>
      </c>
      <c r="J381" t="inlineStr">
        <is>
          <t>BOFU</t>
        </is>
      </c>
      <c r="K381" t="inlineStr">
        <is>
          <t>Fujairah</t>
        </is>
      </c>
      <c r="L381" t="inlineStr">
        <is>
          <t>Location landing</t>
        </is>
      </c>
      <c r="M381">
        <f>IFERROR(VLOOKUP($A381,'Semrush Import'!$A:$D,2,FALSE),"")</f>
        <v/>
      </c>
      <c r="N381">
        <f>IFERROR(VLOOKUP($A381,'Semrush Import'!$A:$D,3,FALSE),"")</f>
        <v/>
      </c>
      <c r="O381">
        <f>IFERROR(VLOOKUP($A381,'Semrush Import'!$A:$D,4,FALSE),"")</f>
        <v/>
      </c>
      <c r="P381">
        <f>IFERROR(VLOOKUP($A381,'KP Import'!$A:$B,2,FALSE),"")</f>
        <v/>
      </c>
      <c r="Q381">
        <f>IF(M381="","",ROUND(M381/(N381+10),1))</f>
        <v/>
      </c>
      <c r="R381">
        <f>IF(Q381="","",IF(Q381&gt;=20,"A - Go first",IF(Q381&gt;=5,"B - Next","C - Later")))</f>
        <v/>
      </c>
      <c r="S381" t="inlineStr">
        <is>
          <t>To do</t>
        </is>
      </c>
      <c r="T381" t="inlineStr"/>
    </row>
    <row r="382">
      <c r="A382" t="inlineStr">
        <is>
          <t>buy rice online fujairah</t>
        </is>
      </c>
      <c r="B382" t="inlineStr">
        <is>
          <t>Phase 2 - B2C (later)</t>
        </is>
      </c>
      <c r="C382" t="inlineStr">
        <is>
          <t>Consumer / household</t>
        </is>
      </c>
      <c r="D382" t="inlineStr">
        <is>
          <t>Emirate page: Fujairah</t>
        </is>
      </c>
      <c r="E382" t="inlineStr">
        <is>
          <t>Secondary (long-tail)</t>
        </is>
      </c>
      <c r="F382" t="inlineStr">
        <is>
          <t>H3 / body paragraph / table row / image alt</t>
        </is>
      </c>
      <c r="G382" t="inlineStr">
        <is>
          <t>Location</t>
        </is>
      </c>
      <c r="H382" t="inlineStr">
        <is>
          <t>Buy Rice Online</t>
        </is>
      </c>
      <c r="I382" t="inlineStr">
        <is>
          <t>Local/Transactional</t>
        </is>
      </c>
      <c r="J382" t="inlineStr">
        <is>
          <t>BOFU</t>
        </is>
      </c>
      <c r="K382" t="inlineStr">
        <is>
          <t>Fujairah</t>
        </is>
      </c>
      <c r="L382" t="inlineStr">
        <is>
          <t>Location landing</t>
        </is>
      </c>
      <c r="M382">
        <f>IFERROR(VLOOKUP($A382,'Semrush Import'!$A:$D,2,FALSE),"")</f>
        <v/>
      </c>
      <c r="N382">
        <f>IFERROR(VLOOKUP($A382,'Semrush Import'!$A:$D,3,FALSE),"")</f>
        <v/>
      </c>
      <c r="O382">
        <f>IFERROR(VLOOKUP($A382,'Semrush Import'!$A:$D,4,FALSE),"")</f>
        <v/>
      </c>
      <c r="P382">
        <f>IFERROR(VLOOKUP($A382,'KP Import'!$A:$B,2,FALSE),"")</f>
        <v/>
      </c>
      <c r="Q382">
        <f>IF(M382="","",ROUND(M382/(N382+10),1))</f>
        <v/>
      </c>
      <c r="R382">
        <f>IF(Q382="","",IF(Q382&gt;=20,"A - Go first",IF(Q382&gt;=5,"B - Next","C - Later")))</f>
        <v/>
      </c>
      <c r="S382" t="inlineStr">
        <is>
          <t>To do</t>
        </is>
      </c>
      <c r="T382" t="inlineStr"/>
    </row>
    <row r="383">
      <c r="A383" t="inlineStr">
        <is>
          <t>rice delivery fujairah</t>
        </is>
      </c>
      <c r="B383" t="inlineStr">
        <is>
          <t>Phase 2 - B2C (later)</t>
        </is>
      </c>
      <c r="C383" t="inlineStr">
        <is>
          <t>Consumer / household</t>
        </is>
      </c>
      <c r="D383" t="inlineStr">
        <is>
          <t>Emirate page: Fujairah</t>
        </is>
      </c>
      <c r="E383" t="inlineStr">
        <is>
          <t>Secondary (short)</t>
        </is>
      </c>
      <c r="F383" t="inlineStr">
        <is>
          <t>H2 heading + 1st paragraph under it</t>
        </is>
      </c>
      <c r="G383" t="inlineStr">
        <is>
          <t>Location</t>
        </is>
      </c>
      <c r="H383" t="inlineStr">
        <is>
          <t>Rice Delivery</t>
        </is>
      </c>
      <c r="I383" t="inlineStr">
        <is>
          <t>Local/Transactional</t>
        </is>
      </c>
      <c r="J383" t="inlineStr">
        <is>
          <t>BOFU</t>
        </is>
      </c>
      <c r="K383" t="inlineStr">
        <is>
          <t>Fujairah</t>
        </is>
      </c>
      <c r="L383" t="inlineStr">
        <is>
          <t>Location landing</t>
        </is>
      </c>
      <c r="M383">
        <f>IFERROR(VLOOKUP($A383,'Semrush Import'!$A:$D,2,FALSE),"")</f>
        <v/>
      </c>
      <c r="N383">
        <f>IFERROR(VLOOKUP($A383,'Semrush Import'!$A:$D,3,FALSE),"")</f>
        <v/>
      </c>
      <c r="O383">
        <f>IFERROR(VLOOKUP($A383,'Semrush Import'!$A:$D,4,FALSE),"")</f>
        <v/>
      </c>
      <c r="P383">
        <f>IFERROR(VLOOKUP($A383,'KP Import'!$A:$B,2,FALSE),"")</f>
        <v/>
      </c>
      <c r="Q383">
        <f>IF(M383="","",ROUND(M383/(N383+10),1))</f>
        <v/>
      </c>
      <c r="R383">
        <f>IF(Q383="","",IF(Q383&gt;=20,"A - Go first",IF(Q383&gt;=5,"B - Next","C - Later")))</f>
        <v/>
      </c>
      <c r="S383" t="inlineStr">
        <is>
          <t>To do</t>
        </is>
      </c>
      <c r="T383" t="inlineStr"/>
    </row>
    <row r="384">
      <c r="A384" t="inlineStr">
        <is>
          <t>sella basmati rice fujairah</t>
        </is>
      </c>
      <c r="B384" t="inlineStr">
        <is>
          <t>Phase 1 - B2B now</t>
        </is>
      </c>
      <c r="C384" t="inlineStr">
        <is>
          <t>Wholesalers / bulk buyers</t>
        </is>
      </c>
      <c r="D384" t="inlineStr">
        <is>
          <t>Emirate page: Fujairah</t>
        </is>
      </c>
      <c r="E384" t="inlineStr">
        <is>
          <t>Secondary (long-tail)</t>
        </is>
      </c>
      <c r="F384" t="inlineStr">
        <is>
          <t>H3 / body paragraph / table row / image alt</t>
        </is>
      </c>
      <c r="G384" t="inlineStr">
        <is>
          <t>Location</t>
        </is>
      </c>
      <c r="H384" t="inlineStr">
        <is>
          <t>Sella Basmati Rice</t>
        </is>
      </c>
      <c r="I384" t="inlineStr">
        <is>
          <t>Local/Transactional</t>
        </is>
      </c>
      <c r="J384" t="inlineStr">
        <is>
          <t>BOFU</t>
        </is>
      </c>
      <c r="K384" t="inlineStr">
        <is>
          <t>Fujairah</t>
        </is>
      </c>
      <c r="L384" t="inlineStr">
        <is>
          <t>Location landing</t>
        </is>
      </c>
      <c r="M384">
        <f>IFERROR(VLOOKUP($A384,'Semrush Import'!$A:$D,2,FALSE),"")</f>
        <v/>
      </c>
      <c r="N384">
        <f>IFERROR(VLOOKUP($A384,'Semrush Import'!$A:$D,3,FALSE),"")</f>
        <v/>
      </c>
      <c r="O384">
        <f>IFERROR(VLOOKUP($A384,'Semrush Import'!$A:$D,4,FALSE),"")</f>
        <v/>
      </c>
      <c r="P384">
        <f>IFERROR(VLOOKUP($A384,'KP Import'!$A:$B,2,FALSE),"")</f>
        <v/>
      </c>
      <c r="Q384">
        <f>IF(M384="","",ROUND(M384/(N384+10),1))</f>
        <v/>
      </c>
      <c r="R384">
        <f>IF(Q384="","",IF(Q384&gt;=20,"A - Go first",IF(Q384&gt;=5,"B - Next","C - Later")))</f>
        <v/>
      </c>
      <c r="S384" t="inlineStr">
        <is>
          <t>To do</t>
        </is>
      </c>
      <c r="T384" t="inlineStr"/>
    </row>
    <row r="385">
      <c r="A385" t="inlineStr">
        <is>
          <t>basmati rice umm al quwain</t>
        </is>
      </c>
      <c r="B385" t="inlineStr">
        <is>
          <t>Phase 1 - B2B now</t>
        </is>
      </c>
      <c r="C385" t="inlineStr">
        <is>
          <t>Wholesalers / bulk buyers</t>
        </is>
      </c>
      <c r="D385" t="inlineStr">
        <is>
          <t>Emirate page: Umm Al Quwain</t>
        </is>
      </c>
      <c r="E385" t="inlineStr">
        <is>
          <t>Secondary (long-tail)</t>
        </is>
      </c>
      <c r="F385" t="inlineStr">
        <is>
          <t>H3 / body paragraph / table row / image alt</t>
        </is>
      </c>
      <c r="G385" t="inlineStr">
        <is>
          <t>Location</t>
        </is>
      </c>
      <c r="H385" t="inlineStr">
        <is>
          <t>Basmati Rice</t>
        </is>
      </c>
      <c r="I385" t="inlineStr">
        <is>
          <t>Local/Transactional</t>
        </is>
      </c>
      <c r="J385" t="inlineStr">
        <is>
          <t>BOFU</t>
        </is>
      </c>
      <c r="K385" t="inlineStr">
        <is>
          <t>Umm Al Quwain</t>
        </is>
      </c>
      <c r="L385" t="inlineStr">
        <is>
          <t>Location landing</t>
        </is>
      </c>
      <c r="M385">
        <f>IFERROR(VLOOKUP($A385,'Semrush Import'!$A:$D,2,FALSE),"")</f>
        <v/>
      </c>
      <c r="N385">
        <f>IFERROR(VLOOKUP($A385,'Semrush Import'!$A:$D,3,FALSE),"")</f>
        <v/>
      </c>
      <c r="O385">
        <f>IFERROR(VLOOKUP($A385,'Semrush Import'!$A:$D,4,FALSE),"")</f>
        <v/>
      </c>
      <c r="P385">
        <f>IFERROR(VLOOKUP($A385,'KP Import'!$A:$B,2,FALSE),"")</f>
        <v/>
      </c>
      <c r="Q385">
        <f>IF(M385="","",ROUND(M385/(N385+10),1))</f>
        <v/>
      </c>
      <c r="R385">
        <f>IF(Q385="","",IF(Q385&gt;=20,"A - Go first",IF(Q385&gt;=5,"B - Next","C - Later")))</f>
        <v/>
      </c>
      <c r="S385" t="inlineStr">
        <is>
          <t>To do</t>
        </is>
      </c>
      <c r="T385" t="inlineStr"/>
    </row>
    <row r="386">
      <c r="A386" t="inlineStr">
        <is>
          <t>rice wholesale umm al quwain</t>
        </is>
      </c>
      <c r="B386" t="inlineStr">
        <is>
          <t>Phase 2 - B2C (later)</t>
        </is>
      </c>
      <c r="C386" t="inlineStr">
        <is>
          <t>Consumer / household</t>
        </is>
      </c>
      <c r="D386" t="inlineStr">
        <is>
          <t>Emirate page: Umm Al Quwain</t>
        </is>
      </c>
      <c r="E386" t="inlineStr">
        <is>
          <t>Secondary (long-tail)</t>
        </is>
      </c>
      <c r="F386" t="inlineStr">
        <is>
          <t>H3 / body paragraph / table row / image alt</t>
        </is>
      </c>
      <c r="G386" t="inlineStr">
        <is>
          <t>Location</t>
        </is>
      </c>
      <c r="H386" t="inlineStr">
        <is>
          <t>Rice Wholesale</t>
        </is>
      </c>
      <c r="I386" t="inlineStr">
        <is>
          <t>Local/Transactional</t>
        </is>
      </c>
      <c r="J386" t="inlineStr">
        <is>
          <t>BOFU</t>
        </is>
      </c>
      <c r="K386" t="inlineStr">
        <is>
          <t>Umm Al Quwain</t>
        </is>
      </c>
      <c r="L386" t="inlineStr">
        <is>
          <t>Location landing</t>
        </is>
      </c>
      <c r="M386">
        <f>IFERROR(VLOOKUP($A386,'Semrush Import'!$A:$D,2,FALSE),"")</f>
        <v/>
      </c>
      <c r="N386">
        <f>IFERROR(VLOOKUP($A386,'Semrush Import'!$A:$D,3,FALSE),"")</f>
        <v/>
      </c>
      <c r="O386">
        <f>IFERROR(VLOOKUP($A386,'Semrush Import'!$A:$D,4,FALSE),"")</f>
        <v/>
      </c>
      <c r="P386">
        <f>IFERROR(VLOOKUP($A386,'KP Import'!$A:$B,2,FALSE),"")</f>
        <v/>
      </c>
      <c r="Q386">
        <f>IF(M386="","",ROUND(M386/(N386+10),1))</f>
        <v/>
      </c>
      <c r="R386">
        <f>IF(Q386="","",IF(Q386&gt;=20,"A - Go first",IF(Q386&gt;=5,"B - Next","C - Later")))</f>
        <v/>
      </c>
      <c r="S386" t="inlineStr">
        <is>
          <t>To do</t>
        </is>
      </c>
      <c r="T386" t="inlineStr"/>
    </row>
    <row r="387">
      <c r="A387" t="inlineStr">
        <is>
          <t>rice supplier umm al quwain</t>
        </is>
      </c>
      <c r="B387" t="inlineStr">
        <is>
          <t>Phase 1 - B2B now</t>
        </is>
      </c>
      <c r="C387" t="inlineStr">
        <is>
          <t>Wholesalers / bulk buyers</t>
        </is>
      </c>
      <c r="D387" t="inlineStr">
        <is>
          <t>Emirate page: Umm Al Quwain</t>
        </is>
      </c>
      <c r="E387" t="inlineStr">
        <is>
          <t>PRIMARY</t>
        </is>
      </c>
      <c r="F387" t="inlineStr">
        <is>
          <t>URL slug + SEO title + H1 + meta description + first 100 words</t>
        </is>
      </c>
      <c r="G387" t="inlineStr">
        <is>
          <t>Location</t>
        </is>
      </c>
      <c r="H387" t="inlineStr">
        <is>
          <t>Rice Supplier</t>
        </is>
      </c>
      <c r="I387" t="inlineStr">
        <is>
          <t>Local/Transactional</t>
        </is>
      </c>
      <c r="J387" t="inlineStr">
        <is>
          <t>BOFU</t>
        </is>
      </c>
      <c r="K387" t="inlineStr">
        <is>
          <t>Umm Al Quwain</t>
        </is>
      </c>
      <c r="L387" t="inlineStr">
        <is>
          <t>Location landing</t>
        </is>
      </c>
      <c r="M387">
        <f>IFERROR(VLOOKUP($A387,'Semrush Import'!$A:$D,2,FALSE),"")</f>
        <v/>
      </c>
      <c r="N387">
        <f>IFERROR(VLOOKUP($A387,'Semrush Import'!$A:$D,3,FALSE),"")</f>
        <v/>
      </c>
      <c r="O387">
        <f>IFERROR(VLOOKUP($A387,'Semrush Import'!$A:$D,4,FALSE),"")</f>
        <v/>
      </c>
      <c r="P387">
        <f>IFERROR(VLOOKUP($A387,'KP Import'!$A:$B,2,FALSE),"")</f>
        <v/>
      </c>
      <c r="Q387">
        <f>IF(M387="","",ROUND(M387/(N387+10),1))</f>
        <v/>
      </c>
      <c r="R387">
        <f>IF(Q387="","",IF(Q387&gt;=20,"A - Go first",IF(Q387&gt;=5,"B - Next","C - Later")))</f>
        <v/>
      </c>
      <c r="S387" t="inlineStr">
        <is>
          <t>To do</t>
        </is>
      </c>
      <c r="T387" t="inlineStr"/>
    </row>
    <row r="388">
      <c r="A388" t="inlineStr">
        <is>
          <t>buy rice online umm al quwain</t>
        </is>
      </c>
      <c r="B388" t="inlineStr">
        <is>
          <t>Phase 2 - B2C (later)</t>
        </is>
      </c>
      <c r="C388" t="inlineStr">
        <is>
          <t>Consumer / household</t>
        </is>
      </c>
      <c r="D388" t="inlineStr">
        <is>
          <t>Emirate page: Umm Al Quwain</t>
        </is>
      </c>
      <c r="E388" t="inlineStr">
        <is>
          <t>Secondary (long-tail)</t>
        </is>
      </c>
      <c r="F388" t="inlineStr">
        <is>
          <t>H3 / body paragraph / table row / image alt</t>
        </is>
      </c>
      <c r="G388" t="inlineStr">
        <is>
          <t>Location</t>
        </is>
      </c>
      <c r="H388" t="inlineStr">
        <is>
          <t>Buy Rice Online</t>
        </is>
      </c>
      <c r="I388" t="inlineStr">
        <is>
          <t>Local/Transactional</t>
        </is>
      </c>
      <c r="J388" t="inlineStr">
        <is>
          <t>BOFU</t>
        </is>
      </c>
      <c r="K388" t="inlineStr">
        <is>
          <t>Umm Al Quwain</t>
        </is>
      </c>
      <c r="L388" t="inlineStr">
        <is>
          <t>Location landing</t>
        </is>
      </c>
      <c r="M388">
        <f>IFERROR(VLOOKUP($A388,'Semrush Import'!$A:$D,2,FALSE),"")</f>
        <v/>
      </c>
      <c r="N388">
        <f>IFERROR(VLOOKUP($A388,'Semrush Import'!$A:$D,3,FALSE),"")</f>
        <v/>
      </c>
      <c r="O388">
        <f>IFERROR(VLOOKUP($A388,'Semrush Import'!$A:$D,4,FALSE),"")</f>
        <v/>
      </c>
      <c r="P388">
        <f>IFERROR(VLOOKUP($A388,'KP Import'!$A:$B,2,FALSE),"")</f>
        <v/>
      </c>
      <c r="Q388">
        <f>IF(M388="","",ROUND(M388/(N388+10),1))</f>
        <v/>
      </c>
      <c r="R388">
        <f>IF(Q388="","",IF(Q388&gt;=20,"A - Go first",IF(Q388&gt;=5,"B - Next","C - Later")))</f>
        <v/>
      </c>
      <c r="S388" t="inlineStr">
        <is>
          <t>To do</t>
        </is>
      </c>
      <c r="T388" t="inlineStr"/>
    </row>
    <row r="389">
      <c r="A389" t="inlineStr">
        <is>
          <t>rice delivery umm al quwain</t>
        </is>
      </c>
      <c r="B389" t="inlineStr">
        <is>
          <t>Phase 2 - B2C (later)</t>
        </is>
      </c>
      <c r="C389" t="inlineStr">
        <is>
          <t>Consumer / household</t>
        </is>
      </c>
      <c r="D389" t="inlineStr">
        <is>
          <t>Emirate page: Umm Al Quwain</t>
        </is>
      </c>
      <c r="E389" t="inlineStr">
        <is>
          <t>Secondary (long-tail)</t>
        </is>
      </c>
      <c r="F389" t="inlineStr">
        <is>
          <t>H3 / body paragraph / table row / image alt</t>
        </is>
      </c>
      <c r="G389" t="inlineStr">
        <is>
          <t>Location</t>
        </is>
      </c>
      <c r="H389" t="inlineStr">
        <is>
          <t>Rice Delivery</t>
        </is>
      </c>
      <c r="I389" t="inlineStr">
        <is>
          <t>Local/Transactional</t>
        </is>
      </c>
      <c r="J389" t="inlineStr">
        <is>
          <t>BOFU</t>
        </is>
      </c>
      <c r="K389" t="inlineStr">
        <is>
          <t>Umm Al Quwain</t>
        </is>
      </c>
      <c r="L389" t="inlineStr">
        <is>
          <t>Location landing</t>
        </is>
      </c>
      <c r="M389">
        <f>IFERROR(VLOOKUP($A389,'Semrush Import'!$A:$D,2,FALSE),"")</f>
        <v/>
      </c>
      <c r="N389">
        <f>IFERROR(VLOOKUP($A389,'Semrush Import'!$A:$D,3,FALSE),"")</f>
        <v/>
      </c>
      <c r="O389">
        <f>IFERROR(VLOOKUP($A389,'Semrush Import'!$A:$D,4,FALSE),"")</f>
        <v/>
      </c>
      <c r="P389">
        <f>IFERROR(VLOOKUP($A389,'KP Import'!$A:$B,2,FALSE),"")</f>
        <v/>
      </c>
      <c r="Q389">
        <f>IF(M389="","",ROUND(M389/(N389+10),1))</f>
        <v/>
      </c>
      <c r="R389">
        <f>IF(Q389="","",IF(Q389&gt;=20,"A - Go first",IF(Q389&gt;=5,"B - Next","C - Later")))</f>
        <v/>
      </c>
      <c r="S389" t="inlineStr">
        <is>
          <t>To do</t>
        </is>
      </c>
      <c r="T389" t="inlineStr"/>
    </row>
    <row r="390">
      <c r="A390" t="inlineStr">
        <is>
          <t>sella basmati rice umm al quwain</t>
        </is>
      </c>
      <c r="B390" t="inlineStr">
        <is>
          <t>Phase 1 - B2B now</t>
        </is>
      </c>
      <c r="C390" t="inlineStr">
        <is>
          <t>Wholesalers / bulk buyers</t>
        </is>
      </c>
      <c r="D390" t="inlineStr">
        <is>
          <t>Emirate page: Umm Al Quwain</t>
        </is>
      </c>
      <c r="E390" t="inlineStr">
        <is>
          <t>Secondary (long-tail)</t>
        </is>
      </c>
      <c r="F390" t="inlineStr">
        <is>
          <t>H3 / body paragraph / table row / image alt</t>
        </is>
      </c>
      <c r="G390" t="inlineStr">
        <is>
          <t>Location</t>
        </is>
      </c>
      <c r="H390" t="inlineStr">
        <is>
          <t>Sella Basmati Rice</t>
        </is>
      </c>
      <c r="I390" t="inlineStr">
        <is>
          <t>Local/Transactional</t>
        </is>
      </c>
      <c r="J390" t="inlineStr">
        <is>
          <t>BOFU</t>
        </is>
      </c>
      <c r="K390" t="inlineStr">
        <is>
          <t>Umm Al Quwain</t>
        </is>
      </c>
      <c r="L390" t="inlineStr">
        <is>
          <t>Location landing</t>
        </is>
      </c>
      <c r="M390">
        <f>IFERROR(VLOOKUP($A390,'Semrush Import'!$A:$D,2,FALSE),"")</f>
        <v/>
      </c>
      <c r="N390">
        <f>IFERROR(VLOOKUP($A390,'Semrush Import'!$A:$D,3,FALSE),"")</f>
        <v/>
      </c>
      <c r="O390">
        <f>IFERROR(VLOOKUP($A390,'Semrush Import'!$A:$D,4,FALSE),"")</f>
        <v/>
      </c>
      <c r="P390">
        <f>IFERROR(VLOOKUP($A390,'KP Import'!$A:$B,2,FALSE),"")</f>
        <v/>
      </c>
      <c r="Q390">
        <f>IF(M390="","",ROUND(M390/(N390+10),1))</f>
        <v/>
      </c>
      <c r="R390">
        <f>IF(Q390="","",IF(Q390&gt;=20,"A - Go first",IF(Q390&gt;=5,"B - Next","C - Later")))</f>
        <v/>
      </c>
      <c r="S390" t="inlineStr">
        <is>
          <t>To do</t>
        </is>
      </c>
      <c r="T390" t="inlineStr"/>
    </row>
    <row r="391">
      <c r="A391" t="inlineStr">
        <is>
          <t>basmati rice al ain</t>
        </is>
      </c>
      <c r="B391" t="inlineStr">
        <is>
          <t>Phase 1 - B2B now</t>
        </is>
      </c>
      <c r="C391" t="inlineStr">
        <is>
          <t>Wholesalers / bulk buyers</t>
        </is>
      </c>
      <c r="D391" t="inlineStr">
        <is>
          <t>Emirate page: Al Ain</t>
        </is>
      </c>
      <c r="E391" t="inlineStr">
        <is>
          <t>Secondary (long-tail)</t>
        </is>
      </c>
      <c r="F391" t="inlineStr">
        <is>
          <t>H3 / body paragraph / table row / image alt</t>
        </is>
      </c>
      <c r="G391" t="inlineStr">
        <is>
          <t>Location</t>
        </is>
      </c>
      <c r="H391" t="inlineStr">
        <is>
          <t>Basmati Rice</t>
        </is>
      </c>
      <c r="I391" t="inlineStr">
        <is>
          <t>Local/Transactional</t>
        </is>
      </c>
      <c r="J391" t="inlineStr">
        <is>
          <t>BOFU</t>
        </is>
      </c>
      <c r="K391" t="inlineStr">
        <is>
          <t>Al Ain</t>
        </is>
      </c>
      <c r="L391" t="inlineStr">
        <is>
          <t>Location landing</t>
        </is>
      </c>
      <c r="M391">
        <f>IFERROR(VLOOKUP($A391,'Semrush Import'!$A:$D,2,FALSE),"")</f>
        <v/>
      </c>
      <c r="N391">
        <f>IFERROR(VLOOKUP($A391,'Semrush Import'!$A:$D,3,FALSE),"")</f>
        <v/>
      </c>
      <c r="O391">
        <f>IFERROR(VLOOKUP($A391,'Semrush Import'!$A:$D,4,FALSE),"")</f>
        <v/>
      </c>
      <c r="P391">
        <f>IFERROR(VLOOKUP($A391,'KP Import'!$A:$B,2,FALSE),"")</f>
        <v/>
      </c>
      <c r="Q391">
        <f>IF(M391="","",ROUND(M391/(N391+10),1))</f>
        <v/>
      </c>
      <c r="R391">
        <f>IF(Q391="","",IF(Q391&gt;=20,"A - Go first",IF(Q391&gt;=5,"B - Next","C - Later")))</f>
        <v/>
      </c>
      <c r="S391" t="inlineStr">
        <is>
          <t>To do</t>
        </is>
      </c>
      <c r="T391" t="inlineStr"/>
    </row>
    <row r="392">
      <c r="A392" t="inlineStr">
        <is>
          <t>rice wholesale al ain</t>
        </is>
      </c>
      <c r="B392" t="inlineStr">
        <is>
          <t>Phase 2 - B2C (later)</t>
        </is>
      </c>
      <c r="C392" t="inlineStr">
        <is>
          <t>Consumer / household</t>
        </is>
      </c>
      <c r="D392" t="inlineStr">
        <is>
          <t>Emirate page: Al Ain</t>
        </is>
      </c>
      <c r="E392" t="inlineStr">
        <is>
          <t>Secondary (long-tail)</t>
        </is>
      </c>
      <c r="F392" t="inlineStr">
        <is>
          <t>H3 / body paragraph / table row / image alt</t>
        </is>
      </c>
      <c r="G392" t="inlineStr">
        <is>
          <t>Location</t>
        </is>
      </c>
      <c r="H392" t="inlineStr">
        <is>
          <t>Rice Wholesale</t>
        </is>
      </c>
      <c r="I392" t="inlineStr">
        <is>
          <t>Local/Transactional</t>
        </is>
      </c>
      <c r="J392" t="inlineStr">
        <is>
          <t>BOFU</t>
        </is>
      </c>
      <c r="K392" t="inlineStr">
        <is>
          <t>Al Ain</t>
        </is>
      </c>
      <c r="L392" t="inlineStr">
        <is>
          <t>Location landing</t>
        </is>
      </c>
      <c r="M392">
        <f>IFERROR(VLOOKUP($A392,'Semrush Import'!$A:$D,2,FALSE),"")</f>
        <v/>
      </c>
      <c r="N392">
        <f>IFERROR(VLOOKUP($A392,'Semrush Import'!$A:$D,3,FALSE),"")</f>
        <v/>
      </c>
      <c r="O392">
        <f>IFERROR(VLOOKUP($A392,'Semrush Import'!$A:$D,4,FALSE),"")</f>
        <v/>
      </c>
      <c r="P392">
        <f>IFERROR(VLOOKUP($A392,'KP Import'!$A:$B,2,FALSE),"")</f>
        <v/>
      </c>
      <c r="Q392">
        <f>IF(M392="","",ROUND(M392/(N392+10),1))</f>
        <v/>
      </c>
      <c r="R392">
        <f>IF(Q392="","",IF(Q392&gt;=20,"A - Go first",IF(Q392&gt;=5,"B - Next","C - Later")))</f>
        <v/>
      </c>
      <c r="S392" t="inlineStr">
        <is>
          <t>To do</t>
        </is>
      </c>
      <c r="T392" t="inlineStr"/>
    </row>
    <row r="393">
      <c r="A393" t="inlineStr">
        <is>
          <t>rice supplier al ain</t>
        </is>
      </c>
      <c r="B393" t="inlineStr">
        <is>
          <t>Phase 1 - B2B now</t>
        </is>
      </c>
      <c r="C393" t="inlineStr">
        <is>
          <t>Wholesalers / bulk buyers</t>
        </is>
      </c>
      <c r="D393" t="inlineStr">
        <is>
          <t>Emirate page: Al Ain</t>
        </is>
      </c>
      <c r="E393" t="inlineStr">
        <is>
          <t>PRIMARY</t>
        </is>
      </c>
      <c r="F393" t="inlineStr">
        <is>
          <t>URL slug + SEO title + H1 + meta description + first 100 words</t>
        </is>
      </c>
      <c r="G393" t="inlineStr">
        <is>
          <t>Location</t>
        </is>
      </c>
      <c r="H393" t="inlineStr">
        <is>
          <t>Rice Supplier</t>
        </is>
      </c>
      <c r="I393" t="inlineStr">
        <is>
          <t>Local/Transactional</t>
        </is>
      </c>
      <c r="J393" t="inlineStr">
        <is>
          <t>BOFU</t>
        </is>
      </c>
      <c r="K393" t="inlineStr">
        <is>
          <t>Al Ain</t>
        </is>
      </c>
      <c r="L393" t="inlineStr">
        <is>
          <t>Location landing</t>
        </is>
      </c>
      <c r="M393">
        <f>IFERROR(VLOOKUP($A393,'Semrush Import'!$A:$D,2,FALSE),"")</f>
        <v/>
      </c>
      <c r="N393">
        <f>IFERROR(VLOOKUP($A393,'Semrush Import'!$A:$D,3,FALSE),"")</f>
        <v/>
      </c>
      <c r="O393">
        <f>IFERROR(VLOOKUP($A393,'Semrush Import'!$A:$D,4,FALSE),"")</f>
        <v/>
      </c>
      <c r="P393">
        <f>IFERROR(VLOOKUP($A393,'KP Import'!$A:$B,2,FALSE),"")</f>
        <v/>
      </c>
      <c r="Q393">
        <f>IF(M393="","",ROUND(M393/(N393+10),1))</f>
        <v/>
      </c>
      <c r="R393">
        <f>IF(Q393="","",IF(Q393&gt;=20,"A - Go first",IF(Q393&gt;=5,"B - Next","C - Later")))</f>
        <v/>
      </c>
      <c r="S393" t="inlineStr">
        <is>
          <t>To do</t>
        </is>
      </c>
      <c r="T393" t="inlineStr"/>
    </row>
    <row r="394">
      <c r="A394" t="inlineStr">
        <is>
          <t>buy rice online al ain</t>
        </is>
      </c>
      <c r="B394" t="inlineStr">
        <is>
          <t>Phase 2 - B2C (later)</t>
        </is>
      </c>
      <c r="C394" t="inlineStr">
        <is>
          <t>Consumer / household</t>
        </is>
      </c>
      <c r="D394" t="inlineStr">
        <is>
          <t>Emirate page: Al Ain</t>
        </is>
      </c>
      <c r="E394" t="inlineStr">
        <is>
          <t>Secondary (long-tail)</t>
        </is>
      </c>
      <c r="F394" t="inlineStr">
        <is>
          <t>H3 / body paragraph / table row / image alt</t>
        </is>
      </c>
      <c r="G394" t="inlineStr">
        <is>
          <t>Location</t>
        </is>
      </c>
      <c r="H394" t="inlineStr">
        <is>
          <t>Buy Rice Online</t>
        </is>
      </c>
      <c r="I394" t="inlineStr">
        <is>
          <t>Local/Transactional</t>
        </is>
      </c>
      <c r="J394" t="inlineStr">
        <is>
          <t>BOFU</t>
        </is>
      </c>
      <c r="K394" t="inlineStr">
        <is>
          <t>Al Ain</t>
        </is>
      </c>
      <c r="L394" t="inlineStr">
        <is>
          <t>Location landing</t>
        </is>
      </c>
      <c r="M394">
        <f>IFERROR(VLOOKUP($A394,'Semrush Import'!$A:$D,2,FALSE),"")</f>
        <v/>
      </c>
      <c r="N394">
        <f>IFERROR(VLOOKUP($A394,'Semrush Import'!$A:$D,3,FALSE),"")</f>
        <v/>
      </c>
      <c r="O394">
        <f>IFERROR(VLOOKUP($A394,'Semrush Import'!$A:$D,4,FALSE),"")</f>
        <v/>
      </c>
      <c r="P394">
        <f>IFERROR(VLOOKUP($A394,'KP Import'!$A:$B,2,FALSE),"")</f>
        <v/>
      </c>
      <c r="Q394">
        <f>IF(M394="","",ROUND(M394/(N394+10),1))</f>
        <v/>
      </c>
      <c r="R394">
        <f>IF(Q394="","",IF(Q394&gt;=20,"A - Go first",IF(Q394&gt;=5,"B - Next","C - Later")))</f>
        <v/>
      </c>
      <c r="S394" t="inlineStr">
        <is>
          <t>To do</t>
        </is>
      </c>
      <c r="T394" t="inlineStr"/>
    </row>
    <row r="395">
      <c r="A395" t="inlineStr">
        <is>
          <t>rice delivery al ain</t>
        </is>
      </c>
      <c r="B395" t="inlineStr">
        <is>
          <t>Phase 2 - B2C (later)</t>
        </is>
      </c>
      <c r="C395" t="inlineStr">
        <is>
          <t>Consumer / household</t>
        </is>
      </c>
      <c r="D395" t="inlineStr">
        <is>
          <t>Emirate page: Al Ain</t>
        </is>
      </c>
      <c r="E395" t="inlineStr">
        <is>
          <t>Secondary (long-tail)</t>
        </is>
      </c>
      <c r="F395" t="inlineStr">
        <is>
          <t>H3 / body paragraph / table row / image alt</t>
        </is>
      </c>
      <c r="G395" t="inlineStr">
        <is>
          <t>Location</t>
        </is>
      </c>
      <c r="H395" t="inlineStr">
        <is>
          <t>Rice Delivery</t>
        </is>
      </c>
      <c r="I395" t="inlineStr">
        <is>
          <t>Local/Transactional</t>
        </is>
      </c>
      <c r="J395" t="inlineStr">
        <is>
          <t>BOFU</t>
        </is>
      </c>
      <c r="K395" t="inlineStr">
        <is>
          <t>Al Ain</t>
        </is>
      </c>
      <c r="L395" t="inlineStr">
        <is>
          <t>Location landing</t>
        </is>
      </c>
      <c r="M395">
        <f>IFERROR(VLOOKUP($A395,'Semrush Import'!$A:$D,2,FALSE),"")</f>
        <v/>
      </c>
      <c r="N395">
        <f>IFERROR(VLOOKUP($A395,'Semrush Import'!$A:$D,3,FALSE),"")</f>
        <v/>
      </c>
      <c r="O395">
        <f>IFERROR(VLOOKUP($A395,'Semrush Import'!$A:$D,4,FALSE),"")</f>
        <v/>
      </c>
      <c r="P395">
        <f>IFERROR(VLOOKUP($A395,'KP Import'!$A:$B,2,FALSE),"")</f>
        <v/>
      </c>
      <c r="Q395">
        <f>IF(M395="","",ROUND(M395/(N395+10),1))</f>
        <v/>
      </c>
      <c r="R395">
        <f>IF(Q395="","",IF(Q395&gt;=20,"A - Go first",IF(Q395&gt;=5,"B - Next","C - Later")))</f>
        <v/>
      </c>
      <c r="S395" t="inlineStr">
        <is>
          <t>To do</t>
        </is>
      </c>
      <c r="T395" t="inlineStr"/>
    </row>
    <row r="396">
      <c r="A396" t="inlineStr">
        <is>
          <t>sella basmati rice al ain</t>
        </is>
      </c>
      <c r="B396" t="inlineStr">
        <is>
          <t>Phase 1 - B2B now</t>
        </is>
      </c>
      <c r="C396" t="inlineStr">
        <is>
          <t>Wholesalers / bulk buyers</t>
        </is>
      </c>
      <c r="D396" t="inlineStr">
        <is>
          <t>Emirate page: Al Ain</t>
        </is>
      </c>
      <c r="E396" t="inlineStr">
        <is>
          <t>Secondary (long-tail)</t>
        </is>
      </c>
      <c r="F396" t="inlineStr">
        <is>
          <t>H3 / body paragraph / table row / image alt</t>
        </is>
      </c>
      <c r="G396" t="inlineStr">
        <is>
          <t>Location</t>
        </is>
      </c>
      <c r="H396" t="inlineStr">
        <is>
          <t>Sella Basmati Rice</t>
        </is>
      </c>
      <c r="I396" t="inlineStr">
        <is>
          <t>Local/Transactional</t>
        </is>
      </c>
      <c r="J396" t="inlineStr">
        <is>
          <t>BOFU</t>
        </is>
      </c>
      <c r="K396" t="inlineStr">
        <is>
          <t>Al Ain</t>
        </is>
      </c>
      <c r="L396" t="inlineStr">
        <is>
          <t>Location landing</t>
        </is>
      </c>
      <c r="M396">
        <f>IFERROR(VLOOKUP($A396,'Semrush Import'!$A:$D,2,FALSE),"")</f>
        <v/>
      </c>
      <c r="N396">
        <f>IFERROR(VLOOKUP($A396,'Semrush Import'!$A:$D,3,FALSE),"")</f>
        <v/>
      </c>
      <c r="O396">
        <f>IFERROR(VLOOKUP($A396,'Semrush Import'!$A:$D,4,FALSE),"")</f>
        <v/>
      </c>
      <c r="P396">
        <f>IFERROR(VLOOKUP($A396,'KP Import'!$A:$B,2,FALSE),"")</f>
        <v/>
      </c>
      <c r="Q396">
        <f>IF(M396="","",ROUND(M396/(N396+10),1))</f>
        <v/>
      </c>
      <c r="R396">
        <f>IF(Q396="","",IF(Q396&gt;=20,"A - Go first",IF(Q396&gt;=5,"B - Next","C - Later")))</f>
        <v/>
      </c>
      <c r="S396" t="inlineStr">
        <is>
          <t>To do</t>
        </is>
      </c>
      <c r="T396" t="inlineStr"/>
    </row>
    <row r="397">
      <c r="A397" t="inlineStr">
        <is>
          <t>rice delivery deira</t>
        </is>
      </c>
      <c r="B397" t="inlineStr">
        <is>
          <t>Phase 2 - B2C (later)</t>
        </is>
      </c>
      <c r="C397" t="inlineStr">
        <is>
          <t>Consumer / household</t>
        </is>
      </c>
      <c r="D397" t="inlineStr">
        <is>
          <t>Delivery page (B2C)</t>
        </is>
      </c>
      <c r="E397" t="inlineStr">
        <is>
          <t>Secondary (short)</t>
        </is>
      </c>
      <c r="F397" t="inlineStr">
        <is>
          <t>H2 heading + 1st paragraph under it</t>
        </is>
      </c>
      <c r="G397" t="inlineStr">
        <is>
          <t>Dubai area</t>
        </is>
      </c>
      <c r="H397" t="inlineStr">
        <is>
          <t>Rice Delivery</t>
        </is>
      </c>
      <c r="I397" t="inlineStr">
        <is>
          <t>Local/Transactional</t>
        </is>
      </c>
      <c r="J397" t="inlineStr">
        <is>
          <t>BOFU</t>
        </is>
      </c>
      <c r="K397" t="inlineStr">
        <is>
          <t>Dubai - Deira</t>
        </is>
      </c>
      <c r="L397" t="inlineStr">
        <is>
          <t>Location landing</t>
        </is>
      </c>
      <c r="M397">
        <f>IFERROR(VLOOKUP($A397,'Semrush Import'!$A:$D,2,FALSE),"")</f>
        <v/>
      </c>
      <c r="N397">
        <f>IFERROR(VLOOKUP($A397,'Semrush Import'!$A:$D,3,FALSE),"")</f>
        <v/>
      </c>
      <c r="O397">
        <f>IFERROR(VLOOKUP($A397,'Semrush Import'!$A:$D,4,FALSE),"")</f>
        <v/>
      </c>
      <c r="P397">
        <f>IFERROR(VLOOKUP($A397,'KP Import'!$A:$B,2,FALSE),"")</f>
        <v/>
      </c>
      <c r="Q397">
        <f>IF(M397="","",ROUND(M397/(N397+10),1))</f>
        <v/>
      </c>
      <c r="R397">
        <f>IF(Q397="","",IF(Q397&gt;=20,"A - Go first",IF(Q397&gt;=5,"B - Next","C - Later")))</f>
        <v/>
      </c>
      <c r="S397" t="inlineStr">
        <is>
          <t>To do</t>
        </is>
      </c>
      <c r="T397" t="inlineStr"/>
    </row>
    <row r="398">
      <c r="A398" t="inlineStr">
        <is>
          <t>rice wholesale deira</t>
        </is>
      </c>
      <c r="B398" t="inlineStr">
        <is>
          <t>Phase 2 - B2C (later)</t>
        </is>
      </c>
      <c r="C398" t="inlineStr">
        <is>
          <t>Consumer / household</t>
        </is>
      </c>
      <c r="D398" t="inlineStr">
        <is>
          <t>Wholesale / Bulk</t>
        </is>
      </c>
      <c r="E398" t="inlineStr">
        <is>
          <t>Secondary (short)</t>
        </is>
      </c>
      <c r="F398" t="inlineStr">
        <is>
          <t>H2 heading + 1st paragraph under it</t>
        </is>
      </c>
      <c r="G398" t="inlineStr">
        <is>
          <t>Dubai area</t>
        </is>
      </c>
      <c r="H398" t="inlineStr">
        <is>
          <t>Rice Wholesale</t>
        </is>
      </c>
      <c r="I398" t="inlineStr">
        <is>
          <t>Local/Transactional</t>
        </is>
      </c>
      <c r="J398" t="inlineStr">
        <is>
          <t>BOFU</t>
        </is>
      </c>
      <c r="K398" t="inlineStr">
        <is>
          <t>Dubai - Deira</t>
        </is>
      </c>
      <c r="L398" t="inlineStr">
        <is>
          <t>Location landing</t>
        </is>
      </c>
      <c r="M398">
        <f>IFERROR(VLOOKUP($A398,'Semrush Import'!$A:$D,2,FALSE),"")</f>
        <v/>
      </c>
      <c r="N398">
        <f>IFERROR(VLOOKUP($A398,'Semrush Import'!$A:$D,3,FALSE),"")</f>
        <v/>
      </c>
      <c r="O398">
        <f>IFERROR(VLOOKUP($A398,'Semrush Import'!$A:$D,4,FALSE),"")</f>
        <v/>
      </c>
      <c r="P398">
        <f>IFERROR(VLOOKUP($A398,'KP Import'!$A:$B,2,FALSE),"")</f>
        <v/>
      </c>
      <c r="Q398">
        <f>IF(M398="","",ROUND(M398/(N398+10),1))</f>
        <v/>
      </c>
      <c r="R398">
        <f>IF(Q398="","",IF(Q398&gt;=20,"A - Go first",IF(Q398&gt;=5,"B - Next","C - Later")))</f>
        <v/>
      </c>
      <c r="S398" t="inlineStr">
        <is>
          <t>To do</t>
        </is>
      </c>
      <c r="T398" t="inlineStr"/>
    </row>
    <row r="399">
      <c r="A399" t="inlineStr">
        <is>
          <t>basmati rice deira</t>
        </is>
      </c>
      <c r="B399" t="inlineStr">
        <is>
          <t>Phase 1 - B2B now</t>
        </is>
      </c>
      <c r="C399" t="inlineStr">
        <is>
          <t>Wholesalers / bulk buyers</t>
        </is>
      </c>
      <c r="D399" t="inlineStr">
        <is>
          <t>Delivery page (B2C)</t>
        </is>
      </c>
      <c r="E399" t="inlineStr">
        <is>
          <t>Secondary (short)</t>
        </is>
      </c>
      <c r="F399" t="inlineStr">
        <is>
          <t>H2 heading + 1st paragraph under it</t>
        </is>
      </c>
      <c r="G399" t="inlineStr">
        <is>
          <t>Dubai area</t>
        </is>
      </c>
      <c r="H399" t="inlineStr">
        <is>
          <t>Basmati Rice</t>
        </is>
      </c>
      <c r="I399" t="inlineStr">
        <is>
          <t>Local/Transactional</t>
        </is>
      </c>
      <c r="J399" t="inlineStr">
        <is>
          <t>BOFU</t>
        </is>
      </c>
      <c r="K399" t="inlineStr">
        <is>
          <t>Dubai - Deira</t>
        </is>
      </c>
      <c r="L399" t="inlineStr">
        <is>
          <t>Location landing</t>
        </is>
      </c>
      <c r="M399">
        <f>IFERROR(VLOOKUP($A399,'Semrush Import'!$A:$D,2,FALSE),"")</f>
        <v/>
      </c>
      <c r="N399">
        <f>IFERROR(VLOOKUP($A399,'Semrush Import'!$A:$D,3,FALSE),"")</f>
        <v/>
      </c>
      <c r="O399">
        <f>IFERROR(VLOOKUP($A399,'Semrush Import'!$A:$D,4,FALSE),"")</f>
        <v/>
      </c>
      <c r="P399">
        <f>IFERROR(VLOOKUP($A399,'KP Import'!$A:$B,2,FALSE),"")</f>
        <v/>
      </c>
      <c r="Q399">
        <f>IF(M399="","",ROUND(M399/(N399+10),1))</f>
        <v/>
      </c>
      <c r="R399">
        <f>IF(Q399="","",IF(Q399&gt;=20,"A - Go first",IF(Q399&gt;=5,"B - Next","C - Later")))</f>
        <v/>
      </c>
      <c r="S399" t="inlineStr">
        <is>
          <t>To do</t>
        </is>
      </c>
      <c r="T399" t="inlineStr"/>
    </row>
    <row r="400">
      <c r="A400" t="inlineStr">
        <is>
          <t>rice delivery bur dubai</t>
        </is>
      </c>
      <c r="B400" t="inlineStr">
        <is>
          <t>Phase 2 - B2C (later)</t>
        </is>
      </c>
      <c r="C400" t="inlineStr">
        <is>
          <t>Consumer / household</t>
        </is>
      </c>
      <c r="D400" t="inlineStr">
        <is>
          <t>Delivery page (B2C)</t>
        </is>
      </c>
      <c r="E400" t="inlineStr">
        <is>
          <t>Secondary (long-tail)</t>
        </is>
      </c>
      <c r="F400" t="inlineStr">
        <is>
          <t>H3 / body paragraph / table row / image alt</t>
        </is>
      </c>
      <c r="G400" t="inlineStr">
        <is>
          <t>Dubai area</t>
        </is>
      </c>
      <c r="H400" t="inlineStr">
        <is>
          <t>Rice Delivery</t>
        </is>
      </c>
      <c r="I400" t="inlineStr">
        <is>
          <t>Local/Transactional</t>
        </is>
      </c>
      <c r="J400" t="inlineStr">
        <is>
          <t>BOFU</t>
        </is>
      </c>
      <c r="K400" t="inlineStr">
        <is>
          <t>Dubai - Bur Dubai</t>
        </is>
      </c>
      <c r="L400" t="inlineStr">
        <is>
          <t>Location landing</t>
        </is>
      </c>
      <c r="M400">
        <f>IFERROR(VLOOKUP($A400,'Semrush Import'!$A:$D,2,FALSE),"")</f>
        <v/>
      </c>
      <c r="N400">
        <f>IFERROR(VLOOKUP($A400,'Semrush Import'!$A:$D,3,FALSE),"")</f>
        <v/>
      </c>
      <c r="O400">
        <f>IFERROR(VLOOKUP($A400,'Semrush Import'!$A:$D,4,FALSE),"")</f>
        <v/>
      </c>
      <c r="P400">
        <f>IFERROR(VLOOKUP($A400,'KP Import'!$A:$B,2,FALSE),"")</f>
        <v/>
      </c>
      <c r="Q400">
        <f>IF(M400="","",ROUND(M400/(N400+10),1))</f>
        <v/>
      </c>
      <c r="R400">
        <f>IF(Q400="","",IF(Q400&gt;=20,"A - Go first",IF(Q400&gt;=5,"B - Next","C - Later")))</f>
        <v/>
      </c>
      <c r="S400" t="inlineStr">
        <is>
          <t>To do</t>
        </is>
      </c>
      <c r="T400" t="inlineStr"/>
    </row>
    <row r="401">
      <c r="A401" t="inlineStr">
        <is>
          <t>rice wholesale bur dubai</t>
        </is>
      </c>
      <c r="B401" t="inlineStr">
        <is>
          <t>Phase 2 - B2C (later)</t>
        </is>
      </c>
      <c r="C401" t="inlineStr">
        <is>
          <t>Consumer / household</t>
        </is>
      </c>
      <c r="D401" t="inlineStr">
        <is>
          <t>Wholesale / Bulk</t>
        </is>
      </c>
      <c r="E401" t="inlineStr">
        <is>
          <t>Secondary (long-tail)</t>
        </is>
      </c>
      <c r="F401" t="inlineStr">
        <is>
          <t>H3 / body paragraph / table row / image alt</t>
        </is>
      </c>
      <c r="G401" t="inlineStr">
        <is>
          <t>Dubai area</t>
        </is>
      </c>
      <c r="H401" t="inlineStr">
        <is>
          <t>Rice Wholesale</t>
        </is>
      </c>
      <c r="I401" t="inlineStr">
        <is>
          <t>Local/Transactional</t>
        </is>
      </c>
      <c r="J401" t="inlineStr">
        <is>
          <t>BOFU</t>
        </is>
      </c>
      <c r="K401" t="inlineStr">
        <is>
          <t>Dubai - Bur Dubai</t>
        </is>
      </c>
      <c r="L401" t="inlineStr">
        <is>
          <t>Location landing</t>
        </is>
      </c>
      <c r="M401">
        <f>IFERROR(VLOOKUP($A401,'Semrush Import'!$A:$D,2,FALSE),"")</f>
        <v/>
      </c>
      <c r="N401">
        <f>IFERROR(VLOOKUP($A401,'Semrush Import'!$A:$D,3,FALSE),"")</f>
        <v/>
      </c>
      <c r="O401">
        <f>IFERROR(VLOOKUP($A401,'Semrush Import'!$A:$D,4,FALSE),"")</f>
        <v/>
      </c>
      <c r="P401">
        <f>IFERROR(VLOOKUP($A401,'KP Import'!$A:$B,2,FALSE),"")</f>
        <v/>
      </c>
      <c r="Q401">
        <f>IF(M401="","",ROUND(M401/(N401+10),1))</f>
        <v/>
      </c>
      <c r="R401">
        <f>IF(Q401="","",IF(Q401&gt;=20,"A - Go first",IF(Q401&gt;=5,"B - Next","C - Later")))</f>
        <v/>
      </c>
      <c r="S401" t="inlineStr">
        <is>
          <t>To do</t>
        </is>
      </c>
      <c r="T401" t="inlineStr"/>
    </row>
    <row r="402">
      <c r="A402" t="inlineStr">
        <is>
          <t>basmati rice bur dubai</t>
        </is>
      </c>
      <c r="B402" t="inlineStr">
        <is>
          <t>Phase 1 - B2B now</t>
        </is>
      </c>
      <c r="C402" t="inlineStr">
        <is>
          <t>Wholesalers / bulk buyers</t>
        </is>
      </c>
      <c r="D402" t="inlineStr">
        <is>
          <t>Delivery page (B2C)</t>
        </is>
      </c>
      <c r="E402" t="inlineStr">
        <is>
          <t>Secondary (long-tail)</t>
        </is>
      </c>
      <c r="F402" t="inlineStr">
        <is>
          <t>H3 / body paragraph / table row / image alt</t>
        </is>
      </c>
      <c r="G402" t="inlineStr">
        <is>
          <t>Dubai area</t>
        </is>
      </c>
      <c r="H402" t="inlineStr">
        <is>
          <t>Basmati Rice</t>
        </is>
      </c>
      <c r="I402" t="inlineStr">
        <is>
          <t>Local/Transactional</t>
        </is>
      </c>
      <c r="J402" t="inlineStr">
        <is>
          <t>BOFU</t>
        </is>
      </c>
      <c r="K402" t="inlineStr">
        <is>
          <t>Dubai - Bur Dubai</t>
        </is>
      </c>
      <c r="L402" t="inlineStr">
        <is>
          <t>Location landing</t>
        </is>
      </c>
      <c r="M402">
        <f>IFERROR(VLOOKUP($A402,'Semrush Import'!$A:$D,2,FALSE),"")</f>
        <v/>
      </c>
      <c r="N402">
        <f>IFERROR(VLOOKUP($A402,'Semrush Import'!$A:$D,3,FALSE),"")</f>
        <v/>
      </c>
      <c r="O402">
        <f>IFERROR(VLOOKUP($A402,'Semrush Import'!$A:$D,4,FALSE),"")</f>
        <v/>
      </c>
      <c r="P402">
        <f>IFERROR(VLOOKUP($A402,'KP Import'!$A:$B,2,FALSE),"")</f>
        <v/>
      </c>
      <c r="Q402">
        <f>IF(M402="","",ROUND(M402/(N402+10),1))</f>
        <v/>
      </c>
      <c r="R402">
        <f>IF(Q402="","",IF(Q402&gt;=20,"A - Go first",IF(Q402&gt;=5,"B - Next","C - Later")))</f>
        <v/>
      </c>
      <c r="S402" t="inlineStr">
        <is>
          <t>To do</t>
        </is>
      </c>
      <c r="T402" t="inlineStr"/>
    </row>
    <row r="403">
      <c r="A403" t="inlineStr">
        <is>
          <t>rice delivery al quoz</t>
        </is>
      </c>
      <c r="B403" t="inlineStr">
        <is>
          <t>Phase 2 - B2C (later)</t>
        </is>
      </c>
      <c r="C403" t="inlineStr">
        <is>
          <t>Consumer / household</t>
        </is>
      </c>
      <c r="D403" t="inlineStr">
        <is>
          <t>Delivery page (B2C)</t>
        </is>
      </c>
      <c r="E403" t="inlineStr">
        <is>
          <t>Secondary (long-tail)</t>
        </is>
      </c>
      <c r="F403" t="inlineStr">
        <is>
          <t>H3 / body paragraph / table row / image alt</t>
        </is>
      </c>
      <c r="G403" t="inlineStr">
        <is>
          <t>Dubai area</t>
        </is>
      </c>
      <c r="H403" t="inlineStr">
        <is>
          <t>Rice Delivery</t>
        </is>
      </c>
      <c r="I403" t="inlineStr">
        <is>
          <t>Local/Transactional</t>
        </is>
      </c>
      <c r="J403" t="inlineStr">
        <is>
          <t>BOFU</t>
        </is>
      </c>
      <c r="K403" t="inlineStr">
        <is>
          <t>Dubai - Al Quoz</t>
        </is>
      </c>
      <c r="L403" t="inlineStr">
        <is>
          <t>Location landing</t>
        </is>
      </c>
      <c r="M403">
        <f>IFERROR(VLOOKUP($A403,'Semrush Import'!$A:$D,2,FALSE),"")</f>
        <v/>
      </c>
      <c r="N403">
        <f>IFERROR(VLOOKUP($A403,'Semrush Import'!$A:$D,3,FALSE),"")</f>
        <v/>
      </c>
      <c r="O403">
        <f>IFERROR(VLOOKUP($A403,'Semrush Import'!$A:$D,4,FALSE),"")</f>
        <v/>
      </c>
      <c r="P403">
        <f>IFERROR(VLOOKUP($A403,'KP Import'!$A:$B,2,FALSE),"")</f>
        <v/>
      </c>
      <c r="Q403">
        <f>IF(M403="","",ROUND(M403/(N403+10),1))</f>
        <v/>
      </c>
      <c r="R403">
        <f>IF(Q403="","",IF(Q403&gt;=20,"A - Go first",IF(Q403&gt;=5,"B - Next","C - Later")))</f>
        <v/>
      </c>
      <c r="S403" t="inlineStr">
        <is>
          <t>To do</t>
        </is>
      </c>
      <c r="T403" t="inlineStr"/>
    </row>
    <row r="404">
      <c r="A404" t="inlineStr">
        <is>
          <t>rice wholesale al quoz</t>
        </is>
      </c>
      <c r="B404" t="inlineStr">
        <is>
          <t>Phase 2 - B2C (later)</t>
        </is>
      </c>
      <c r="C404" t="inlineStr">
        <is>
          <t>Consumer / household</t>
        </is>
      </c>
      <c r="D404" t="inlineStr">
        <is>
          <t>Wholesale / Bulk</t>
        </is>
      </c>
      <c r="E404" t="inlineStr">
        <is>
          <t>Secondary (long-tail)</t>
        </is>
      </c>
      <c r="F404" t="inlineStr">
        <is>
          <t>H3 / body paragraph / table row / image alt</t>
        </is>
      </c>
      <c r="G404" t="inlineStr">
        <is>
          <t>Dubai area</t>
        </is>
      </c>
      <c r="H404" t="inlineStr">
        <is>
          <t>Rice Wholesale</t>
        </is>
      </c>
      <c r="I404" t="inlineStr">
        <is>
          <t>Local/Transactional</t>
        </is>
      </c>
      <c r="J404" t="inlineStr">
        <is>
          <t>BOFU</t>
        </is>
      </c>
      <c r="K404" t="inlineStr">
        <is>
          <t>Dubai - Al Quoz</t>
        </is>
      </c>
      <c r="L404" t="inlineStr">
        <is>
          <t>Location landing</t>
        </is>
      </c>
      <c r="M404">
        <f>IFERROR(VLOOKUP($A404,'Semrush Import'!$A:$D,2,FALSE),"")</f>
        <v/>
      </c>
      <c r="N404">
        <f>IFERROR(VLOOKUP($A404,'Semrush Import'!$A:$D,3,FALSE),"")</f>
        <v/>
      </c>
      <c r="O404">
        <f>IFERROR(VLOOKUP($A404,'Semrush Import'!$A:$D,4,FALSE),"")</f>
        <v/>
      </c>
      <c r="P404">
        <f>IFERROR(VLOOKUP($A404,'KP Import'!$A:$B,2,FALSE),"")</f>
        <v/>
      </c>
      <c r="Q404">
        <f>IF(M404="","",ROUND(M404/(N404+10),1))</f>
        <v/>
      </c>
      <c r="R404">
        <f>IF(Q404="","",IF(Q404&gt;=20,"A - Go first",IF(Q404&gt;=5,"B - Next","C - Later")))</f>
        <v/>
      </c>
      <c r="S404" t="inlineStr">
        <is>
          <t>To do</t>
        </is>
      </c>
      <c r="T404" t="inlineStr"/>
    </row>
    <row r="405">
      <c r="A405" t="inlineStr">
        <is>
          <t>basmati rice al quoz</t>
        </is>
      </c>
      <c r="B405" t="inlineStr">
        <is>
          <t>Phase 1 - B2B now</t>
        </is>
      </c>
      <c r="C405" t="inlineStr">
        <is>
          <t>Wholesalers / bulk buyers</t>
        </is>
      </c>
      <c r="D405" t="inlineStr">
        <is>
          <t>Delivery page (B2C)</t>
        </is>
      </c>
      <c r="E405" t="inlineStr">
        <is>
          <t>Secondary (long-tail)</t>
        </is>
      </c>
      <c r="F405" t="inlineStr">
        <is>
          <t>H3 / body paragraph / table row / image alt</t>
        </is>
      </c>
      <c r="G405" t="inlineStr">
        <is>
          <t>Dubai area</t>
        </is>
      </c>
      <c r="H405" t="inlineStr">
        <is>
          <t>Basmati Rice</t>
        </is>
      </c>
      <c r="I405" t="inlineStr">
        <is>
          <t>Local/Transactional</t>
        </is>
      </c>
      <c r="J405" t="inlineStr">
        <is>
          <t>BOFU</t>
        </is>
      </c>
      <c r="K405" t="inlineStr">
        <is>
          <t>Dubai - Al Quoz</t>
        </is>
      </c>
      <c r="L405" t="inlineStr">
        <is>
          <t>Location landing</t>
        </is>
      </c>
      <c r="M405">
        <f>IFERROR(VLOOKUP($A405,'Semrush Import'!$A:$D,2,FALSE),"")</f>
        <v/>
      </c>
      <c r="N405">
        <f>IFERROR(VLOOKUP($A405,'Semrush Import'!$A:$D,3,FALSE),"")</f>
        <v/>
      </c>
      <c r="O405">
        <f>IFERROR(VLOOKUP($A405,'Semrush Import'!$A:$D,4,FALSE),"")</f>
        <v/>
      </c>
      <c r="P405">
        <f>IFERROR(VLOOKUP($A405,'KP Import'!$A:$B,2,FALSE),"")</f>
        <v/>
      </c>
      <c r="Q405">
        <f>IF(M405="","",ROUND(M405/(N405+10),1))</f>
        <v/>
      </c>
      <c r="R405">
        <f>IF(Q405="","",IF(Q405&gt;=20,"A - Go first",IF(Q405&gt;=5,"B - Next","C - Later")))</f>
        <v/>
      </c>
      <c r="S405" t="inlineStr">
        <is>
          <t>To do</t>
        </is>
      </c>
      <c r="T405" t="inlineStr"/>
    </row>
    <row r="406">
      <c r="A406" t="inlineStr">
        <is>
          <t>rice delivery karama</t>
        </is>
      </c>
      <c r="B406" t="inlineStr">
        <is>
          <t>Phase 2 - B2C (later)</t>
        </is>
      </c>
      <c r="C406" t="inlineStr">
        <is>
          <t>Consumer / household</t>
        </is>
      </c>
      <c r="D406" t="inlineStr">
        <is>
          <t>Delivery page (B2C)</t>
        </is>
      </c>
      <c r="E406" t="inlineStr">
        <is>
          <t>Secondary (short)</t>
        </is>
      </c>
      <c r="F406" t="inlineStr">
        <is>
          <t>H2 heading + 1st paragraph under it</t>
        </is>
      </c>
      <c r="G406" t="inlineStr">
        <is>
          <t>Dubai area</t>
        </is>
      </c>
      <c r="H406" t="inlineStr">
        <is>
          <t>Rice Delivery</t>
        </is>
      </c>
      <c r="I406" t="inlineStr">
        <is>
          <t>Local/Transactional</t>
        </is>
      </c>
      <c r="J406" t="inlineStr">
        <is>
          <t>BOFU</t>
        </is>
      </c>
      <c r="K406" t="inlineStr">
        <is>
          <t>Dubai - Karama</t>
        </is>
      </c>
      <c r="L406" t="inlineStr">
        <is>
          <t>Location landing</t>
        </is>
      </c>
      <c r="M406">
        <f>IFERROR(VLOOKUP($A406,'Semrush Import'!$A:$D,2,FALSE),"")</f>
        <v/>
      </c>
      <c r="N406">
        <f>IFERROR(VLOOKUP($A406,'Semrush Import'!$A:$D,3,FALSE),"")</f>
        <v/>
      </c>
      <c r="O406">
        <f>IFERROR(VLOOKUP($A406,'Semrush Import'!$A:$D,4,FALSE),"")</f>
        <v/>
      </c>
      <c r="P406">
        <f>IFERROR(VLOOKUP($A406,'KP Import'!$A:$B,2,FALSE),"")</f>
        <v/>
      </c>
      <c r="Q406">
        <f>IF(M406="","",ROUND(M406/(N406+10),1))</f>
        <v/>
      </c>
      <c r="R406">
        <f>IF(Q406="","",IF(Q406&gt;=20,"A - Go first",IF(Q406&gt;=5,"B - Next","C - Later")))</f>
        <v/>
      </c>
      <c r="S406" t="inlineStr">
        <is>
          <t>To do</t>
        </is>
      </c>
      <c r="T406" t="inlineStr"/>
    </row>
    <row r="407">
      <c r="A407" t="inlineStr">
        <is>
          <t>rice wholesale karama</t>
        </is>
      </c>
      <c r="B407" t="inlineStr">
        <is>
          <t>Phase 2 - B2C (later)</t>
        </is>
      </c>
      <c r="C407" t="inlineStr">
        <is>
          <t>Consumer / household</t>
        </is>
      </c>
      <c r="D407" t="inlineStr">
        <is>
          <t>Wholesale / Bulk</t>
        </is>
      </c>
      <c r="E407" t="inlineStr">
        <is>
          <t>Secondary (short)</t>
        </is>
      </c>
      <c r="F407" t="inlineStr">
        <is>
          <t>H2 heading + 1st paragraph under it</t>
        </is>
      </c>
      <c r="G407" t="inlineStr">
        <is>
          <t>Dubai area</t>
        </is>
      </c>
      <c r="H407" t="inlineStr">
        <is>
          <t>Rice Wholesale</t>
        </is>
      </c>
      <c r="I407" t="inlineStr">
        <is>
          <t>Local/Transactional</t>
        </is>
      </c>
      <c r="J407" t="inlineStr">
        <is>
          <t>BOFU</t>
        </is>
      </c>
      <c r="K407" t="inlineStr">
        <is>
          <t>Dubai - Karama</t>
        </is>
      </c>
      <c r="L407" t="inlineStr">
        <is>
          <t>Location landing</t>
        </is>
      </c>
      <c r="M407">
        <f>IFERROR(VLOOKUP($A407,'Semrush Import'!$A:$D,2,FALSE),"")</f>
        <v/>
      </c>
      <c r="N407">
        <f>IFERROR(VLOOKUP($A407,'Semrush Import'!$A:$D,3,FALSE),"")</f>
        <v/>
      </c>
      <c r="O407">
        <f>IFERROR(VLOOKUP($A407,'Semrush Import'!$A:$D,4,FALSE),"")</f>
        <v/>
      </c>
      <c r="P407">
        <f>IFERROR(VLOOKUP($A407,'KP Import'!$A:$B,2,FALSE),"")</f>
        <v/>
      </c>
      <c r="Q407">
        <f>IF(M407="","",ROUND(M407/(N407+10),1))</f>
        <v/>
      </c>
      <c r="R407">
        <f>IF(Q407="","",IF(Q407&gt;=20,"A - Go first",IF(Q407&gt;=5,"B - Next","C - Later")))</f>
        <v/>
      </c>
      <c r="S407" t="inlineStr">
        <is>
          <t>To do</t>
        </is>
      </c>
      <c r="T407" t="inlineStr"/>
    </row>
    <row r="408">
      <c r="A408" t="inlineStr">
        <is>
          <t>basmati rice karama</t>
        </is>
      </c>
      <c r="B408" t="inlineStr">
        <is>
          <t>Phase 1 - B2B now</t>
        </is>
      </c>
      <c r="C408" t="inlineStr">
        <is>
          <t>Wholesalers / bulk buyers</t>
        </is>
      </c>
      <c r="D408" t="inlineStr">
        <is>
          <t>Delivery page (B2C)</t>
        </is>
      </c>
      <c r="E408" t="inlineStr">
        <is>
          <t>Secondary (short)</t>
        </is>
      </c>
      <c r="F408" t="inlineStr">
        <is>
          <t>H2 heading + 1st paragraph under it</t>
        </is>
      </c>
      <c r="G408" t="inlineStr">
        <is>
          <t>Dubai area</t>
        </is>
      </c>
      <c r="H408" t="inlineStr">
        <is>
          <t>Basmati Rice</t>
        </is>
      </c>
      <c r="I408" t="inlineStr">
        <is>
          <t>Local/Transactional</t>
        </is>
      </c>
      <c r="J408" t="inlineStr">
        <is>
          <t>BOFU</t>
        </is>
      </c>
      <c r="K408" t="inlineStr">
        <is>
          <t>Dubai - Karama</t>
        </is>
      </c>
      <c r="L408" t="inlineStr">
        <is>
          <t>Location landing</t>
        </is>
      </c>
      <c r="M408">
        <f>IFERROR(VLOOKUP($A408,'Semrush Import'!$A:$D,2,FALSE),"")</f>
        <v/>
      </c>
      <c r="N408">
        <f>IFERROR(VLOOKUP($A408,'Semrush Import'!$A:$D,3,FALSE),"")</f>
        <v/>
      </c>
      <c r="O408">
        <f>IFERROR(VLOOKUP($A408,'Semrush Import'!$A:$D,4,FALSE),"")</f>
        <v/>
      </c>
      <c r="P408">
        <f>IFERROR(VLOOKUP($A408,'KP Import'!$A:$B,2,FALSE),"")</f>
        <v/>
      </c>
      <c r="Q408">
        <f>IF(M408="","",ROUND(M408/(N408+10),1))</f>
        <v/>
      </c>
      <c r="R408">
        <f>IF(Q408="","",IF(Q408&gt;=20,"A - Go first",IF(Q408&gt;=5,"B - Next","C - Later")))</f>
        <v/>
      </c>
      <c r="S408" t="inlineStr">
        <is>
          <t>To do</t>
        </is>
      </c>
      <c r="T408" t="inlineStr"/>
    </row>
    <row r="409">
      <c r="A409" t="inlineStr">
        <is>
          <t>rice delivery satwa</t>
        </is>
      </c>
      <c r="B409" t="inlineStr">
        <is>
          <t>Phase 2 - B2C (later)</t>
        </is>
      </c>
      <c r="C409" t="inlineStr">
        <is>
          <t>Consumer / household</t>
        </is>
      </c>
      <c r="D409" t="inlineStr">
        <is>
          <t>Delivery page (B2C)</t>
        </is>
      </c>
      <c r="E409" t="inlineStr">
        <is>
          <t>Secondary (short)</t>
        </is>
      </c>
      <c r="F409" t="inlineStr">
        <is>
          <t>H2 heading + 1st paragraph under it</t>
        </is>
      </c>
      <c r="G409" t="inlineStr">
        <is>
          <t>Dubai area</t>
        </is>
      </c>
      <c r="H409" t="inlineStr">
        <is>
          <t>Rice Delivery</t>
        </is>
      </c>
      <c r="I409" t="inlineStr">
        <is>
          <t>Local/Transactional</t>
        </is>
      </c>
      <c r="J409" t="inlineStr">
        <is>
          <t>BOFU</t>
        </is>
      </c>
      <c r="K409" t="inlineStr">
        <is>
          <t>Dubai - Satwa</t>
        </is>
      </c>
      <c r="L409" t="inlineStr">
        <is>
          <t>Location landing</t>
        </is>
      </c>
      <c r="M409">
        <f>IFERROR(VLOOKUP($A409,'Semrush Import'!$A:$D,2,FALSE),"")</f>
        <v/>
      </c>
      <c r="N409">
        <f>IFERROR(VLOOKUP($A409,'Semrush Import'!$A:$D,3,FALSE),"")</f>
        <v/>
      </c>
      <c r="O409">
        <f>IFERROR(VLOOKUP($A409,'Semrush Import'!$A:$D,4,FALSE),"")</f>
        <v/>
      </c>
      <c r="P409">
        <f>IFERROR(VLOOKUP($A409,'KP Import'!$A:$B,2,FALSE),"")</f>
        <v/>
      </c>
      <c r="Q409">
        <f>IF(M409="","",ROUND(M409/(N409+10),1))</f>
        <v/>
      </c>
      <c r="R409">
        <f>IF(Q409="","",IF(Q409&gt;=20,"A - Go first",IF(Q409&gt;=5,"B - Next","C - Later")))</f>
        <v/>
      </c>
      <c r="S409" t="inlineStr">
        <is>
          <t>To do</t>
        </is>
      </c>
      <c r="T409" t="inlineStr"/>
    </row>
    <row r="410">
      <c r="A410" t="inlineStr">
        <is>
          <t>rice wholesale satwa</t>
        </is>
      </c>
      <c r="B410" t="inlineStr">
        <is>
          <t>Phase 2 - B2C (later)</t>
        </is>
      </c>
      <c r="C410" t="inlineStr">
        <is>
          <t>Consumer / household</t>
        </is>
      </c>
      <c r="D410" t="inlineStr">
        <is>
          <t>Wholesale / Bulk</t>
        </is>
      </c>
      <c r="E410" t="inlineStr">
        <is>
          <t>Secondary (short)</t>
        </is>
      </c>
      <c r="F410" t="inlineStr">
        <is>
          <t>H2 heading + 1st paragraph under it</t>
        </is>
      </c>
      <c r="G410" t="inlineStr">
        <is>
          <t>Dubai area</t>
        </is>
      </c>
      <c r="H410" t="inlineStr">
        <is>
          <t>Rice Wholesale</t>
        </is>
      </c>
      <c r="I410" t="inlineStr">
        <is>
          <t>Local/Transactional</t>
        </is>
      </c>
      <c r="J410" t="inlineStr">
        <is>
          <t>BOFU</t>
        </is>
      </c>
      <c r="K410" t="inlineStr">
        <is>
          <t>Dubai - Satwa</t>
        </is>
      </c>
      <c r="L410" t="inlineStr">
        <is>
          <t>Location landing</t>
        </is>
      </c>
      <c r="M410">
        <f>IFERROR(VLOOKUP($A410,'Semrush Import'!$A:$D,2,FALSE),"")</f>
        <v/>
      </c>
      <c r="N410">
        <f>IFERROR(VLOOKUP($A410,'Semrush Import'!$A:$D,3,FALSE),"")</f>
        <v/>
      </c>
      <c r="O410">
        <f>IFERROR(VLOOKUP($A410,'Semrush Import'!$A:$D,4,FALSE),"")</f>
        <v/>
      </c>
      <c r="P410">
        <f>IFERROR(VLOOKUP($A410,'KP Import'!$A:$B,2,FALSE),"")</f>
        <v/>
      </c>
      <c r="Q410">
        <f>IF(M410="","",ROUND(M410/(N410+10),1))</f>
        <v/>
      </c>
      <c r="R410">
        <f>IF(Q410="","",IF(Q410&gt;=20,"A - Go first",IF(Q410&gt;=5,"B - Next","C - Later")))</f>
        <v/>
      </c>
      <c r="S410" t="inlineStr">
        <is>
          <t>To do</t>
        </is>
      </c>
      <c r="T410" t="inlineStr"/>
    </row>
    <row r="411">
      <c r="A411" t="inlineStr">
        <is>
          <t>basmati rice satwa</t>
        </is>
      </c>
      <c r="B411" t="inlineStr">
        <is>
          <t>Phase 1 - B2B now</t>
        </is>
      </c>
      <c r="C411" t="inlineStr">
        <is>
          <t>Wholesalers / bulk buyers</t>
        </is>
      </c>
      <c r="D411" t="inlineStr">
        <is>
          <t>Delivery page (B2C)</t>
        </is>
      </c>
      <c r="E411" t="inlineStr">
        <is>
          <t>Secondary (short)</t>
        </is>
      </c>
      <c r="F411" t="inlineStr">
        <is>
          <t>H2 heading + 1st paragraph under it</t>
        </is>
      </c>
      <c r="G411" t="inlineStr">
        <is>
          <t>Dubai area</t>
        </is>
      </c>
      <c r="H411" t="inlineStr">
        <is>
          <t>Basmati Rice</t>
        </is>
      </c>
      <c r="I411" t="inlineStr">
        <is>
          <t>Local/Transactional</t>
        </is>
      </c>
      <c r="J411" t="inlineStr">
        <is>
          <t>BOFU</t>
        </is>
      </c>
      <c r="K411" t="inlineStr">
        <is>
          <t>Dubai - Satwa</t>
        </is>
      </c>
      <c r="L411" t="inlineStr">
        <is>
          <t>Location landing</t>
        </is>
      </c>
      <c r="M411">
        <f>IFERROR(VLOOKUP($A411,'Semrush Import'!$A:$D,2,FALSE),"")</f>
        <v/>
      </c>
      <c r="N411">
        <f>IFERROR(VLOOKUP($A411,'Semrush Import'!$A:$D,3,FALSE),"")</f>
        <v/>
      </c>
      <c r="O411">
        <f>IFERROR(VLOOKUP($A411,'Semrush Import'!$A:$D,4,FALSE),"")</f>
        <v/>
      </c>
      <c r="P411">
        <f>IFERROR(VLOOKUP($A411,'KP Import'!$A:$B,2,FALSE),"")</f>
        <v/>
      </c>
      <c r="Q411">
        <f>IF(M411="","",ROUND(M411/(N411+10),1))</f>
        <v/>
      </c>
      <c r="R411">
        <f>IF(Q411="","",IF(Q411&gt;=20,"A - Go first",IF(Q411&gt;=5,"B - Next","C - Later")))</f>
        <v/>
      </c>
      <c r="S411" t="inlineStr">
        <is>
          <t>To do</t>
        </is>
      </c>
      <c r="T411" t="inlineStr"/>
    </row>
    <row r="412">
      <c r="A412" t="inlineStr">
        <is>
          <t>rice delivery jebel ali</t>
        </is>
      </c>
      <c r="B412" t="inlineStr">
        <is>
          <t>Phase 2 - B2C (later)</t>
        </is>
      </c>
      <c r="C412" t="inlineStr">
        <is>
          <t>Consumer / household</t>
        </is>
      </c>
      <c r="D412" t="inlineStr">
        <is>
          <t>Delivery page (B2C)</t>
        </is>
      </c>
      <c r="E412" t="inlineStr">
        <is>
          <t>Secondary (long-tail)</t>
        </is>
      </c>
      <c r="F412" t="inlineStr">
        <is>
          <t>H3 / body paragraph / table row / image alt</t>
        </is>
      </c>
      <c r="G412" t="inlineStr">
        <is>
          <t>Dubai area</t>
        </is>
      </c>
      <c r="H412" t="inlineStr">
        <is>
          <t>Rice Delivery</t>
        </is>
      </c>
      <c r="I412" t="inlineStr">
        <is>
          <t>Local/Transactional</t>
        </is>
      </c>
      <c r="J412" t="inlineStr">
        <is>
          <t>BOFU</t>
        </is>
      </c>
      <c r="K412" t="inlineStr">
        <is>
          <t>Dubai - Jebel Ali</t>
        </is>
      </c>
      <c r="L412" t="inlineStr">
        <is>
          <t>Location landing</t>
        </is>
      </c>
      <c r="M412">
        <f>IFERROR(VLOOKUP($A412,'Semrush Import'!$A:$D,2,FALSE),"")</f>
        <v/>
      </c>
      <c r="N412">
        <f>IFERROR(VLOOKUP($A412,'Semrush Import'!$A:$D,3,FALSE),"")</f>
        <v/>
      </c>
      <c r="O412">
        <f>IFERROR(VLOOKUP($A412,'Semrush Import'!$A:$D,4,FALSE),"")</f>
        <v/>
      </c>
      <c r="P412">
        <f>IFERROR(VLOOKUP($A412,'KP Import'!$A:$B,2,FALSE),"")</f>
        <v/>
      </c>
      <c r="Q412">
        <f>IF(M412="","",ROUND(M412/(N412+10),1))</f>
        <v/>
      </c>
      <c r="R412">
        <f>IF(Q412="","",IF(Q412&gt;=20,"A - Go first",IF(Q412&gt;=5,"B - Next","C - Later")))</f>
        <v/>
      </c>
      <c r="S412" t="inlineStr">
        <is>
          <t>To do</t>
        </is>
      </c>
      <c r="T412" t="inlineStr"/>
    </row>
    <row r="413">
      <c r="A413" t="inlineStr">
        <is>
          <t>rice wholesale jebel ali</t>
        </is>
      </c>
      <c r="B413" t="inlineStr">
        <is>
          <t>Phase 2 - B2C (later)</t>
        </is>
      </c>
      <c r="C413" t="inlineStr">
        <is>
          <t>Consumer / household</t>
        </is>
      </c>
      <c r="D413" t="inlineStr">
        <is>
          <t>Wholesale / Bulk</t>
        </is>
      </c>
      <c r="E413" t="inlineStr">
        <is>
          <t>Secondary (long-tail)</t>
        </is>
      </c>
      <c r="F413" t="inlineStr">
        <is>
          <t>H3 / body paragraph / table row / image alt</t>
        </is>
      </c>
      <c r="G413" t="inlineStr">
        <is>
          <t>Dubai area</t>
        </is>
      </c>
      <c r="H413" t="inlineStr">
        <is>
          <t>Rice Wholesale</t>
        </is>
      </c>
      <c r="I413" t="inlineStr">
        <is>
          <t>Local/Transactional</t>
        </is>
      </c>
      <c r="J413" t="inlineStr">
        <is>
          <t>BOFU</t>
        </is>
      </c>
      <c r="K413" t="inlineStr">
        <is>
          <t>Dubai - Jebel Ali</t>
        </is>
      </c>
      <c r="L413" t="inlineStr">
        <is>
          <t>Location landing</t>
        </is>
      </c>
      <c r="M413">
        <f>IFERROR(VLOOKUP($A413,'Semrush Import'!$A:$D,2,FALSE),"")</f>
        <v/>
      </c>
      <c r="N413">
        <f>IFERROR(VLOOKUP($A413,'Semrush Import'!$A:$D,3,FALSE),"")</f>
        <v/>
      </c>
      <c r="O413">
        <f>IFERROR(VLOOKUP($A413,'Semrush Import'!$A:$D,4,FALSE),"")</f>
        <v/>
      </c>
      <c r="P413">
        <f>IFERROR(VLOOKUP($A413,'KP Import'!$A:$B,2,FALSE),"")</f>
        <v/>
      </c>
      <c r="Q413">
        <f>IF(M413="","",ROUND(M413/(N413+10),1))</f>
        <v/>
      </c>
      <c r="R413">
        <f>IF(Q413="","",IF(Q413&gt;=20,"A - Go first",IF(Q413&gt;=5,"B - Next","C - Later")))</f>
        <v/>
      </c>
      <c r="S413" t="inlineStr">
        <is>
          <t>To do</t>
        </is>
      </c>
      <c r="T413" t="inlineStr"/>
    </row>
    <row r="414">
      <c r="A414" t="inlineStr">
        <is>
          <t>basmati rice jebel ali</t>
        </is>
      </c>
      <c r="B414" t="inlineStr">
        <is>
          <t>Phase 1 - B2B now</t>
        </is>
      </c>
      <c r="C414" t="inlineStr">
        <is>
          <t>Wholesalers / bulk buyers</t>
        </is>
      </c>
      <c r="D414" t="inlineStr">
        <is>
          <t>Delivery page (B2C)</t>
        </is>
      </c>
      <c r="E414" t="inlineStr">
        <is>
          <t>Secondary (long-tail)</t>
        </is>
      </c>
      <c r="F414" t="inlineStr">
        <is>
          <t>H3 / body paragraph / table row / image alt</t>
        </is>
      </c>
      <c r="G414" t="inlineStr">
        <is>
          <t>Dubai area</t>
        </is>
      </c>
      <c r="H414" t="inlineStr">
        <is>
          <t>Basmati Rice</t>
        </is>
      </c>
      <c r="I414" t="inlineStr">
        <is>
          <t>Local/Transactional</t>
        </is>
      </c>
      <c r="J414" t="inlineStr">
        <is>
          <t>BOFU</t>
        </is>
      </c>
      <c r="K414" t="inlineStr">
        <is>
          <t>Dubai - Jebel Ali</t>
        </is>
      </c>
      <c r="L414" t="inlineStr">
        <is>
          <t>Location landing</t>
        </is>
      </c>
      <c r="M414">
        <f>IFERROR(VLOOKUP($A414,'Semrush Import'!$A:$D,2,FALSE),"")</f>
        <v/>
      </c>
      <c r="N414">
        <f>IFERROR(VLOOKUP($A414,'Semrush Import'!$A:$D,3,FALSE),"")</f>
        <v/>
      </c>
      <c r="O414">
        <f>IFERROR(VLOOKUP($A414,'Semrush Import'!$A:$D,4,FALSE),"")</f>
        <v/>
      </c>
      <c r="P414">
        <f>IFERROR(VLOOKUP($A414,'KP Import'!$A:$B,2,FALSE),"")</f>
        <v/>
      </c>
      <c r="Q414">
        <f>IF(M414="","",ROUND(M414/(N414+10),1))</f>
        <v/>
      </c>
      <c r="R414">
        <f>IF(Q414="","",IF(Q414&gt;=20,"A - Go first",IF(Q414&gt;=5,"B - Next","C - Later")))</f>
        <v/>
      </c>
      <c r="S414" t="inlineStr">
        <is>
          <t>To do</t>
        </is>
      </c>
      <c r="T414" t="inlineStr"/>
    </row>
    <row r="415">
      <c r="A415" t="inlineStr">
        <is>
          <t>rice delivery jlt</t>
        </is>
      </c>
      <c r="B415" t="inlineStr">
        <is>
          <t>Phase 2 - B2C (later)</t>
        </is>
      </c>
      <c r="C415" t="inlineStr">
        <is>
          <t>Consumer / household</t>
        </is>
      </c>
      <c r="D415" t="inlineStr">
        <is>
          <t>Delivery page (B2C)</t>
        </is>
      </c>
      <c r="E415" t="inlineStr">
        <is>
          <t>Secondary (short)</t>
        </is>
      </c>
      <c r="F415" t="inlineStr">
        <is>
          <t>H2 heading + 1st paragraph under it</t>
        </is>
      </c>
      <c r="G415" t="inlineStr">
        <is>
          <t>Dubai area</t>
        </is>
      </c>
      <c r="H415" t="inlineStr">
        <is>
          <t>Rice Delivery</t>
        </is>
      </c>
      <c r="I415" t="inlineStr">
        <is>
          <t>Local/Transactional</t>
        </is>
      </c>
      <c r="J415" t="inlineStr">
        <is>
          <t>BOFU</t>
        </is>
      </c>
      <c r="K415" t="inlineStr">
        <is>
          <t>Dubai - JLT</t>
        </is>
      </c>
      <c r="L415" t="inlineStr">
        <is>
          <t>Location landing</t>
        </is>
      </c>
      <c r="M415">
        <f>IFERROR(VLOOKUP($A415,'Semrush Import'!$A:$D,2,FALSE),"")</f>
        <v/>
      </c>
      <c r="N415">
        <f>IFERROR(VLOOKUP($A415,'Semrush Import'!$A:$D,3,FALSE),"")</f>
        <v/>
      </c>
      <c r="O415">
        <f>IFERROR(VLOOKUP($A415,'Semrush Import'!$A:$D,4,FALSE),"")</f>
        <v/>
      </c>
      <c r="P415">
        <f>IFERROR(VLOOKUP($A415,'KP Import'!$A:$B,2,FALSE),"")</f>
        <v/>
      </c>
      <c r="Q415">
        <f>IF(M415="","",ROUND(M415/(N415+10),1))</f>
        <v/>
      </c>
      <c r="R415">
        <f>IF(Q415="","",IF(Q415&gt;=20,"A - Go first",IF(Q415&gt;=5,"B - Next","C - Later")))</f>
        <v/>
      </c>
      <c r="S415" t="inlineStr">
        <is>
          <t>To do</t>
        </is>
      </c>
      <c r="T415" t="inlineStr"/>
    </row>
    <row r="416">
      <c r="A416" t="inlineStr">
        <is>
          <t>rice wholesale jlt</t>
        </is>
      </c>
      <c r="B416" t="inlineStr">
        <is>
          <t>Phase 2 - B2C (later)</t>
        </is>
      </c>
      <c r="C416" t="inlineStr">
        <is>
          <t>Consumer / household</t>
        </is>
      </c>
      <c r="D416" t="inlineStr">
        <is>
          <t>Wholesale / Bulk</t>
        </is>
      </c>
      <c r="E416" t="inlineStr">
        <is>
          <t>Secondary (short)</t>
        </is>
      </c>
      <c r="F416" t="inlineStr">
        <is>
          <t>H2 heading + 1st paragraph under it</t>
        </is>
      </c>
      <c r="G416" t="inlineStr">
        <is>
          <t>Dubai area</t>
        </is>
      </c>
      <c r="H416" t="inlineStr">
        <is>
          <t>Rice Wholesale</t>
        </is>
      </c>
      <c r="I416" t="inlineStr">
        <is>
          <t>Local/Transactional</t>
        </is>
      </c>
      <c r="J416" t="inlineStr">
        <is>
          <t>BOFU</t>
        </is>
      </c>
      <c r="K416" t="inlineStr">
        <is>
          <t>Dubai - JLT</t>
        </is>
      </c>
      <c r="L416" t="inlineStr">
        <is>
          <t>Location landing</t>
        </is>
      </c>
      <c r="M416">
        <f>IFERROR(VLOOKUP($A416,'Semrush Import'!$A:$D,2,FALSE),"")</f>
        <v/>
      </c>
      <c r="N416">
        <f>IFERROR(VLOOKUP($A416,'Semrush Import'!$A:$D,3,FALSE),"")</f>
        <v/>
      </c>
      <c r="O416">
        <f>IFERROR(VLOOKUP($A416,'Semrush Import'!$A:$D,4,FALSE),"")</f>
        <v/>
      </c>
      <c r="P416">
        <f>IFERROR(VLOOKUP($A416,'KP Import'!$A:$B,2,FALSE),"")</f>
        <v/>
      </c>
      <c r="Q416">
        <f>IF(M416="","",ROUND(M416/(N416+10),1))</f>
        <v/>
      </c>
      <c r="R416">
        <f>IF(Q416="","",IF(Q416&gt;=20,"A - Go first",IF(Q416&gt;=5,"B - Next","C - Later")))</f>
        <v/>
      </c>
      <c r="S416" t="inlineStr">
        <is>
          <t>To do</t>
        </is>
      </c>
      <c r="T416" t="inlineStr"/>
    </row>
    <row r="417">
      <c r="A417" t="inlineStr">
        <is>
          <t>basmati rice jlt</t>
        </is>
      </c>
      <c r="B417" t="inlineStr">
        <is>
          <t>Phase 1 - B2B now</t>
        </is>
      </c>
      <c r="C417" t="inlineStr">
        <is>
          <t>Wholesalers / bulk buyers</t>
        </is>
      </c>
      <c r="D417" t="inlineStr">
        <is>
          <t>Delivery page (B2C)</t>
        </is>
      </c>
      <c r="E417" t="inlineStr">
        <is>
          <t>Secondary (short)</t>
        </is>
      </c>
      <c r="F417" t="inlineStr">
        <is>
          <t>H2 heading + 1st paragraph under it</t>
        </is>
      </c>
      <c r="G417" t="inlineStr">
        <is>
          <t>Dubai area</t>
        </is>
      </c>
      <c r="H417" t="inlineStr">
        <is>
          <t>Basmati Rice</t>
        </is>
      </c>
      <c r="I417" t="inlineStr">
        <is>
          <t>Local/Transactional</t>
        </is>
      </c>
      <c r="J417" t="inlineStr">
        <is>
          <t>BOFU</t>
        </is>
      </c>
      <c r="K417" t="inlineStr">
        <is>
          <t>Dubai - JLT</t>
        </is>
      </c>
      <c r="L417" t="inlineStr">
        <is>
          <t>Location landing</t>
        </is>
      </c>
      <c r="M417">
        <f>IFERROR(VLOOKUP($A417,'Semrush Import'!$A:$D,2,FALSE),"")</f>
        <v/>
      </c>
      <c r="N417">
        <f>IFERROR(VLOOKUP($A417,'Semrush Import'!$A:$D,3,FALSE),"")</f>
        <v/>
      </c>
      <c r="O417">
        <f>IFERROR(VLOOKUP($A417,'Semrush Import'!$A:$D,4,FALSE),"")</f>
        <v/>
      </c>
      <c r="P417">
        <f>IFERROR(VLOOKUP($A417,'KP Import'!$A:$B,2,FALSE),"")</f>
        <v/>
      </c>
      <c r="Q417">
        <f>IF(M417="","",ROUND(M417/(N417+10),1))</f>
        <v/>
      </c>
      <c r="R417">
        <f>IF(Q417="","",IF(Q417&gt;=20,"A - Go first",IF(Q417&gt;=5,"B - Next","C - Later")))</f>
        <v/>
      </c>
      <c r="S417" t="inlineStr">
        <is>
          <t>To do</t>
        </is>
      </c>
      <c r="T417" t="inlineStr"/>
    </row>
    <row r="418">
      <c r="A418" t="inlineStr">
        <is>
          <t>rice delivery dubai marina</t>
        </is>
      </c>
      <c r="B418" t="inlineStr">
        <is>
          <t>Phase 2 - B2C (later)</t>
        </is>
      </c>
      <c r="C418" t="inlineStr">
        <is>
          <t>Consumer / household</t>
        </is>
      </c>
      <c r="D418" t="inlineStr">
        <is>
          <t>Delivery page (B2C)</t>
        </is>
      </c>
      <c r="E418" t="inlineStr">
        <is>
          <t>Secondary (long-tail)</t>
        </is>
      </c>
      <c r="F418" t="inlineStr">
        <is>
          <t>H3 / body paragraph / table row / image alt</t>
        </is>
      </c>
      <c r="G418" t="inlineStr">
        <is>
          <t>Dubai area</t>
        </is>
      </c>
      <c r="H418" t="inlineStr">
        <is>
          <t>Rice Delivery</t>
        </is>
      </c>
      <c r="I418" t="inlineStr">
        <is>
          <t>Local/Transactional</t>
        </is>
      </c>
      <c r="J418" t="inlineStr">
        <is>
          <t>BOFU</t>
        </is>
      </c>
      <c r="K418" t="inlineStr">
        <is>
          <t>Dubai - Dubai Marina</t>
        </is>
      </c>
      <c r="L418" t="inlineStr">
        <is>
          <t>Location landing</t>
        </is>
      </c>
      <c r="M418">
        <f>IFERROR(VLOOKUP($A418,'Semrush Import'!$A:$D,2,FALSE),"")</f>
        <v/>
      </c>
      <c r="N418">
        <f>IFERROR(VLOOKUP($A418,'Semrush Import'!$A:$D,3,FALSE),"")</f>
        <v/>
      </c>
      <c r="O418">
        <f>IFERROR(VLOOKUP($A418,'Semrush Import'!$A:$D,4,FALSE),"")</f>
        <v/>
      </c>
      <c r="P418">
        <f>IFERROR(VLOOKUP($A418,'KP Import'!$A:$B,2,FALSE),"")</f>
        <v/>
      </c>
      <c r="Q418">
        <f>IF(M418="","",ROUND(M418/(N418+10),1))</f>
        <v/>
      </c>
      <c r="R418">
        <f>IF(Q418="","",IF(Q418&gt;=20,"A - Go first",IF(Q418&gt;=5,"B - Next","C - Later")))</f>
        <v/>
      </c>
      <c r="S418" t="inlineStr">
        <is>
          <t>To do</t>
        </is>
      </c>
      <c r="T418" t="inlineStr"/>
    </row>
    <row r="419">
      <c r="A419" t="inlineStr">
        <is>
          <t>rice wholesale dubai marina</t>
        </is>
      </c>
      <c r="B419" t="inlineStr">
        <is>
          <t>Phase 2 - B2C (later)</t>
        </is>
      </c>
      <c r="C419" t="inlineStr">
        <is>
          <t>Consumer / household</t>
        </is>
      </c>
      <c r="D419" t="inlineStr">
        <is>
          <t>Wholesale / Bulk</t>
        </is>
      </c>
      <c r="E419" t="inlineStr">
        <is>
          <t>Secondary (long-tail)</t>
        </is>
      </c>
      <c r="F419" t="inlineStr">
        <is>
          <t>H3 / body paragraph / table row / image alt</t>
        </is>
      </c>
      <c r="G419" t="inlineStr">
        <is>
          <t>Dubai area</t>
        </is>
      </c>
      <c r="H419" t="inlineStr">
        <is>
          <t>Rice Wholesale</t>
        </is>
      </c>
      <c r="I419" t="inlineStr">
        <is>
          <t>Local/Transactional</t>
        </is>
      </c>
      <c r="J419" t="inlineStr">
        <is>
          <t>BOFU</t>
        </is>
      </c>
      <c r="K419" t="inlineStr">
        <is>
          <t>Dubai - Dubai Marina</t>
        </is>
      </c>
      <c r="L419" t="inlineStr">
        <is>
          <t>Location landing</t>
        </is>
      </c>
      <c r="M419">
        <f>IFERROR(VLOOKUP($A419,'Semrush Import'!$A:$D,2,FALSE),"")</f>
        <v/>
      </c>
      <c r="N419">
        <f>IFERROR(VLOOKUP($A419,'Semrush Import'!$A:$D,3,FALSE),"")</f>
        <v/>
      </c>
      <c r="O419">
        <f>IFERROR(VLOOKUP($A419,'Semrush Import'!$A:$D,4,FALSE),"")</f>
        <v/>
      </c>
      <c r="P419">
        <f>IFERROR(VLOOKUP($A419,'KP Import'!$A:$B,2,FALSE),"")</f>
        <v/>
      </c>
      <c r="Q419">
        <f>IF(M419="","",ROUND(M419/(N419+10),1))</f>
        <v/>
      </c>
      <c r="R419">
        <f>IF(Q419="","",IF(Q419&gt;=20,"A - Go first",IF(Q419&gt;=5,"B - Next","C - Later")))</f>
        <v/>
      </c>
      <c r="S419" t="inlineStr">
        <is>
          <t>To do</t>
        </is>
      </c>
      <c r="T419" t="inlineStr"/>
    </row>
    <row r="420">
      <c r="A420" t="inlineStr">
        <is>
          <t>basmati rice dubai marina</t>
        </is>
      </c>
      <c r="B420" t="inlineStr">
        <is>
          <t>Phase 1 - B2B now</t>
        </is>
      </c>
      <c r="C420" t="inlineStr">
        <is>
          <t>Wholesalers / bulk buyers</t>
        </is>
      </c>
      <c r="D420" t="inlineStr">
        <is>
          <t>Delivery page (B2C)</t>
        </is>
      </c>
      <c r="E420" t="inlineStr">
        <is>
          <t>Secondary (long-tail)</t>
        </is>
      </c>
      <c r="F420" t="inlineStr">
        <is>
          <t>H3 / body paragraph / table row / image alt</t>
        </is>
      </c>
      <c r="G420" t="inlineStr">
        <is>
          <t>Dubai area</t>
        </is>
      </c>
      <c r="H420" t="inlineStr">
        <is>
          <t>Basmati Rice</t>
        </is>
      </c>
      <c r="I420" t="inlineStr">
        <is>
          <t>Local/Transactional</t>
        </is>
      </c>
      <c r="J420" t="inlineStr">
        <is>
          <t>BOFU</t>
        </is>
      </c>
      <c r="K420" t="inlineStr">
        <is>
          <t>Dubai - Dubai Marina</t>
        </is>
      </c>
      <c r="L420" t="inlineStr">
        <is>
          <t>Location landing</t>
        </is>
      </c>
      <c r="M420">
        <f>IFERROR(VLOOKUP($A420,'Semrush Import'!$A:$D,2,FALSE),"")</f>
        <v/>
      </c>
      <c r="N420">
        <f>IFERROR(VLOOKUP($A420,'Semrush Import'!$A:$D,3,FALSE),"")</f>
        <v/>
      </c>
      <c r="O420">
        <f>IFERROR(VLOOKUP($A420,'Semrush Import'!$A:$D,4,FALSE),"")</f>
        <v/>
      </c>
      <c r="P420">
        <f>IFERROR(VLOOKUP($A420,'KP Import'!$A:$B,2,FALSE),"")</f>
        <v/>
      </c>
      <c r="Q420">
        <f>IF(M420="","",ROUND(M420/(N420+10),1))</f>
        <v/>
      </c>
      <c r="R420">
        <f>IF(Q420="","",IF(Q420&gt;=20,"A - Go first",IF(Q420&gt;=5,"B - Next","C - Later")))</f>
        <v/>
      </c>
      <c r="S420" t="inlineStr">
        <is>
          <t>To do</t>
        </is>
      </c>
      <c r="T420" t="inlineStr"/>
    </row>
    <row r="421">
      <c r="A421" t="inlineStr">
        <is>
          <t>rice delivery business bay</t>
        </is>
      </c>
      <c r="B421" t="inlineStr">
        <is>
          <t>Phase 2 - B2C (later)</t>
        </is>
      </c>
      <c r="C421" t="inlineStr">
        <is>
          <t>Consumer / household</t>
        </is>
      </c>
      <c r="D421" t="inlineStr">
        <is>
          <t>Delivery page (B2C)</t>
        </is>
      </c>
      <c r="E421" t="inlineStr">
        <is>
          <t>Secondary (long-tail)</t>
        </is>
      </c>
      <c r="F421" t="inlineStr">
        <is>
          <t>H3 / body paragraph / table row / image alt</t>
        </is>
      </c>
      <c r="G421" t="inlineStr">
        <is>
          <t>Dubai area</t>
        </is>
      </c>
      <c r="H421" t="inlineStr">
        <is>
          <t>Rice Delivery</t>
        </is>
      </c>
      <c r="I421" t="inlineStr">
        <is>
          <t>Local/Transactional</t>
        </is>
      </c>
      <c r="J421" t="inlineStr">
        <is>
          <t>BOFU</t>
        </is>
      </c>
      <c r="K421" t="inlineStr">
        <is>
          <t>Dubai - Business Bay</t>
        </is>
      </c>
      <c r="L421" t="inlineStr">
        <is>
          <t>Location landing</t>
        </is>
      </c>
      <c r="M421">
        <f>IFERROR(VLOOKUP($A421,'Semrush Import'!$A:$D,2,FALSE),"")</f>
        <v/>
      </c>
      <c r="N421">
        <f>IFERROR(VLOOKUP($A421,'Semrush Import'!$A:$D,3,FALSE),"")</f>
        <v/>
      </c>
      <c r="O421">
        <f>IFERROR(VLOOKUP($A421,'Semrush Import'!$A:$D,4,FALSE),"")</f>
        <v/>
      </c>
      <c r="P421">
        <f>IFERROR(VLOOKUP($A421,'KP Import'!$A:$B,2,FALSE),"")</f>
        <v/>
      </c>
      <c r="Q421">
        <f>IF(M421="","",ROUND(M421/(N421+10),1))</f>
        <v/>
      </c>
      <c r="R421">
        <f>IF(Q421="","",IF(Q421&gt;=20,"A - Go first",IF(Q421&gt;=5,"B - Next","C - Later")))</f>
        <v/>
      </c>
      <c r="S421" t="inlineStr">
        <is>
          <t>To do</t>
        </is>
      </c>
      <c r="T421" t="inlineStr"/>
    </row>
    <row r="422">
      <c r="A422" t="inlineStr">
        <is>
          <t>rice wholesale business bay</t>
        </is>
      </c>
      <c r="B422" t="inlineStr">
        <is>
          <t>Phase 2 - B2C (later)</t>
        </is>
      </c>
      <c r="C422" t="inlineStr">
        <is>
          <t>Consumer / household</t>
        </is>
      </c>
      <c r="D422" t="inlineStr">
        <is>
          <t>Wholesale / Bulk</t>
        </is>
      </c>
      <c r="E422" t="inlineStr">
        <is>
          <t>Secondary (long-tail)</t>
        </is>
      </c>
      <c r="F422" t="inlineStr">
        <is>
          <t>H3 / body paragraph / table row / image alt</t>
        </is>
      </c>
      <c r="G422" t="inlineStr">
        <is>
          <t>Dubai area</t>
        </is>
      </c>
      <c r="H422" t="inlineStr">
        <is>
          <t>Rice Wholesale</t>
        </is>
      </c>
      <c r="I422" t="inlineStr">
        <is>
          <t>Local/Transactional</t>
        </is>
      </c>
      <c r="J422" t="inlineStr">
        <is>
          <t>BOFU</t>
        </is>
      </c>
      <c r="K422" t="inlineStr">
        <is>
          <t>Dubai - Business Bay</t>
        </is>
      </c>
      <c r="L422" t="inlineStr">
        <is>
          <t>Location landing</t>
        </is>
      </c>
      <c r="M422">
        <f>IFERROR(VLOOKUP($A422,'Semrush Import'!$A:$D,2,FALSE),"")</f>
        <v/>
      </c>
      <c r="N422">
        <f>IFERROR(VLOOKUP($A422,'Semrush Import'!$A:$D,3,FALSE),"")</f>
        <v/>
      </c>
      <c r="O422">
        <f>IFERROR(VLOOKUP($A422,'Semrush Import'!$A:$D,4,FALSE),"")</f>
        <v/>
      </c>
      <c r="P422">
        <f>IFERROR(VLOOKUP($A422,'KP Import'!$A:$B,2,FALSE),"")</f>
        <v/>
      </c>
      <c r="Q422">
        <f>IF(M422="","",ROUND(M422/(N422+10),1))</f>
        <v/>
      </c>
      <c r="R422">
        <f>IF(Q422="","",IF(Q422&gt;=20,"A - Go first",IF(Q422&gt;=5,"B - Next","C - Later")))</f>
        <v/>
      </c>
      <c r="S422" t="inlineStr">
        <is>
          <t>To do</t>
        </is>
      </c>
      <c r="T422" t="inlineStr"/>
    </row>
    <row r="423">
      <c r="A423" t="inlineStr">
        <is>
          <t>basmati rice business bay</t>
        </is>
      </c>
      <c r="B423" t="inlineStr">
        <is>
          <t>Phase 1 - B2B now</t>
        </is>
      </c>
      <c r="C423" t="inlineStr">
        <is>
          <t>Wholesalers / bulk buyers</t>
        </is>
      </c>
      <c r="D423" t="inlineStr">
        <is>
          <t>Delivery page (B2C)</t>
        </is>
      </c>
      <c r="E423" t="inlineStr">
        <is>
          <t>Secondary (long-tail)</t>
        </is>
      </c>
      <c r="F423" t="inlineStr">
        <is>
          <t>H3 / body paragraph / table row / image alt</t>
        </is>
      </c>
      <c r="G423" t="inlineStr">
        <is>
          <t>Dubai area</t>
        </is>
      </c>
      <c r="H423" t="inlineStr">
        <is>
          <t>Basmati Rice</t>
        </is>
      </c>
      <c r="I423" t="inlineStr">
        <is>
          <t>Local/Transactional</t>
        </is>
      </c>
      <c r="J423" t="inlineStr">
        <is>
          <t>BOFU</t>
        </is>
      </c>
      <c r="K423" t="inlineStr">
        <is>
          <t>Dubai - Business Bay</t>
        </is>
      </c>
      <c r="L423" t="inlineStr">
        <is>
          <t>Location landing</t>
        </is>
      </c>
      <c r="M423">
        <f>IFERROR(VLOOKUP($A423,'Semrush Import'!$A:$D,2,FALSE),"")</f>
        <v/>
      </c>
      <c r="N423">
        <f>IFERROR(VLOOKUP($A423,'Semrush Import'!$A:$D,3,FALSE),"")</f>
        <v/>
      </c>
      <c r="O423">
        <f>IFERROR(VLOOKUP($A423,'Semrush Import'!$A:$D,4,FALSE),"")</f>
        <v/>
      </c>
      <c r="P423">
        <f>IFERROR(VLOOKUP($A423,'KP Import'!$A:$B,2,FALSE),"")</f>
        <v/>
      </c>
      <c r="Q423">
        <f>IF(M423="","",ROUND(M423/(N423+10),1))</f>
        <v/>
      </c>
      <c r="R423">
        <f>IF(Q423="","",IF(Q423&gt;=20,"A - Go first",IF(Q423&gt;=5,"B - Next","C - Later")))</f>
        <v/>
      </c>
      <c r="S423" t="inlineStr">
        <is>
          <t>To do</t>
        </is>
      </c>
      <c r="T423" t="inlineStr"/>
    </row>
    <row r="424">
      <c r="A424" t="inlineStr">
        <is>
          <t>rice delivery downtown dubai</t>
        </is>
      </c>
      <c r="B424" t="inlineStr">
        <is>
          <t>Phase 2 - B2C (later)</t>
        </is>
      </c>
      <c r="C424" t="inlineStr">
        <is>
          <t>Consumer / household</t>
        </is>
      </c>
      <c r="D424" t="inlineStr">
        <is>
          <t>Delivery page (B2C)</t>
        </is>
      </c>
      <c r="E424" t="inlineStr">
        <is>
          <t>Secondary (long-tail)</t>
        </is>
      </c>
      <c r="F424" t="inlineStr">
        <is>
          <t>H3 / body paragraph / table row / image alt</t>
        </is>
      </c>
      <c r="G424" t="inlineStr">
        <is>
          <t>Dubai area</t>
        </is>
      </c>
      <c r="H424" t="inlineStr">
        <is>
          <t>Rice Delivery</t>
        </is>
      </c>
      <c r="I424" t="inlineStr">
        <is>
          <t>Local/Transactional</t>
        </is>
      </c>
      <c r="J424" t="inlineStr">
        <is>
          <t>BOFU</t>
        </is>
      </c>
      <c r="K424" t="inlineStr">
        <is>
          <t>Dubai - Downtown Dubai</t>
        </is>
      </c>
      <c r="L424" t="inlineStr">
        <is>
          <t>Location landing</t>
        </is>
      </c>
      <c r="M424">
        <f>IFERROR(VLOOKUP($A424,'Semrush Import'!$A:$D,2,FALSE),"")</f>
        <v/>
      </c>
      <c r="N424">
        <f>IFERROR(VLOOKUP($A424,'Semrush Import'!$A:$D,3,FALSE),"")</f>
        <v/>
      </c>
      <c r="O424">
        <f>IFERROR(VLOOKUP($A424,'Semrush Import'!$A:$D,4,FALSE),"")</f>
        <v/>
      </c>
      <c r="P424">
        <f>IFERROR(VLOOKUP($A424,'KP Import'!$A:$B,2,FALSE),"")</f>
        <v/>
      </c>
      <c r="Q424">
        <f>IF(M424="","",ROUND(M424/(N424+10),1))</f>
        <v/>
      </c>
      <c r="R424">
        <f>IF(Q424="","",IF(Q424&gt;=20,"A - Go first",IF(Q424&gt;=5,"B - Next","C - Later")))</f>
        <v/>
      </c>
      <c r="S424" t="inlineStr">
        <is>
          <t>To do</t>
        </is>
      </c>
      <c r="T424" t="inlineStr"/>
    </row>
    <row r="425">
      <c r="A425" t="inlineStr">
        <is>
          <t>rice wholesale downtown dubai</t>
        </is>
      </c>
      <c r="B425" t="inlineStr">
        <is>
          <t>Phase 2 - B2C (later)</t>
        </is>
      </c>
      <c r="C425" t="inlineStr">
        <is>
          <t>Consumer / household</t>
        </is>
      </c>
      <c r="D425" t="inlineStr">
        <is>
          <t>Wholesale / Bulk</t>
        </is>
      </c>
      <c r="E425" t="inlineStr">
        <is>
          <t>Secondary (long-tail)</t>
        </is>
      </c>
      <c r="F425" t="inlineStr">
        <is>
          <t>H3 / body paragraph / table row / image alt</t>
        </is>
      </c>
      <c r="G425" t="inlineStr">
        <is>
          <t>Dubai area</t>
        </is>
      </c>
      <c r="H425" t="inlineStr">
        <is>
          <t>Rice Wholesale</t>
        </is>
      </c>
      <c r="I425" t="inlineStr">
        <is>
          <t>Local/Transactional</t>
        </is>
      </c>
      <c r="J425" t="inlineStr">
        <is>
          <t>BOFU</t>
        </is>
      </c>
      <c r="K425" t="inlineStr">
        <is>
          <t>Dubai - Downtown Dubai</t>
        </is>
      </c>
      <c r="L425" t="inlineStr">
        <is>
          <t>Location landing</t>
        </is>
      </c>
      <c r="M425">
        <f>IFERROR(VLOOKUP($A425,'Semrush Import'!$A:$D,2,FALSE),"")</f>
        <v/>
      </c>
      <c r="N425">
        <f>IFERROR(VLOOKUP($A425,'Semrush Import'!$A:$D,3,FALSE),"")</f>
        <v/>
      </c>
      <c r="O425">
        <f>IFERROR(VLOOKUP($A425,'Semrush Import'!$A:$D,4,FALSE),"")</f>
        <v/>
      </c>
      <c r="P425">
        <f>IFERROR(VLOOKUP($A425,'KP Import'!$A:$B,2,FALSE),"")</f>
        <v/>
      </c>
      <c r="Q425">
        <f>IF(M425="","",ROUND(M425/(N425+10),1))</f>
        <v/>
      </c>
      <c r="R425">
        <f>IF(Q425="","",IF(Q425&gt;=20,"A - Go first",IF(Q425&gt;=5,"B - Next","C - Later")))</f>
        <v/>
      </c>
      <c r="S425" t="inlineStr">
        <is>
          <t>To do</t>
        </is>
      </c>
      <c r="T425" t="inlineStr"/>
    </row>
    <row r="426">
      <c r="A426" t="inlineStr">
        <is>
          <t>basmati rice downtown dubai</t>
        </is>
      </c>
      <c r="B426" t="inlineStr">
        <is>
          <t>Phase 1 - B2B now</t>
        </is>
      </c>
      <c r="C426" t="inlineStr">
        <is>
          <t>Wholesalers / bulk buyers</t>
        </is>
      </c>
      <c r="D426" t="inlineStr">
        <is>
          <t>Delivery page (B2C)</t>
        </is>
      </c>
      <c r="E426" t="inlineStr">
        <is>
          <t>Secondary (long-tail)</t>
        </is>
      </c>
      <c r="F426" t="inlineStr">
        <is>
          <t>H3 / body paragraph / table row / image alt</t>
        </is>
      </c>
      <c r="G426" t="inlineStr">
        <is>
          <t>Dubai area</t>
        </is>
      </c>
      <c r="H426" t="inlineStr">
        <is>
          <t>Basmati Rice</t>
        </is>
      </c>
      <c r="I426" t="inlineStr">
        <is>
          <t>Local/Transactional</t>
        </is>
      </c>
      <c r="J426" t="inlineStr">
        <is>
          <t>BOFU</t>
        </is>
      </c>
      <c r="K426" t="inlineStr">
        <is>
          <t>Dubai - Downtown Dubai</t>
        </is>
      </c>
      <c r="L426" t="inlineStr">
        <is>
          <t>Location landing</t>
        </is>
      </c>
      <c r="M426">
        <f>IFERROR(VLOOKUP($A426,'Semrush Import'!$A:$D,2,FALSE),"")</f>
        <v/>
      </c>
      <c r="N426">
        <f>IFERROR(VLOOKUP($A426,'Semrush Import'!$A:$D,3,FALSE),"")</f>
        <v/>
      </c>
      <c r="O426">
        <f>IFERROR(VLOOKUP($A426,'Semrush Import'!$A:$D,4,FALSE),"")</f>
        <v/>
      </c>
      <c r="P426">
        <f>IFERROR(VLOOKUP($A426,'KP Import'!$A:$B,2,FALSE),"")</f>
        <v/>
      </c>
      <c r="Q426">
        <f>IF(M426="","",ROUND(M426/(N426+10),1))</f>
        <v/>
      </c>
      <c r="R426">
        <f>IF(Q426="","",IF(Q426&gt;=20,"A - Go first",IF(Q426&gt;=5,"B - Next","C - Later")))</f>
        <v/>
      </c>
      <c r="S426" t="inlineStr">
        <is>
          <t>To do</t>
        </is>
      </c>
      <c r="T426" t="inlineStr"/>
    </row>
    <row r="427">
      <c r="A427" t="inlineStr">
        <is>
          <t>rice delivery international city</t>
        </is>
      </c>
      <c r="B427" t="inlineStr">
        <is>
          <t>Phase 2 - B2C (later)</t>
        </is>
      </c>
      <c r="C427" t="inlineStr">
        <is>
          <t>Consumer / household</t>
        </is>
      </c>
      <c r="D427" t="inlineStr">
        <is>
          <t>Delivery page (B2C)</t>
        </is>
      </c>
      <c r="E427" t="inlineStr">
        <is>
          <t>Secondary (long-tail)</t>
        </is>
      </c>
      <c r="F427" t="inlineStr">
        <is>
          <t>H3 / body paragraph / table row / image alt</t>
        </is>
      </c>
      <c r="G427" t="inlineStr">
        <is>
          <t>Dubai area</t>
        </is>
      </c>
      <c r="H427" t="inlineStr">
        <is>
          <t>Rice Delivery</t>
        </is>
      </c>
      <c r="I427" t="inlineStr">
        <is>
          <t>Local/Transactional</t>
        </is>
      </c>
      <c r="J427" t="inlineStr">
        <is>
          <t>BOFU</t>
        </is>
      </c>
      <c r="K427" t="inlineStr">
        <is>
          <t>Dubai - International City</t>
        </is>
      </c>
      <c r="L427" t="inlineStr">
        <is>
          <t>Location landing</t>
        </is>
      </c>
      <c r="M427">
        <f>IFERROR(VLOOKUP($A427,'Semrush Import'!$A:$D,2,FALSE),"")</f>
        <v/>
      </c>
      <c r="N427">
        <f>IFERROR(VLOOKUP($A427,'Semrush Import'!$A:$D,3,FALSE),"")</f>
        <v/>
      </c>
      <c r="O427">
        <f>IFERROR(VLOOKUP($A427,'Semrush Import'!$A:$D,4,FALSE),"")</f>
        <v/>
      </c>
      <c r="P427">
        <f>IFERROR(VLOOKUP($A427,'KP Import'!$A:$B,2,FALSE),"")</f>
        <v/>
      </c>
      <c r="Q427">
        <f>IF(M427="","",ROUND(M427/(N427+10),1))</f>
        <v/>
      </c>
      <c r="R427">
        <f>IF(Q427="","",IF(Q427&gt;=20,"A - Go first",IF(Q427&gt;=5,"B - Next","C - Later")))</f>
        <v/>
      </c>
      <c r="S427" t="inlineStr">
        <is>
          <t>To do</t>
        </is>
      </c>
      <c r="T427" t="inlineStr"/>
    </row>
    <row r="428">
      <c r="A428" t="inlineStr">
        <is>
          <t>rice wholesale international city</t>
        </is>
      </c>
      <c r="B428" t="inlineStr">
        <is>
          <t>Phase 2 - B2C (later)</t>
        </is>
      </c>
      <c r="C428" t="inlineStr">
        <is>
          <t>Consumer / household</t>
        </is>
      </c>
      <c r="D428" t="inlineStr">
        <is>
          <t>Wholesale / Bulk</t>
        </is>
      </c>
      <c r="E428" t="inlineStr">
        <is>
          <t>Secondary (long-tail)</t>
        </is>
      </c>
      <c r="F428" t="inlineStr">
        <is>
          <t>H3 / body paragraph / table row / image alt</t>
        </is>
      </c>
      <c r="G428" t="inlineStr">
        <is>
          <t>Dubai area</t>
        </is>
      </c>
      <c r="H428" t="inlineStr">
        <is>
          <t>Rice Wholesale</t>
        </is>
      </c>
      <c r="I428" t="inlineStr">
        <is>
          <t>Local/Transactional</t>
        </is>
      </c>
      <c r="J428" t="inlineStr">
        <is>
          <t>BOFU</t>
        </is>
      </c>
      <c r="K428" t="inlineStr">
        <is>
          <t>Dubai - International City</t>
        </is>
      </c>
      <c r="L428" t="inlineStr">
        <is>
          <t>Location landing</t>
        </is>
      </c>
      <c r="M428">
        <f>IFERROR(VLOOKUP($A428,'Semrush Import'!$A:$D,2,FALSE),"")</f>
        <v/>
      </c>
      <c r="N428">
        <f>IFERROR(VLOOKUP($A428,'Semrush Import'!$A:$D,3,FALSE),"")</f>
        <v/>
      </c>
      <c r="O428">
        <f>IFERROR(VLOOKUP($A428,'Semrush Import'!$A:$D,4,FALSE),"")</f>
        <v/>
      </c>
      <c r="P428">
        <f>IFERROR(VLOOKUP($A428,'KP Import'!$A:$B,2,FALSE),"")</f>
        <v/>
      </c>
      <c r="Q428">
        <f>IF(M428="","",ROUND(M428/(N428+10),1))</f>
        <v/>
      </c>
      <c r="R428">
        <f>IF(Q428="","",IF(Q428&gt;=20,"A - Go first",IF(Q428&gt;=5,"B - Next","C - Later")))</f>
        <v/>
      </c>
      <c r="S428" t="inlineStr">
        <is>
          <t>To do</t>
        </is>
      </c>
      <c r="T428" t="inlineStr"/>
    </row>
    <row r="429">
      <c r="A429" t="inlineStr">
        <is>
          <t>basmati rice international city</t>
        </is>
      </c>
      <c r="B429" t="inlineStr">
        <is>
          <t>Phase 1 - B2B now</t>
        </is>
      </c>
      <c r="C429" t="inlineStr">
        <is>
          <t>Wholesalers / bulk buyers</t>
        </is>
      </c>
      <c r="D429" t="inlineStr">
        <is>
          <t>Delivery page (B2C)</t>
        </is>
      </c>
      <c r="E429" t="inlineStr">
        <is>
          <t>Secondary (long-tail)</t>
        </is>
      </c>
      <c r="F429" t="inlineStr">
        <is>
          <t>H3 / body paragraph / table row / image alt</t>
        </is>
      </c>
      <c r="G429" t="inlineStr">
        <is>
          <t>Dubai area</t>
        </is>
      </c>
      <c r="H429" t="inlineStr">
        <is>
          <t>Basmati Rice</t>
        </is>
      </c>
      <c r="I429" t="inlineStr">
        <is>
          <t>Local/Transactional</t>
        </is>
      </c>
      <c r="J429" t="inlineStr">
        <is>
          <t>BOFU</t>
        </is>
      </c>
      <c r="K429" t="inlineStr">
        <is>
          <t>Dubai - International City</t>
        </is>
      </c>
      <c r="L429" t="inlineStr">
        <is>
          <t>Location landing</t>
        </is>
      </c>
      <c r="M429">
        <f>IFERROR(VLOOKUP($A429,'Semrush Import'!$A:$D,2,FALSE),"")</f>
        <v/>
      </c>
      <c r="N429">
        <f>IFERROR(VLOOKUP($A429,'Semrush Import'!$A:$D,3,FALSE),"")</f>
        <v/>
      </c>
      <c r="O429">
        <f>IFERROR(VLOOKUP($A429,'Semrush Import'!$A:$D,4,FALSE),"")</f>
        <v/>
      </c>
      <c r="P429">
        <f>IFERROR(VLOOKUP($A429,'KP Import'!$A:$B,2,FALSE),"")</f>
        <v/>
      </c>
      <c r="Q429">
        <f>IF(M429="","",ROUND(M429/(N429+10),1))</f>
        <v/>
      </c>
      <c r="R429">
        <f>IF(Q429="","",IF(Q429&gt;=20,"A - Go first",IF(Q429&gt;=5,"B - Next","C - Later")))</f>
        <v/>
      </c>
      <c r="S429" t="inlineStr">
        <is>
          <t>To do</t>
        </is>
      </c>
      <c r="T429" t="inlineStr"/>
    </row>
    <row r="430">
      <c r="A430" t="inlineStr">
        <is>
          <t>rice delivery al qusais</t>
        </is>
      </c>
      <c r="B430" t="inlineStr">
        <is>
          <t>Phase 2 - B2C (later)</t>
        </is>
      </c>
      <c r="C430" t="inlineStr">
        <is>
          <t>Consumer / household</t>
        </is>
      </c>
      <c r="D430" t="inlineStr">
        <is>
          <t>Delivery page (B2C)</t>
        </is>
      </c>
      <c r="E430" t="inlineStr">
        <is>
          <t>Secondary (long-tail)</t>
        </is>
      </c>
      <c r="F430" t="inlineStr">
        <is>
          <t>H3 / body paragraph / table row / image alt</t>
        </is>
      </c>
      <c r="G430" t="inlineStr">
        <is>
          <t>Dubai area</t>
        </is>
      </c>
      <c r="H430" t="inlineStr">
        <is>
          <t>Rice Delivery</t>
        </is>
      </c>
      <c r="I430" t="inlineStr">
        <is>
          <t>Local/Transactional</t>
        </is>
      </c>
      <c r="J430" t="inlineStr">
        <is>
          <t>BOFU</t>
        </is>
      </c>
      <c r="K430" t="inlineStr">
        <is>
          <t>Dubai - Al Qusais</t>
        </is>
      </c>
      <c r="L430" t="inlineStr">
        <is>
          <t>Location landing</t>
        </is>
      </c>
      <c r="M430">
        <f>IFERROR(VLOOKUP($A430,'Semrush Import'!$A:$D,2,FALSE),"")</f>
        <v/>
      </c>
      <c r="N430">
        <f>IFERROR(VLOOKUP($A430,'Semrush Import'!$A:$D,3,FALSE),"")</f>
        <v/>
      </c>
      <c r="O430">
        <f>IFERROR(VLOOKUP($A430,'Semrush Import'!$A:$D,4,FALSE),"")</f>
        <v/>
      </c>
      <c r="P430">
        <f>IFERROR(VLOOKUP($A430,'KP Import'!$A:$B,2,FALSE),"")</f>
        <v/>
      </c>
      <c r="Q430">
        <f>IF(M430="","",ROUND(M430/(N430+10),1))</f>
        <v/>
      </c>
      <c r="R430">
        <f>IF(Q430="","",IF(Q430&gt;=20,"A - Go first",IF(Q430&gt;=5,"B - Next","C - Later")))</f>
        <v/>
      </c>
      <c r="S430" t="inlineStr">
        <is>
          <t>To do</t>
        </is>
      </c>
      <c r="T430" t="inlineStr"/>
    </row>
    <row r="431">
      <c r="A431" t="inlineStr">
        <is>
          <t>rice wholesale al qusais</t>
        </is>
      </c>
      <c r="B431" t="inlineStr">
        <is>
          <t>Phase 2 - B2C (later)</t>
        </is>
      </c>
      <c r="C431" t="inlineStr">
        <is>
          <t>Consumer / household</t>
        </is>
      </c>
      <c r="D431" t="inlineStr">
        <is>
          <t>Wholesale / Bulk</t>
        </is>
      </c>
      <c r="E431" t="inlineStr">
        <is>
          <t>Secondary (long-tail)</t>
        </is>
      </c>
      <c r="F431" t="inlineStr">
        <is>
          <t>H3 / body paragraph / table row / image alt</t>
        </is>
      </c>
      <c r="G431" t="inlineStr">
        <is>
          <t>Dubai area</t>
        </is>
      </c>
      <c r="H431" t="inlineStr">
        <is>
          <t>Rice Wholesale</t>
        </is>
      </c>
      <c r="I431" t="inlineStr">
        <is>
          <t>Local/Transactional</t>
        </is>
      </c>
      <c r="J431" t="inlineStr">
        <is>
          <t>BOFU</t>
        </is>
      </c>
      <c r="K431" t="inlineStr">
        <is>
          <t>Dubai - Al Qusais</t>
        </is>
      </c>
      <c r="L431" t="inlineStr">
        <is>
          <t>Location landing</t>
        </is>
      </c>
      <c r="M431">
        <f>IFERROR(VLOOKUP($A431,'Semrush Import'!$A:$D,2,FALSE),"")</f>
        <v/>
      </c>
      <c r="N431">
        <f>IFERROR(VLOOKUP($A431,'Semrush Import'!$A:$D,3,FALSE),"")</f>
        <v/>
      </c>
      <c r="O431">
        <f>IFERROR(VLOOKUP($A431,'Semrush Import'!$A:$D,4,FALSE),"")</f>
        <v/>
      </c>
      <c r="P431">
        <f>IFERROR(VLOOKUP($A431,'KP Import'!$A:$B,2,FALSE),"")</f>
        <v/>
      </c>
      <c r="Q431">
        <f>IF(M431="","",ROUND(M431/(N431+10),1))</f>
        <v/>
      </c>
      <c r="R431">
        <f>IF(Q431="","",IF(Q431&gt;=20,"A - Go first",IF(Q431&gt;=5,"B - Next","C - Later")))</f>
        <v/>
      </c>
      <c r="S431" t="inlineStr">
        <is>
          <t>To do</t>
        </is>
      </c>
      <c r="T431" t="inlineStr"/>
    </row>
    <row r="432">
      <c r="A432" t="inlineStr">
        <is>
          <t>basmati rice al qusais</t>
        </is>
      </c>
      <c r="B432" t="inlineStr">
        <is>
          <t>Phase 1 - B2B now</t>
        </is>
      </c>
      <c r="C432" t="inlineStr">
        <is>
          <t>Wholesalers / bulk buyers</t>
        </is>
      </c>
      <c r="D432" t="inlineStr">
        <is>
          <t>Delivery page (B2C)</t>
        </is>
      </c>
      <c r="E432" t="inlineStr">
        <is>
          <t>Secondary (long-tail)</t>
        </is>
      </c>
      <c r="F432" t="inlineStr">
        <is>
          <t>H3 / body paragraph / table row / image alt</t>
        </is>
      </c>
      <c r="G432" t="inlineStr">
        <is>
          <t>Dubai area</t>
        </is>
      </c>
      <c r="H432" t="inlineStr">
        <is>
          <t>Basmati Rice</t>
        </is>
      </c>
      <c r="I432" t="inlineStr">
        <is>
          <t>Local/Transactional</t>
        </is>
      </c>
      <c r="J432" t="inlineStr">
        <is>
          <t>BOFU</t>
        </is>
      </c>
      <c r="K432" t="inlineStr">
        <is>
          <t>Dubai - Al Qusais</t>
        </is>
      </c>
      <c r="L432" t="inlineStr">
        <is>
          <t>Location landing</t>
        </is>
      </c>
      <c r="M432">
        <f>IFERROR(VLOOKUP($A432,'Semrush Import'!$A:$D,2,FALSE),"")</f>
        <v/>
      </c>
      <c r="N432">
        <f>IFERROR(VLOOKUP($A432,'Semrush Import'!$A:$D,3,FALSE),"")</f>
        <v/>
      </c>
      <c r="O432">
        <f>IFERROR(VLOOKUP($A432,'Semrush Import'!$A:$D,4,FALSE),"")</f>
        <v/>
      </c>
      <c r="P432">
        <f>IFERROR(VLOOKUP($A432,'KP Import'!$A:$B,2,FALSE),"")</f>
        <v/>
      </c>
      <c r="Q432">
        <f>IF(M432="","",ROUND(M432/(N432+10),1))</f>
        <v/>
      </c>
      <c r="R432">
        <f>IF(Q432="","",IF(Q432&gt;=20,"A - Go first",IF(Q432&gt;=5,"B - Next","C - Later")))</f>
        <v/>
      </c>
      <c r="S432" t="inlineStr">
        <is>
          <t>To do</t>
        </is>
      </c>
      <c r="T432" t="inlineStr"/>
    </row>
    <row r="433">
      <c r="A433" t="inlineStr">
        <is>
          <t>rice delivery dubai silicon oasis</t>
        </is>
      </c>
      <c r="B433" t="inlineStr">
        <is>
          <t>Phase 2 - B2C (later)</t>
        </is>
      </c>
      <c r="C433" t="inlineStr">
        <is>
          <t>Consumer / household</t>
        </is>
      </c>
      <c r="D433" t="inlineStr">
        <is>
          <t>Delivery page (B2C)</t>
        </is>
      </c>
      <c r="E433" t="inlineStr">
        <is>
          <t>Secondary (long-tail)</t>
        </is>
      </c>
      <c r="F433" t="inlineStr">
        <is>
          <t>H3 / body paragraph / table row / image alt</t>
        </is>
      </c>
      <c r="G433" t="inlineStr">
        <is>
          <t>Dubai area</t>
        </is>
      </c>
      <c r="H433" t="inlineStr">
        <is>
          <t>Rice Delivery</t>
        </is>
      </c>
      <c r="I433" t="inlineStr">
        <is>
          <t>Local/Transactional</t>
        </is>
      </c>
      <c r="J433" t="inlineStr">
        <is>
          <t>BOFU</t>
        </is>
      </c>
      <c r="K433" t="inlineStr">
        <is>
          <t>Dubai - Dubai Silicon Oasis</t>
        </is>
      </c>
      <c r="L433" t="inlineStr">
        <is>
          <t>Location landing</t>
        </is>
      </c>
      <c r="M433">
        <f>IFERROR(VLOOKUP($A433,'Semrush Import'!$A:$D,2,FALSE),"")</f>
        <v/>
      </c>
      <c r="N433">
        <f>IFERROR(VLOOKUP($A433,'Semrush Import'!$A:$D,3,FALSE),"")</f>
        <v/>
      </c>
      <c r="O433">
        <f>IFERROR(VLOOKUP($A433,'Semrush Import'!$A:$D,4,FALSE),"")</f>
        <v/>
      </c>
      <c r="P433">
        <f>IFERROR(VLOOKUP($A433,'KP Import'!$A:$B,2,FALSE),"")</f>
        <v/>
      </c>
      <c r="Q433">
        <f>IF(M433="","",ROUND(M433/(N433+10),1))</f>
        <v/>
      </c>
      <c r="R433">
        <f>IF(Q433="","",IF(Q433&gt;=20,"A - Go first",IF(Q433&gt;=5,"B - Next","C - Later")))</f>
        <v/>
      </c>
      <c r="S433" t="inlineStr">
        <is>
          <t>To do</t>
        </is>
      </c>
      <c r="T433" t="inlineStr"/>
    </row>
    <row r="434">
      <c r="A434" t="inlineStr">
        <is>
          <t>rice wholesale dubai silicon oasis</t>
        </is>
      </c>
      <c r="B434" t="inlineStr">
        <is>
          <t>Phase 2 - B2C (later)</t>
        </is>
      </c>
      <c r="C434" t="inlineStr">
        <is>
          <t>Consumer / household</t>
        </is>
      </c>
      <c r="D434" t="inlineStr">
        <is>
          <t>Wholesale / Bulk</t>
        </is>
      </c>
      <c r="E434" t="inlineStr">
        <is>
          <t>Secondary (long-tail)</t>
        </is>
      </c>
      <c r="F434" t="inlineStr">
        <is>
          <t>H3 / body paragraph / table row / image alt</t>
        </is>
      </c>
      <c r="G434" t="inlineStr">
        <is>
          <t>Dubai area</t>
        </is>
      </c>
      <c r="H434" t="inlineStr">
        <is>
          <t>Rice Wholesale</t>
        </is>
      </c>
      <c r="I434" t="inlineStr">
        <is>
          <t>Local/Transactional</t>
        </is>
      </c>
      <c r="J434" t="inlineStr">
        <is>
          <t>BOFU</t>
        </is>
      </c>
      <c r="K434" t="inlineStr">
        <is>
          <t>Dubai - Dubai Silicon Oasis</t>
        </is>
      </c>
      <c r="L434" t="inlineStr">
        <is>
          <t>Location landing</t>
        </is>
      </c>
      <c r="M434">
        <f>IFERROR(VLOOKUP($A434,'Semrush Import'!$A:$D,2,FALSE),"")</f>
        <v/>
      </c>
      <c r="N434">
        <f>IFERROR(VLOOKUP($A434,'Semrush Import'!$A:$D,3,FALSE),"")</f>
        <v/>
      </c>
      <c r="O434">
        <f>IFERROR(VLOOKUP($A434,'Semrush Import'!$A:$D,4,FALSE),"")</f>
        <v/>
      </c>
      <c r="P434">
        <f>IFERROR(VLOOKUP($A434,'KP Import'!$A:$B,2,FALSE),"")</f>
        <v/>
      </c>
      <c r="Q434">
        <f>IF(M434="","",ROUND(M434/(N434+10),1))</f>
        <v/>
      </c>
      <c r="R434">
        <f>IF(Q434="","",IF(Q434&gt;=20,"A - Go first",IF(Q434&gt;=5,"B - Next","C - Later")))</f>
        <v/>
      </c>
      <c r="S434" t="inlineStr">
        <is>
          <t>To do</t>
        </is>
      </c>
      <c r="T434" t="inlineStr"/>
    </row>
    <row r="435">
      <c r="A435" t="inlineStr">
        <is>
          <t>basmati rice dubai silicon oasis</t>
        </is>
      </c>
      <c r="B435" t="inlineStr">
        <is>
          <t>Phase 1 - B2B now</t>
        </is>
      </c>
      <c r="C435" t="inlineStr">
        <is>
          <t>Wholesalers / bulk buyers</t>
        </is>
      </c>
      <c r="D435" t="inlineStr">
        <is>
          <t>Delivery page (B2C)</t>
        </is>
      </c>
      <c r="E435" t="inlineStr">
        <is>
          <t>Secondary (long-tail)</t>
        </is>
      </c>
      <c r="F435" t="inlineStr">
        <is>
          <t>H3 / body paragraph / table row / image alt</t>
        </is>
      </c>
      <c r="G435" t="inlineStr">
        <is>
          <t>Dubai area</t>
        </is>
      </c>
      <c r="H435" t="inlineStr">
        <is>
          <t>Basmati Rice</t>
        </is>
      </c>
      <c r="I435" t="inlineStr">
        <is>
          <t>Local/Transactional</t>
        </is>
      </c>
      <c r="J435" t="inlineStr">
        <is>
          <t>BOFU</t>
        </is>
      </c>
      <c r="K435" t="inlineStr">
        <is>
          <t>Dubai - Dubai Silicon Oasis</t>
        </is>
      </c>
      <c r="L435" t="inlineStr">
        <is>
          <t>Location landing</t>
        </is>
      </c>
      <c r="M435">
        <f>IFERROR(VLOOKUP($A435,'Semrush Import'!$A:$D,2,FALSE),"")</f>
        <v/>
      </c>
      <c r="N435">
        <f>IFERROR(VLOOKUP($A435,'Semrush Import'!$A:$D,3,FALSE),"")</f>
        <v/>
      </c>
      <c r="O435">
        <f>IFERROR(VLOOKUP($A435,'Semrush Import'!$A:$D,4,FALSE),"")</f>
        <v/>
      </c>
      <c r="P435">
        <f>IFERROR(VLOOKUP($A435,'KP Import'!$A:$B,2,FALSE),"")</f>
        <v/>
      </c>
      <c r="Q435">
        <f>IF(M435="","",ROUND(M435/(N435+10),1))</f>
        <v/>
      </c>
      <c r="R435">
        <f>IF(Q435="","",IF(Q435&gt;=20,"A - Go first",IF(Q435&gt;=5,"B - Next","C - Later")))</f>
        <v/>
      </c>
      <c r="S435" t="inlineStr">
        <is>
          <t>To do</t>
        </is>
      </c>
      <c r="T435" t="inlineStr"/>
    </row>
    <row r="436">
      <c r="A436" t="inlineStr">
        <is>
          <t>rice delivery mirdif</t>
        </is>
      </c>
      <c r="B436" t="inlineStr">
        <is>
          <t>Phase 2 - B2C (later)</t>
        </is>
      </c>
      <c r="C436" t="inlineStr">
        <is>
          <t>Consumer / household</t>
        </is>
      </c>
      <c r="D436" t="inlineStr">
        <is>
          <t>Delivery page (B2C)</t>
        </is>
      </c>
      <c r="E436" t="inlineStr">
        <is>
          <t>Secondary (short)</t>
        </is>
      </c>
      <c r="F436" t="inlineStr">
        <is>
          <t>H2 heading + 1st paragraph under it</t>
        </is>
      </c>
      <c r="G436" t="inlineStr">
        <is>
          <t>Dubai area</t>
        </is>
      </c>
      <c r="H436" t="inlineStr">
        <is>
          <t>Rice Delivery</t>
        </is>
      </c>
      <c r="I436" t="inlineStr">
        <is>
          <t>Local/Transactional</t>
        </is>
      </c>
      <c r="J436" t="inlineStr">
        <is>
          <t>BOFU</t>
        </is>
      </c>
      <c r="K436" t="inlineStr">
        <is>
          <t>Dubai - Mirdif</t>
        </is>
      </c>
      <c r="L436" t="inlineStr">
        <is>
          <t>Location landing</t>
        </is>
      </c>
      <c r="M436">
        <f>IFERROR(VLOOKUP($A436,'Semrush Import'!$A:$D,2,FALSE),"")</f>
        <v/>
      </c>
      <c r="N436">
        <f>IFERROR(VLOOKUP($A436,'Semrush Import'!$A:$D,3,FALSE),"")</f>
        <v/>
      </c>
      <c r="O436">
        <f>IFERROR(VLOOKUP($A436,'Semrush Import'!$A:$D,4,FALSE),"")</f>
        <v/>
      </c>
      <c r="P436">
        <f>IFERROR(VLOOKUP($A436,'KP Import'!$A:$B,2,FALSE),"")</f>
        <v/>
      </c>
      <c r="Q436">
        <f>IF(M436="","",ROUND(M436/(N436+10),1))</f>
        <v/>
      </c>
      <c r="R436">
        <f>IF(Q436="","",IF(Q436&gt;=20,"A - Go first",IF(Q436&gt;=5,"B - Next","C - Later")))</f>
        <v/>
      </c>
      <c r="S436" t="inlineStr">
        <is>
          <t>To do</t>
        </is>
      </c>
      <c r="T436" t="inlineStr"/>
    </row>
    <row r="437">
      <c r="A437" t="inlineStr">
        <is>
          <t>rice wholesale mirdif</t>
        </is>
      </c>
      <c r="B437" t="inlineStr">
        <is>
          <t>Phase 2 - B2C (later)</t>
        </is>
      </c>
      <c r="C437" t="inlineStr">
        <is>
          <t>Consumer / household</t>
        </is>
      </c>
      <c r="D437" t="inlineStr">
        <is>
          <t>Wholesale / Bulk</t>
        </is>
      </c>
      <c r="E437" t="inlineStr">
        <is>
          <t>Secondary (short)</t>
        </is>
      </c>
      <c r="F437" t="inlineStr">
        <is>
          <t>H2 heading + 1st paragraph under it</t>
        </is>
      </c>
      <c r="G437" t="inlineStr">
        <is>
          <t>Dubai area</t>
        </is>
      </c>
      <c r="H437" t="inlineStr">
        <is>
          <t>Rice Wholesale</t>
        </is>
      </c>
      <c r="I437" t="inlineStr">
        <is>
          <t>Local/Transactional</t>
        </is>
      </c>
      <c r="J437" t="inlineStr">
        <is>
          <t>BOFU</t>
        </is>
      </c>
      <c r="K437" t="inlineStr">
        <is>
          <t>Dubai - Mirdif</t>
        </is>
      </c>
      <c r="L437" t="inlineStr">
        <is>
          <t>Location landing</t>
        </is>
      </c>
      <c r="M437">
        <f>IFERROR(VLOOKUP($A437,'Semrush Import'!$A:$D,2,FALSE),"")</f>
        <v/>
      </c>
      <c r="N437">
        <f>IFERROR(VLOOKUP($A437,'Semrush Import'!$A:$D,3,FALSE),"")</f>
        <v/>
      </c>
      <c r="O437">
        <f>IFERROR(VLOOKUP($A437,'Semrush Import'!$A:$D,4,FALSE),"")</f>
        <v/>
      </c>
      <c r="P437">
        <f>IFERROR(VLOOKUP($A437,'KP Import'!$A:$B,2,FALSE),"")</f>
        <v/>
      </c>
      <c r="Q437">
        <f>IF(M437="","",ROUND(M437/(N437+10),1))</f>
        <v/>
      </c>
      <c r="R437">
        <f>IF(Q437="","",IF(Q437&gt;=20,"A - Go first",IF(Q437&gt;=5,"B - Next","C - Later")))</f>
        <v/>
      </c>
      <c r="S437" t="inlineStr">
        <is>
          <t>To do</t>
        </is>
      </c>
      <c r="T437" t="inlineStr"/>
    </row>
    <row r="438">
      <c r="A438" t="inlineStr">
        <is>
          <t>basmati rice mirdif</t>
        </is>
      </c>
      <c r="B438" t="inlineStr">
        <is>
          <t>Phase 1 - B2B now</t>
        </is>
      </c>
      <c r="C438" t="inlineStr">
        <is>
          <t>Wholesalers / bulk buyers</t>
        </is>
      </c>
      <c r="D438" t="inlineStr">
        <is>
          <t>Delivery page (B2C)</t>
        </is>
      </c>
      <c r="E438" t="inlineStr">
        <is>
          <t>Secondary (short)</t>
        </is>
      </c>
      <c r="F438" t="inlineStr">
        <is>
          <t>H2 heading + 1st paragraph under it</t>
        </is>
      </c>
      <c r="G438" t="inlineStr">
        <is>
          <t>Dubai area</t>
        </is>
      </c>
      <c r="H438" t="inlineStr">
        <is>
          <t>Basmati Rice</t>
        </is>
      </c>
      <c r="I438" t="inlineStr">
        <is>
          <t>Local/Transactional</t>
        </is>
      </c>
      <c r="J438" t="inlineStr">
        <is>
          <t>BOFU</t>
        </is>
      </c>
      <c r="K438" t="inlineStr">
        <is>
          <t>Dubai - Mirdif</t>
        </is>
      </c>
      <c r="L438" t="inlineStr">
        <is>
          <t>Location landing</t>
        </is>
      </c>
      <c r="M438">
        <f>IFERROR(VLOOKUP($A438,'Semrush Import'!$A:$D,2,FALSE),"")</f>
        <v/>
      </c>
      <c r="N438">
        <f>IFERROR(VLOOKUP($A438,'Semrush Import'!$A:$D,3,FALSE),"")</f>
        <v/>
      </c>
      <c r="O438">
        <f>IFERROR(VLOOKUP($A438,'Semrush Import'!$A:$D,4,FALSE),"")</f>
        <v/>
      </c>
      <c r="P438">
        <f>IFERROR(VLOOKUP($A438,'KP Import'!$A:$B,2,FALSE),"")</f>
        <v/>
      </c>
      <c r="Q438">
        <f>IF(M438="","",ROUND(M438/(N438+10),1))</f>
        <v/>
      </c>
      <c r="R438">
        <f>IF(Q438="","",IF(Q438&gt;=20,"A - Go first",IF(Q438&gt;=5,"B - Next","C - Later")))</f>
        <v/>
      </c>
      <c r="S438" t="inlineStr">
        <is>
          <t>To do</t>
        </is>
      </c>
      <c r="T438" t="inlineStr"/>
    </row>
    <row r="439">
      <c r="A439" t="inlineStr">
        <is>
          <t>rice delivery jumeirah</t>
        </is>
      </c>
      <c r="B439" t="inlineStr">
        <is>
          <t>Phase 2 - B2C (later)</t>
        </is>
      </c>
      <c r="C439" t="inlineStr">
        <is>
          <t>Consumer / household</t>
        </is>
      </c>
      <c r="D439" t="inlineStr">
        <is>
          <t>Delivery page (B2C)</t>
        </is>
      </c>
      <c r="E439" t="inlineStr">
        <is>
          <t>Secondary (short)</t>
        </is>
      </c>
      <c r="F439" t="inlineStr">
        <is>
          <t>H2 heading + 1st paragraph under it</t>
        </is>
      </c>
      <c r="G439" t="inlineStr">
        <is>
          <t>Dubai area</t>
        </is>
      </c>
      <c r="H439" t="inlineStr">
        <is>
          <t>Rice Delivery</t>
        </is>
      </c>
      <c r="I439" t="inlineStr">
        <is>
          <t>Local/Transactional</t>
        </is>
      </c>
      <c r="J439" t="inlineStr">
        <is>
          <t>BOFU</t>
        </is>
      </c>
      <c r="K439" t="inlineStr">
        <is>
          <t>Dubai - Jumeirah</t>
        </is>
      </c>
      <c r="L439" t="inlineStr">
        <is>
          <t>Location landing</t>
        </is>
      </c>
      <c r="M439">
        <f>IFERROR(VLOOKUP($A439,'Semrush Import'!$A:$D,2,FALSE),"")</f>
        <v/>
      </c>
      <c r="N439">
        <f>IFERROR(VLOOKUP($A439,'Semrush Import'!$A:$D,3,FALSE),"")</f>
        <v/>
      </c>
      <c r="O439">
        <f>IFERROR(VLOOKUP($A439,'Semrush Import'!$A:$D,4,FALSE),"")</f>
        <v/>
      </c>
      <c r="P439">
        <f>IFERROR(VLOOKUP($A439,'KP Import'!$A:$B,2,FALSE),"")</f>
        <v/>
      </c>
      <c r="Q439">
        <f>IF(M439="","",ROUND(M439/(N439+10),1))</f>
        <v/>
      </c>
      <c r="R439">
        <f>IF(Q439="","",IF(Q439&gt;=20,"A - Go first",IF(Q439&gt;=5,"B - Next","C - Later")))</f>
        <v/>
      </c>
      <c r="S439" t="inlineStr">
        <is>
          <t>To do</t>
        </is>
      </c>
      <c r="T439" t="inlineStr"/>
    </row>
    <row r="440">
      <c r="A440" t="inlineStr">
        <is>
          <t>rice wholesale jumeirah</t>
        </is>
      </c>
      <c r="B440" t="inlineStr">
        <is>
          <t>Phase 2 - B2C (later)</t>
        </is>
      </c>
      <c r="C440" t="inlineStr">
        <is>
          <t>Consumer / household</t>
        </is>
      </c>
      <c r="D440" t="inlineStr">
        <is>
          <t>Wholesale / Bulk</t>
        </is>
      </c>
      <c r="E440" t="inlineStr">
        <is>
          <t>Secondary (short)</t>
        </is>
      </c>
      <c r="F440" t="inlineStr">
        <is>
          <t>H2 heading + 1st paragraph under it</t>
        </is>
      </c>
      <c r="G440" t="inlineStr">
        <is>
          <t>Dubai area</t>
        </is>
      </c>
      <c r="H440" t="inlineStr">
        <is>
          <t>Rice Wholesale</t>
        </is>
      </c>
      <c r="I440" t="inlineStr">
        <is>
          <t>Local/Transactional</t>
        </is>
      </c>
      <c r="J440" t="inlineStr">
        <is>
          <t>BOFU</t>
        </is>
      </c>
      <c r="K440" t="inlineStr">
        <is>
          <t>Dubai - Jumeirah</t>
        </is>
      </c>
      <c r="L440" t="inlineStr">
        <is>
          <t>Location landing</t>
        </is>
      </c>
      <c r="M440">
        <f>IFERROR(VLOOKUP($A440,'Semrush Import'!$A:$D,2,FALSE),"")</f>
        <v/>
      </c>
      <c r="N440">
        <f>IFERROR(VLOOKUP($A440,'Semrush Import'!$A:$D,3,FALSE),"")</f>
        <v/>
      </c>
      <c r="O440">
        <f>IFERROR(VLOOKUP($A440,'Semrush Import'!$A:$D,4,FALSE),"")</f>
        <v/>
      </c>
      <c r="P440">
        <f>IFERROR(VLOOKUP($A440,'KP Import'!$A:$B,2,FALSE),"")</f>
        <v/>
      </c>
      <c r="Q440">
        <f>IF(M440="","",ROUND(M440/(N440+10),1))</f>
        <v/>
      </c>
      <c r="R440">
        <f>IF(Q440="","",IF(Q440&gt;=20,"A - Go first",IF(Q440&gt;=5,"B - Next","C - Later")))</f>
        <v/>
      </c>
      <c r="S440" t="inlineStr">
        <is>
          <t>To do</t>
        </is>
      </c>
      <c r="T440" t="inlineStr"/>
    </row>
    <row r="441">
      <c r="A441" t="inlineStr">
        <is>
          <t>basmati rice jumeirah</t>
        </is>
      </c>
      <c r="B441" t="inlineStr">
        <is>
          <t>Phase 1 - B2B now</t>
        </is>
      </c>
      <c r="C441" t="inlineStr">
        <is>
          <t>Wholesalers / bulk buyers</t>
        </is>
      </c>
      <c r="D441" t="inlineStr">
        <is>
          <t>Delivery page (B2C)</t>
        </is>
      </c>
      <c r="E441" t="inlineStr">
        <is>
          <t>Secondary (short)</t>
        </is>
      </c>
      <c r="F441" t="inlineStr">
        <is>
          <t>H2 heading + 1st paragraph under it</t>
        </is>
      </c>
      <c r="G441" t="inlineStr">
        <is>
          <t>Dubai area</t>
        </is>
      </c>
      <c r="H441" t="inlineStr">
        <is>
          <t>Basmati Rice</t>
        </is>
      </c>
      <c r="I441" t="inlineStr">
        <is>
          <t>Local/Transactional</t>
        </is>
      </c>
      <c r="J441" t="inlineStr">
        <is>
          <t>BOFU</t>
        </is>
      </c>
      <c r="K441" t="inlineStr">
        <is>
          <t>Dubai - Jumeirah</t>
        </is>
      </c>
      <c r="L441" t="inlineStr">
        <is>
          <t>Location landing</t>
        </is>
      </c>
      <c r="M441">
        <f>IFERROR(VLOOKUP($A441,'Semrush Import'!$A:$D,2,FALSE),"")</f>
        <v/>
      </c>
      <c r="N441">
        <f>IFERROR(VLOOKUP($A441,'Semrush Import'!$A:$D,3,FALSE),"")</f>
        <v/>
      </c>
      <c r="O441">
        <f>IFERROR(VLOOKUP($A441,'Semrush Import'!$A:$D,4,FALSE),"")</f>
        <v/>
      </c>
      <c r="P441">
        <f>IFERROR(VLOOKUP($A441,'KP Import'!$A:$B,2,FALSE),"")</f>
        <v/>
      </c>
      <c r="Q441">
        <f>IF(M441="","",ROUND(M441/(N441+10),1))</f>
        <v/>
      </c>
      <c r="R441">
        <f>IF(Q441="","",IF(Q441&gt;=20,"A - Go first",IF(Q441&gt;=5,"B - Next","C - Later")))</f>
        <v/>
      </c>
      <c r="S441" t="inlineStr">
        <is>
          <t>To do</t>
        </is>
      </c>
      <c r="T441" t="inlineStr"/>
    </row>
    <row r="442">
      <c r="A442" t="inlineStr">
        <is>
          <t>rice delivery ras al khor</t>
        </is>
      </c>
      <c r="B442" t="inlineStr">
        <is>
          <t>Phase 2 - B2C (later)</t>
        </is>
      </c>
      <c r="C442" t="inlineStr">
        <is>
          <t>Consumer / household</t>
        </is>
      </c>
      <c r="D442" t="inlineStr">
        <is>
          <t>Delivery page (B2C)</t>
        </is>
      </c>
      <c r="E442" t="inlineStr">
        <is>
          <t>Secondary (long-tail)</t>
        </is>
      </c>
      <c r="F442" t="inlineStr">
        <is>
          <t>H3 / body paragraph / table row / image alt</t>
        </is>
      </c>
      <c r="G442" t="inlineStr">
        <is>
          <t>Dubai area</t>
        </is>
      </c>
      <c r="H442" t="inlineStr">
        <is>
          <t>Rice Delivery</t>
        </is>
      </c>
      <c r="I442" t="inlineStr">
        <is>
          <t>Local/Transactional</t>
        </is>
      </c>
      <c r="J442" t="inlineStr">
        <is>
          <t>BOFU</t>
        </is>
      </c>
      <c r="K442" t="inlineStr">
        <is>
          <t>Dubai - Ras Al Khor</t>
        </is>
      </c>
      <c r="L442" t="inlineStr">
        <is>
          <t>Location landing</t>
        </is>
      </c>
      <c r="M442">
        <f>IFERROR(VLOOKUP($A442,'Semrush Import'!$A:$D,2,FALSE),"")</f>
        <v/>
      </c>
      <c r="N442">
        <f>IFERROR(VLOOKUP($A442,'Semrush Import'!$A:$D,3,FALSE),"")</f>
        <v/>
      </c>
      <c r="O442">
        <f>IFERROR(VLOOKUP($A442,'Semrush Import'!$A:$D,4,FALSE),"")</f>
        <v/>
      </c>
      <c r="P442">
        <f>IFERROR(VLOOKUP($A442,'KP Import'!$A:$B,2,FALSE),"")</f>
        <v/>
      </c>
      <c r="Q442">
        <f>IF(M442="","",ROUND(M442/(N442+10),1))</f>
        <v/>
      </c>
      <c r="R442">
        <f>IF(Q442="","",IF(Q442&gt;=20,"A - Go first",IF(Q442&gt;=5,"B - Next","C - Later")))</f>
        <v/>
      </c>
      <c r="S442" t="inlineStr">
        <is>
          <t>To do</t>
        </is>
      </c>
      <c r="T442" t="inlineStr"/>
    </row>
    <row r="443">
      <c r="A443" t="inlineStr">
        <is>
          <t>rice wholesale ras al khor</t>
        </is>
      </c>
      <c r="B443" t="inlineStr">
        <is>
          <t>Phase 2 - B2C (later)</t>
        </is>
      </c>
      <c r="C443" t="inlineStr">
        <is>
          <t>Consumer / household</t>
        </is>
      </c>
      <c r="D443" t="inlineStr">
        <is>
          <t>Wholesale / Bulk</t>
        </is>
      </c>
      <c r="E443" t="inlineStr">
        <is>
          <t>Secondary (long-tail)</t>
        </is>
      </c>
      <c r="F443" t="inlineStr">
        <is>
          <t>H3 / body paragraph / table row / image alt</t>
        </is>
      </c>
      <c r="G443" t="inlineStr">
        <is>
          <t>Dubai area</t>
        </is>
      </c>
      <c r="H443" t="inlineStr">
        <is>
          <t>Rice Wholesale</t>
        </is>
      </c>
      <c r="I443" t="inlineStr">
        <is>
          <t>Local/Transactional</t>
        </is>
      </c>
      <c r="J443" t="inlineStr">
        <is>
          <t>BOFU</t>
        </is>
      </c>
      <c r="K443" t="inlineStr">
        <is>
          <t>Dubai - Ras Al Khor</t>
        </is>
      </c>
      <c r="L443" t="inlineStr">
        <is>
          <t>Location landing</t>
        </is>
      </c>
      <c r="M443">
        <f>IFERROR(VLOOKUP($A443,'Semrush Import'!$A:$D,2,FALSE),"")</f>
        <v/>
      </c>
      <c r="N443">
        <f>IFERROR(VLOOKUP($A443,'Semrush Import'!$A:$D,3,FALSE),"")</f>
        <v/>
      </c>
      <c r="O443">
        <f>IFERROR(VLOOKUP($A443,'Semrush Import'!$A:$D,4,FALSE),"")</f>
        <v/>
      </c>
      <c r="P443">
        <f>IFERROR(VLOOKUP($A443,'KP Import'!$A:$B,2,FALSE),"")</f>
        <v/>
      </c>
      <c r="Q443">
        <f>IF(M443="","",ROUND(M443/(N443+10),1))</f>
        <v/>
      </c>
      <c r="R443">
        <f>IF(Q443="","",IF(Q443&gt;=20,"A - Go first",IF(Q443&gt;=5,"B - Next","C - Later")))</f>
        <v/>
      </c>
      <c r="S443" t="inlineStr">
        <is>
          <t>To do</t>
        </is>
      </c>
      <c r="T443" t="inlineStr"/>
    </row>
    <row r="444">
      <c r="A444" t="inlineStr">
        <is>
          <t>basmati rice ras al khor</t>
        </is>
      </c>
      <c r="B444" t="inlineStr">
        <is>
          <t>Phase 1 - B2B now</t>
        </is>
      </c>
      <c r="C444" t="inlineStr">
        <is>
          <t>Wholesalers / bulk buyers</t>
        </is>
      </c>
      <c r="D444" t="inlineStr">
        <is>
          <t>Delivery page (B2C)</t>
        </is>
      </c>
      <c r="E444" t="inlineStr">
        <is>
          <t>Secondary (long-tail)</t>
        </is>
      </c>
      <c r="F444" t="inlineStr">
        <is>
          <t>H3 / body paragraph / table row / image alt</t>
        </is>
      </c>
      <c r="G444" t="inlineStr">
        <is>
          <t>Dubai area</t>
        </is>
      </c>
      <c r="H444" t="inlineStr">
        <is>
          <t>Basmati Rice</t>
        </is>
      </c>
      <c r="I444" t="inlineStr">
        <is>
          <t>Local/Transactional</t>
        </is>
      </c>
      <c r="J444" t="inlineStr">
        <is>
          <t>BOFU</t>
        </is>
      </c>
      <c r="K444" t="inlineStr">
        <is>
          <t>Dubai - Ras Al Khor</t>
        </is>
      </c>
      <c r="L444" t="inlineStr">
        <is>
          <t>Location landing</t>
        </is>
      </c>
      <c r="M444">
        <f>IFERROR(VLOOKUP($A444,'Semrush Import'!$A:$D,2,FALSE),"")</f>
        <v/>
      </c>
      <c r="N444">
        <f>IFERROR(VLOOKUP($A444,'Semrush Import'!$A:$D,3,FALSE),"")</f>
        <v/>
      </c>
      <c r="O444">
        <f>IFERROR(VLOOKUP($A444,'Semrush Import'!$A:$D,4,FALSE),"")</f>
        <v/>
      </c>
      <c r="P444">
        <f>IFERROR(VLOOKUP($A444,'KP Import'!$A:$B,2,FALSE),"")</f>
        <v/>
      </c>
      <c r="Q444">
        <f>IF(M444="","",ROUND(M444/(N444+10),1))</f>
        <v/>
      </c>
      <c r="R444">
        <f>IF(Q444="","",IF(Q444&gt;=20,"A - Go first",IF(Q444&gt;=5,"B - Next","C - Later")))</f>
        <v/>
      </c>
      <c r="S444" t="inlineStr">
        <is>
          <t>To do</t>
        </is>
      </c>
      <c r="T444" t="inlineStr"/>
    </row>
    <row r="445">
      <c r="A445" t="inlineStr">
        <is>
          <t>rice delivery al barsha</t>
        </is>
      </c>
      <c r="B445" t="inlineStr">
        <is>
          <t>Phase 2 - B2C (later)</t>
        </is>
      </c>
      <c r="C445" t="inlineStr">
        <is>
          <t>Consumer / household</t>
        </is>
      </c>
      <c r="D445" t="inlineStr">
        <is>
          <t>Delivery page (B2C)</t>
        </is>
      </c>
      <c r="E445" t="inlineStr">
        <is>
          <t>Secondary (long-tail)</t>
        </is>
      </c>
      <c r="F445" t="inlineStr">
        <is>
          <t>H3 / body paragraph / table row / image alt</t>
        </is>
      </c>
      <c r="G445" t="inlineStr">
        <is>
          <t>Dubai area</t>
        </is>
      </c>
      <c r="H445" t="inlineStr">
        <is>
          <t>Rice Delivery</t>
        </is>
      </c>
      <c r="I445" t="inlineStr">
        <is>
          <t>Local/Transactional</t>
        </is>
      </c>
      <c r="J445" t="inlineStr">
        <is>
          <t>BOFU</t>
        </is>
      </c>
      <c r="K445" t="inlineStr">
        <is>
          <t>Dubai - Al Barsha</t>
        </is>
      </c>
      <c r="L445" t="inlineStr">
        <is>
          <t>Location landing</t>
        </is>
      </c>
      <c r="M445">
        <f>IFERROR(VLOOKUP($A445,'Semrush Import'!$A:$D,2,FALSE),"")</f>
        <v/>
      </c>
      <c r="N445">
        <f>IFERROR(VLOOKUP($A445,'Semrush Import'!$A:$D,3,FALSE),"")</f>
        <v/>
      </c>
      <c r="O445">
        <f>IFERROR(VLOOKUP($A445,'Semrush Import'!$A:$D,4,FALSE),"")</f>
        <v/>
      </c>
      <c r="P445">
        <f>IFERROR(VLOOKUP($A445,'KP Import'!$A:$B,2,FALSE),"")</f>
        <v/>
      </c>
      <c r="Q445">
        <f>IF(M445="","",ROUND(M445/(N445+10),1))</f>
        <v/>
      </c>
      <c r="R445">
        <f>IF(Q445="","",IF(Q445&gt;=20,"A - Go first",IF(Q445&gt;=5,"B - Next","C - Later")))</f>
        <v/>
      </c>
      <c r="S445" t="inlineStr">
        <is>
          <t>To do</t>
        </is>
      </c>
      <c r="T445" t="inlineStr"/>
    </row>
    <row r="446">
      <c r="A446" t="inlineStr">
        <is>
          <t>rice wholesale al barsha</t>
        </is>
      </c>
      <c r="B446" t="inlineStr">
        <is>
          <t>Phase 2 - B2C (later)</t>
        </is>
      </c>
      <c r="C446" t="inlineStr">
        <is>
          <t>Consumer / household</t>
        </is>
      </c>
      <c r="D446" t="inlineStr">
        <is>
          <t>Wholesale / Bulk</t>
        </is>
      </c>
      <c r="E446" t="inlineStr">
        <is>
          <t>Secondary (long-tail)</t>
        </is>
      </c>
      <c r="F446" t="inlineStr">
        <is>
          <t>H3 / body paragraph / table row / image alt</t>
        </is>
      </c>
      <c r="G446" t="inlineStr">
        <is>
          <t>Dubai area</t>
        </is>
      </c>
      <c r="H446" t="inlineStr">
        <is>
          <t>Rice Wholesale</t>
        </is>
      </c>
      <c r="I446" t="inlineStr">
        <is>
          <t>Local/Transactional</t>
        </is>
      </c>
      <c r="J446" t="inlineStr">
        <is>
          <t>BOFU</t>
        </is>
      </c>
      <c r="K446" t="inlineStr">
        <is>
          <t>Dubai - Al Barsha</t>
        </is>
      </c>
      <c r="L446" t="inlineStr">
        <is>
          <t>Location landing</t>
        </is>
      </c>
      <c r="M446">
        <f>IFERROR(VLOOKUP($A446,'Semrush Import'!$A:$D,2,FALSE),"")</f>
        <v/>
      </c>
      <c r="N446">
        <f>IFERROR(VLOOKUP($A446,'Semrush Import'!$A:$D,3,FALSE),"")</f>
        <v/>
      </c>
      <c r="O446">
        <f>IFERROR(VLOOKUP($A446,'Semrush Import'!$A:$D,4,FALSE),"")</f>
        <v/>
      </c>
      <c r="P446">
        <f>IFERROR(VLOOKUP($A446,'KP Import'!$A:$B,2,FALSE),"")</f>
        <v/>
      </c>
      <c r="Q446">
        <f>IF(M446="","",ROUND(M446/(N446+10),1))</f>
        <v/>
      </c>
      <c r="R446">
        <f>IF(Q446="","",IF(Q446&gt;=20,"A - Go first",IF(Q446&gt;=5,"B - Next","C - Later")))</f>
        <v/>
      </c>
      <c r="S446" t="inlineStr">
        <is>
          <t>To do</t>
        </is>
      </c>
      <c r="T446" t="inlineStr"/>
    </row>
    <row r="447">
      <c r="A447" t="inlineStr">
        <is>
          <t>basmati rice al barsha</t>
        </is>
      </c>
      <c r="B447" t="inlineStr">
        <is>
          <t>Phase 1 - B2B now</t>
        </is>
      </c>
      <c r="C447" t="inlineStr">
        <is>
          <t>Wholesalers / bulk buyers</t>
        </is>
      </c>
      <c r="D447" t="inlineStr">
        <is>
          <t>Delivery page (B2C)</t>
        </is>
      </c>
      <c r="E447" t="inlineStr">
        <is>
          <t>Secondary (long-tail)</t>
        </is>
      </c>
      <c r="F447" t="inlineStr">
        <is>
          <t>H3 / body paragraph / table row / image alt</t>
        </is>
      </c>
      <c r="G447" t="inlineStr">
        <is>
          <t>Dubai area</t>
        </is>
      </c>
      <c r="H447" t="inlineStr">
        <is>
          <t>Basmati Rice</t>
        </is>
      </c>
      <c r="I447" t="inlineStr">
        <is>
          <t>Local/Transactional</t>
        </is>
      </c>
      <c r="J447" t="inlineStr">
        <is>
          <t>BOFU</t>
        </is>
      </c>
      <c r="K447" t="inlineStr">
        <is>
          <t>Dubai - Al Barsha</t>
        </is>
      </c>
      <c r="L447" t="inlineStr">
        <is>
          <t>Location landing</t>
        </is>
      </c>
      <c r="M447">
        <f>IFERROR(VLOOKUP($A447,'Semrush Import'!$A:$D,2,FALSE),"")</f>
        <v/>
      </c>
      <c r="N447">
        <f>IFERROR(VLOOKUP($A447,'Semrush Import'!$A:$D,3,FALSE),"")</f>
        <v/>
      </c>
      <c r="O447">
        <f>IFERROR(VLOOKUP($A447,'Semrush Import'!$A:$D,4,FALSE),"")</f>
        <v/>
      </c>
      <c r="P447">
        <f>IFERROR(VLOOKUP($A447,'KP Import'!$A:$B,2,FALSE),"")</f>
        <v/>
      </c>
      <c r="Q447">
        <f>IF(M447="","",ROUND(M447/(N447+10),1))</f>
        <v/>
      </c>
      <c r="R447">
        <f>IF(Q447="","",IF(Q447&gt;=20,"A - Go first",IF(Q447&gt;=5,"B - Next","C - Later")))</f>
        <v/>
      </c>
      <c r="S447" t="inlineStr">
        <is>
          <t>To do</t>
        </is>
      </c>
      <c r="T447" t="inlineStr"/>
    </row>
    <row r="448">
      <c r="A448" t="inlineStr">
        <is>
          <t>rice delivery dubai investment park</t>
        </is>
      </c>
      <c r="B448" t="inlineStr">
        <is>
          <t>Phase 2 - B2C (later)</t>
        </is>
      </c>
      <c r="C448" t="inlineStr">
        <is>
          <t>Consumer / household</t>
        </is>
      </c>
      <c r="D448" t="inlineStr">
        <is>
          <t>Delivery page (B2C)</t>
        </is>
      </c>
      <c r="E448" t="inlineStr">
        <is>
          <t>Secondary (long-tail)</t>
        </is>
      </c>
      <c r="F448" t="inlineStr">
        <is>
          <t>H3 / body paragraph / table row / image alt</t>
        </is>
      </c>
      <c r="G448" t="inlineStr">
        <is>
          <t>Dubai area</t>
        </is>
      </c>
      <c r="H448" t="inlineStr">
        <is>
          <t>Rice Delivery</t>
        </is>
      </c>
      <c r="I448" t="inlineStr">
        <is>
          <t>Local/Transactional</t>
        </is>
      </c>
      <c r="J448" t="inlineStr">
        <is>
          <t>BOFU</t>
        </is>
      </c>
      <c r="K448" t="inlineStr">
        <is>
          <t>Dubai - Dubai Investment Park</t>
        </is>
      </c>
      <c r="L448" t="inlineStr">
        <is>
          <t>Location landing</t>
        </is>
      </c>
      <c r="M448">
        <f>IFERROR(VLOOKUP($A448,'Semrush Import'!$A:$D,2,FALSE),"")</f>
        <v/>
      </c>
      <c r="N448">
        <f>IFERROR(VLOOKUP($A448,'Semrush Import'!$A:$D,3,FALSE),"")</f>
        <v/>
      </c>
      <c r="O448">
        <f>IFERROR(VLOOKUP($A448,'Semrush Import'!$A:$D,4,FALSE),"")</f>
        <v/>
      </c>
      <c r="P448">
        <f>IFERROR(VLOOKUP($A448,'KP Import'!$A:$B,2,FALSE),"")</f>
        <v/>
      </c>
      <c r="Q448">
        <f>IF(M448="","",ROUND(M448/(N448+10),1))</f>
        <v/>
      </c>
      <c r="R448">
        <f>IF(Q448="","",IF(Q448&gt;=20,"A - Go first",IF(Q448&gt;=5,"B - Next","C - Later")))</f>
        <v/>
      </c>
      <c r="S448" t="inlineStr">
        <is>
          <t>To do</t>
        </is>
      </c>
      <c r="T448" t="inlineStr"/>
    </row>
    <row r="449">
      <c r="A449" t="inlineStr">
        <is>
          <t>rice wholesale dubai investment park</t>
        </is>
      </c>
      <c r="B449" t="inlineStr">
        <is>
          <t>Phase 2 - B2C (later)</t>
        </is>
      </c>
      <c r="C449" t="inlineStr">
        <is>
          <t>Consumer / household</t>
        </is>
      </c>
      <c r="D449" t="inlineStr">
        <is>
          <t>Wholesale / Bulk</t>
        </is>
      </c>
      <c r="E449" t="inlineStr">
        <is>
          <t>Secondary (long-tail)</t>
        </is>
      </c>
      <c r="F449" t="inlineStr">
        <is>
          <t>H3 / body paragraph / table row / image alt</t>
        </is>
      </c>
      <c r="G449" t="inlineStr">
        <is>
          <t>Dubai area</t>
        </is>
      </c>
      <c r="H449" t="inlineStr">
        <is>
          <t>Rice Wholesale</t>
        </is>
      </c>
      <c r="I449" t="inlineStr">
        <is>
          <t>Local/Transactional</t>
        </is>
      </c>
      <c r="J449" t="inlineStr">
        <is>
          <t>BOFU</t>
        </is>
      </c>
      <c r="K449" t="inlineStr">
        <is>
          <t>Dubai - Dubai Investment Park</t>
        </is>
      </c>
      <c r="L449" t="inlineStr">
        <is>
          <t>Location landing</t>
        </is>
      </c>
      <c r="M449">
        <f>IFERROR(VLOOKUP($A449,'Semrush Import'!$A:$D,2,FALSE),"")</f>
        <v/>
      </c>
      <c r="N449">
        <f>IFERROR(VLOOKUP($A449,'Semrush Import'!$A:$D,3,FALSE),"")</f>
        <v/>
      </c>
      <c r="O449">
        <f>IFERROR(VLOOKUP($A449,'Semrush Import'!$A:$D,4,FALSE),"")</f>
        <v/>
      </c>
      <c r="P449">
        <f>IFERROR(VLOOKUP($A449,'KP Import'!$A:$B,2,FALSE),"")</f>
        <v/>
      </c>
      <c r="Q449">
        <f>IF(M449="","",ROUND(M449/(N449+10),1))</f>
        <v/>
      </c>
      <c r="R449">
        <f>IF(Q449="","",IF(Q449&gt;=20,"A - Go first",IF(Q449&gt;=5,"B - Next","C - Later")))</f>
        <v/>
      </c>
      <c r="S449" t="inlineStr">
        <is>
          <t>To do</t>
        </is>
      </c>
      <c r="T449" t="inlineStr"/>
    </row>
    <row r="450">
      <c r="A450" t="inlineStr">
        <is>
          <t>basmati rice dubai investment park</t>
        </is>
      </c>
      <c r="B450" t="inlineStr">
        <is>
          <t>Phase 1 - B2B now</t>
        </is>
      </c>
      <c r="C450" t="inlineStr">
        <is>
          <t>Wholesalers / bulk buyers</t>
        </is>
      </c>
      <c r="D450" t="inlineStr">
        <is>
          <t>Delivery page (B2C)</t>
        </is>
      </c>
      <c r="E450" t="inlineStr">
        <is>
          <t>Secondary (long-tail)</t>
        </is>
      </c>
      <c r="F450" t="inlineStr">
        <is>
          <t>H3 / body paragraph / table row / image alt</t>
        </is>
      </c>
      <c r="G450" t="inlineStr">
        <is>
          <t>Dubai area</t>
        </is>
      </c>
      <c r="H450" t="inlineStr">
        <is>
          <t>Basmati Rice</t>
        </is>
      </c>
      <c r="I450" t="inlineStr">
        <is>
          <t>Local/Transactional</t>
        </is>
      </c>
      <c r="J450" t="inlineStr">
        <is>
          <t>BOFU</t>
        </is>
      </c>
      <c r="K450" t="inlineStr">
        <is>
          <t>Dubai - Dubai Investment Park</t>
        </is>
      </c>
      <c r="L450" t="inlineStr">
        <is>
          <t>Location landing</t>
        </is>
      </c>
      <c r="M450">
        <f>IFERROR(VLOOKUP($A450,'Semrush Import'!$A:$D,2,FALSE),"")</f>
        <v/>
      </c>
      <c r="N450">
        <f>IFERROR(VLOOKUP($A450,'Semrush Import'!$A:$D,3,FALSE),"")</f>
        <v/>
      </c>
      <c r="O450">
        <f>IFERROR(VLOOKUP($A450,'Semrush Import'!$A:$D,4,FALSE),"")</f>
        <v/>
      </c>
      <c r="P450">
        <f>IFERROR(VLOOKUP($A450,'KP Import'!$A:$B,2,FALSE),"")</f>
        <v/>
      </c>
      <c r="Q450">
        <f>IF(M450="","",ROUND(M450/(N450+10),1))</f>
        <v/>
      </c>
      <c r="R450">
        <f>IF(Q450="","",IF(Q450&gt;=20,"A - Go first",IF(Q450&gt;=5,"B - Next","C - Later")))</f>
        <v/>
      </c>
      <c r="S450" t="inlineStr">
        <is>
          <t>To do</t>
        </is>
      </c>
      <c r="T450" t="inlineStr"/>
    </row>
    <row r="451">
      <c r="A451" t="inlineStr">
        <is>
          <t>rice wholesale al nahda sharjah</t>
        </is>
      </c>
      <c r="B451" t="inlineStr">
        <is>
          <t>Phase 2 - B2C (later)</t>
        </is>
      </c>
      <c r="C451" t="inlineStr">
        <is>
          <t>Consumer / household</t>
        </is>
      </c>
      <c r="D451" t="inlineStr">
        <is>
          <t>Emirate page: Sharjah</t>
        </is>
      </c>
      <c r="E451" t="inlineStr">
        <is>
          <t>Secondary (long-tail)</t>
        </is>
      </c>
      <c r="F451" t="inlineStr">
        <is>
          <t>H3 / body paragraph / table row / image alt</t>
        </is>
      </c>
      <c r="G451" t="inlineStr">
        <is>
          <t>Sharjah area</t>
        </is>
      </c>
      <c r="H451" t="inlineStr">
        <is>
          <t>Wholesale</t>
        </is>
      </c>
      <c r="I451" t="inlineStr">
        <is>
          <t>Local/Transactional (B2B)</t>
        </is>
      </c>
      <c r="J451" t="inlineStr">
        <is>
          <t>BOFU</t>
        </is>
      </c>
      <c r="K451" t="inlineStr">
        <is>
          <t>Sharjah - Al Nahda</t>
        </is>
      </c>
      <c r="L451" t="inlineStr">
        <is>
          <t>Location landing</t>
        </is>
      </c>
      <c r="M451">
        <f>IFERROR(VLOOKUP($A451,'Semrush Import'!$A:$D,2,FALSE),"")</f>
        <v/>
      </c>
      <c r="N451">
        <f>IFERROR(VLOOKUP($A451,'Semrush Import'!$A:$D,3,FALSE),"")</f>
        <v/>
      </c>
      <c r="O451">
        <f>IFERROR(VLOOKUP($A451,'Semrush Import'!$A:$D,4,FALSE),"")</f>
        <v/>
      </c>
      <c r="P451">
        <f>IFERROR(VLOOKUP($A451,'KP Import'!$A:$B,2,FALSE),"")</f>
        <v/>
      </c>
      <c r="Q451">
        <f>IF(M451="","",ROUND(M451/(N451+10),1))</f>
        <v/>
      </c>
      <c r="R451">
        <f>IF(Q451="","",IF(Q451&gt;=20,"A - Go first",IF(Q451&gt;=5,"B - Next","C - Later")))</f>
        <v/>
      </c>
      <c r="S451" t="inlineStr">
        <is>
          <t>To do</t>
        </is>
      </c>
      <c r="T451" t="inlineStr"/>
    </row>
    <row r="452">
      <c r="A452" t="inlineStr">
        <is>
          <t>rice wholesale industrial area sharjah</t>
        </is>
      </c>
      <c r="B452" t="inlineStr">
        <is>
          <t>Phase 2 - B2C (later)</t>
        </is>
      </c>
      <c r="C452" t="inlineStr">
        <is>
          <t>Consumer / household</t>
        </is>
      </c>
      <c r="D452" t="inlineStr">
        <is>
          <t>Emirate page: Sharjah</t>
        </is>
      </c>
      <c r="E452" t="inlineStr">
        <is>
          <t>Secondary (long-tail)</t>
        </is>
      </c>
      <c r="F452" t="inlineStr">
        <is>
          <t>H3 / body paragraph / table row / image alt</t>
        </is>
      </c>
      <c r="G452" t="inlineStr">
        <is>
          <t>Sharjah area</t>
        </is>
      </c>
      <c r="H452" t="inlineStr">
        <is>
          <t>Wholesale</t>
        </is>
      </c>
      <c r="I452" t="inlineStr">
        <is>
          <t>Local/Transactional (B2B)</t>
        </is>
      </c>
      <c r="J452" t="inlineStr">
        <is>
          <t>BOFU</t>
        </is>
      </c>
      <c r="K452" t="inlineStr">
        <is>
          <t>Sharjah - Industrial Area</t>
        </is>
      </c>
      <c r="L452" t="inlineStr">
        <is>
          <t>Location landing</t>
        </is>
      </c>
      <c r="M452">
        <f>IFERROR(VLOOKUP($A452,'Semrush Import'!$A:$D,2,FALSE),"")</f>
        <v/>
      </c>
      <c r="N452">
        <f>IFERROR(VLOOKUP($A452,'Semrush Import'!$A:$D,3,FALSE),"")</f>
        <v/>
      </c>
      <c r="O452">
        <f>IFERROR(VLOOKUP($A452,'Semrush Import'!$A:$D,4,FALSE),"")</f>
        <v/>
      </c>
      <c r="P452">
        <f>IFERROR(VLOOKUP($A452,'KP Import'!$A:$B,2,FALSE),"")</f>
        <v/>
      </c>
      <c r="Q452">
        <f>IF(M452="","",ROUND(M452/(N452+10),1))</f>
        <v/>
      </c>
      <c r="R452">
        <f>IF(Q452="","",IF(Q452&gt;=20,"A - Go first",IF(Q452&gt;=5,"B - Next","C - Later")))</f>
        <v/>
      </c>
      <c r="S452" t="inlineStr">
        <is>
          <t>To do</t>
        </is>
      </c>
      <c r="T452" t="inlineStr"/>
    </row>
    <row r="453">
      <c r="A453" t="inlineStr">
        <is>
          <t>rice wholesale al majaz sharjah</t>
        </is>
      </c>
      <c r="B453" t="inlineStr">
        <is>
          <t>Phase 2 - B2C (later)</t>
        </is>
      </c>
      <c r="C453" t="inlineStr">
        <is>
          <t>Consumer / household</t>
        </is>
      </c>
      <c r="D453" t="inlineStr">
        <is>
          <t>Emirate page: Sharjah</t>
        </is>
      </c>
      <c r="E453" t="inlineStr">
        <is>
          <t>Secondary (long-tail)</t>
        </is>
      </c>
      <c r="F453" t="inlineStr">
        <is>
          <t>H3 / body paragraph / table row / image alt</t>
        </is>
      </c>
      <c r="G453" t="inlineStr">
        <is>
          <t>Sharjah area</t>
        </is>
      </c>
      <c r="H453" t="inlineStr">
        <is>
          <t>Wholesale</t>
        </is>
      </c>
      <c r="I453" t="inlineStr">
        <is>
          <t>Local/Transactional (B2B)</t>
        </is>
      </c>
      <c r="J453" t="inlineStr">
        <is>
          <t>BOFU</t>
        </is>
      </c>
      <c r="K453" t="inlineStr">
        <is>
          <t>Sharjah - Al Majaz</t>
        </is>
      </c>
      <c r="L453" t="inlineStr">
        <is>
          <t>Location landing</t>
        </is>
      </c>
      <c r="M453">
        <f>IFERROR(VLOOKUP($A453,'Semrush Import'!$A:$D,2,FALSE),"")</f>
        <v/>
      </c>
      <c r="N453">
        <f>IFERROR(VLOOKUP($A453,'Semrush Import'!$A:$D,3,FALSE),"")</f>
        <v/>
      </c>
      <c r="O453">
        <f>IFERROR(VLOOKUP($A453,'Semrush Import'!$A:$D,4,FALSE),"")</f>
        <v/>
      </c>
      <c r="P453">
        <f>IFERROR(VLOOKUP($A453,'KP Import'!$A:$B,2,FALSE),"")</f>
        <v/>
      </c>
      <c r="Q453">
        <f>IF(M453="","",ROUND(M453/(N453+10),1))</f>
        <v/>
      </c>
      <c r="R453">
        <f>IF(Q453="","",IF(Q453&gt;=20,"A - Go first",IF(Q453&gt;=5,"B - Next","C - Later")))</f>
        <v/>
      </c>
      <c r="S453" t="inlineStr">
        <is>
          <t>To do</t>
        </is>
      </c>
      <c r="T453" t="inlineStr"/>
    </row>
    <row r="454">
      <c r="A454" t="inlineStr">
        <is>
          <t>rice wholesale muwaileh sharjah</t>
        </is>
      </c>
      <c r="B454" t="inlineStr">
        <is>
          <t>Phase 2 - B2C (later)</t>
        </is>
      </c>
      <c r="C454" t="inlineStr">
        <is>
          <t>Consumer / household</t>
        </is>
      </c>
      <c r="D454" t="inlineStr">
        <is>
          <t>Emirate page: Sharjah</t>
        </is>
      </c>
      <c r="E454" t="inlineStr">
        <is>
          <t>Secondary (long-tail)</t>
        </is>
      </c>
      <c r="F454" t="inlineStr">
        <is>
          <t>H3 / body paragraph / table row / image alt</t>
        </is>
      </c>
      <c r="G454" t="inlineStr">
        <is>
          <t>Sharjah area</t>
        </is>
      </c>
      <c r="H454" t="inlineStr">
        <is>
          <t>Wholesale</t>
        </is>
      </c>
      <c r="I454" t="inlineStr">
        <is>
          <t>Local/Transactional (B2B)</t>
        </is>
      </c>
      <c r="J454" t="inlineStr">
        <is>
          <t>BOFU</t>
        </is>
      </c>
      <c r="K454" t="inlineStr">
        <is>
          <t>Sharjah - Muwaileh</t>
        </is>
      </c>
      <c r="L454" t="inlineStr">
        <is>
          <t>Location landing</t>
        </is>
      </c>
      <c r="M454">
        <f>IFERROR(VLOOKUP($A454,'Semrush Import'!$A:$D,2,FALSE),"")</f>
        <v/>
      </c>
      <c r="N454">
        <f>IFERROR(VLOOKUP($A454,'Semrush Import'!$A:$D,3,FALSE),"")</f>
        <v/>
      </c>
      <c r="O454">
        <f>IFERROR(VLOOKUP($A454,'Semrush Import'!$A:$D,4,FALSE),"")</f>
        <v/>
      </c>
      <c r="P454">
        <f>IFERROR(VLOOKUP($A454,'KP Import'!$A:$B,2,FALSE),"")</f>
        <v/>
      </c>
      <c r="Q454">
        <f>IF(M454="","",ROUND(M454/(N454+10),1))</f>
        <v/>
      </c>
      <c r="R454">
        <f>IF(Q454="","",IF(Q454&gt;=20,"A - Go first",IF(Q454&gt;=5,"B - Next","C - Later")))</f>
        <v/>
      </c>
      <c r="S454" t="inlineStr">
        <is>
          <t>To do</t>
        </is>
      </c>
      <c r="T454" t="inlineStr"/>
    </row>
    <row r="455">
      <c r="A455" t="inlineStr">
        <is>
          <t>how to cook basmati rice</t>
        </is>
      </c>
      <c r="B455" t="inlineStr">
        <is>
          <t>Phase 1 - B2B content</t>
        </is>
      </c>
      <c r="C455" t="inlineStr">
        <is>
          <t>Wholesalers / bulk buyers</t>
        </is>
      </c>
      <c r="D455" t="inlineStr">
        <is>
          <t>Blog: how to cook basmati rice</t>
        </is>
      </c>
      <c r="E455" t="inlineStr">
        <is>
          <t>Blog article primary keyword</t>
        </is>
      </c>
      <c r="F455" t="inlineStr">
        <is>
          <t>Blog title + H1 + URL slug + first paragraph</t>
        </is>
      </c>
      <c r="G455" t="inlineStr">
        <is>
          <t>Cooking guide</t>
        </is>
      </c>
      <c r="H455" t="inlineStr">
        <is>
          <t>Informational</t>
        </is>
      </c>
      <c r="I455" t="inlineStr">
        <is>
          <t>Informational</t>
        </is>
      </c>
      <c r="J455" t="inlineStr">
        <is>
          <t>TOFU</t>
        </is>
      </c>
      <c r="K455" t="inlineStr">
        <is>
          <t>UAE (generic)</t>
        </is>
      </c>
      <c r="L455" t="inlineStr">
        <is>
          <t>Blog</t>
        </is>
      </c>
      <c r="M455">
        <f>IFERROR(VLOOKUP($A455,'Semrush Import'!$A:$D,2,FALSE),"")</f>
        <v/>
      </c>
      <c r="N455">
        <f>IFERROR(VLOOKUP($A455,'Semrush Import'!$A:$D,3,FALSE),"")</f>
        <v/>
      </c>
      <c r="O455">
        <f>IFERROR(VLOOKUP($A455,'Semrush Import'!$A:$D,4,FALSE),"")</f>
        <v/>
      </c>
      <c r="P455">
        <f>IFERROR(VLOOKUP($A455,'KP Import'!$A:$B,2,FALSE),"")</f>
        <v/>
      </c>
      <c r="Q455">
        <f>IF(M455="","",ROUND(M455/(N455+10),1))</f>
        <v/>
      </c>
      <c r="R455">
        <f>IF(Q455="","",IF(Q455&gt;=20,"A - Go first",IF(Q455&gt;=5,"B - Next","C - Later")))</f>
        <v/>
      </c>
      <c r="S455" t="inlineStr">
        <is>
          <t>To do</t>
        </is>
      </c>
      <c r="T455" t="inlineStr"/>
    </row>
    <row r="456">
      <c r="A456" t="inlineStr">
        <is>
          <t>basmati rice vs jasmine rice</t>
        </is>
      </c>
      <c r="B456" t="inlineStr">
        <is>
          <t>Phase 1 - B2B content</t>
        </is>
      </c>
      <c r="C456" t="inlineStr">
        <is>
          <t>Wholesalers / bulk buyers</t>
        </is>
      </c>
      <c r="D456" t="inlineStr">
        <is>
          <t>Blog: basmati rice vs jasmine rice</t>
        </is>
      </c>
      <c r="E456" t="inlineStr">
        <is>
          <t>Blog article primary keyword</t>
        </is>
      </c>
      <c r="F456" t="inlineStr">
        <is>
          <t>Blog title + H1 + URL slug + first paragraph</t>
        </is>
      </c>
      <c r="G456" t="inlineStr">
        <is>
          <t>Comparison</t>
        </is>
      </c>
      <c r="H456" t="inlineStr">
        <is>
          <t>Informational</t>
        </is>
      </c>
      <c r="I456" t="inlineStr">
        <is>
          <t>Informational</t>
        </is>
      </c>
      <c r="J456" t="inlineStr">
        <is>
          <t>TOFU</t>
        </is>
      </c>
      <c r="K456" t="inlineStr">
        <is>
          <t>UAE (generic)</t>
        </is>
      </c>
      <c r="L456" t="inlineStr">
        <is>
          <t>Blog</t>
        </is>
      </c>
      <c r="M456">
        <f>IFERROR(VLOOKUP($A456,'Semrush Import'!$A:$D,2,FALSE),"")</f>
        <v/>
      </c>
      <c r="N456">
        <f>IFERROR(VLOOKUP($A456,'Semrush Import'!$A:$D,3,FALSE),"")</f>
        <v/>
      </c>
      <c r="O456">
        <f>IFERROR(VLOOKUP($A456,'Semrush Import'!$A:$D,4,FALSE),"")</f>
        <v/>
      </c>
      <c r="P456">
        <f>IFERROR(VLOOKUP($A456,'KP Import'!$A:$B,2,FALSE),"")</f>
        <v/>
      </c>
      <c r="Q456">
        <f>IF(M456="","",ROUND(M456/(N456+10),1))</f>
        <v/>
      </c>
      <c r="R456">
        <f>IF(Q456="","",IF(Q456&gt;=20,"A - Go first",IF(Q456&gt;=5,"B - Next","C - Later")))</f>
        <v/>
      </c>
      <c r="S456" t="inlineStr">
        <is>
          <t>To do</t>
        </is>
      </c>
      <c r="T456" t="inlineStr"/>
    </row>
    <row r="457">
      <c r="A457" t="inlineStr">
        <is>
          <t>1121 basmati vs sella basmati</t>
        </is>
      </c>
      <c r="B457" t="inlineStr">
        <is>
          <t>Phase 1 - B2B content</t>
        </is>
      </c>
      <c r="C457" t="inlineStr">
        <is>
          <t>Wholesalers / bulk buyers</t>
        </is>
      </c>
      <c r="D457" t="inlineStr">
        <is>
          <t>Blog: 1121 basmati vs sella basmati</t>
        </is>
      </c>
      <c r="E457" t="inlineStr">
        <is>
          <t>Blog article primary keyword</t>
        </is>
      </c>
      <c r="F457" t="inlineStr">
        <is>
          <t>Blog title + H1 + URL slug + first paragraph</t>
        </is>
      </c>
      <c r="G457" t="inlineStr">
        <is>
          <t>Comparison</t>
        </is>
      </c>
      <c r="H457" t="inlineStr">
        <is>
          <t>Informational</t>
        </is>
      </c>
      <c r="I457" t="inlineStr">
        <is>
          <t>Informational</t>
        </is>
      </c>
      <c r="J457" t="inlineStr">
        <is>
          <t>TOFU</t>
        </is>
      </c>
      <c r="K457" t="inlineStr">
        <is>
          <t>UAE (generic)</t>
        </is>
      </c>
      <c r="L457" t="inlineStr">
        <is>
          <t>Blog</t>
        </is>
      </c>
      <c r="M457">
        <f>IFERROR(VLOOKUP($A457,'Semrush Import'!$A:$D,2,FALSE),"")</f>
        <v/>
      </c>
      <c r="N457">
        <f>IFERROR(VLOOKUP($A457,'Semrush Import'!$A:$D,3,FALSE),"")</f>
        <v/>
      </c>
      <c r="O457">
        <f>IFERROR(VLOOKUP($A457,'Semrush Import'!$A:$D,4,FALSE),"")</f>
        <v/>
      </c>
      <c r="P457">
        <f>IFERROR(VLOOKUP($A457,'KP Import'!$A:$B,2,FALSE),"")</f>
        <v/>
      </c>
      <c r="Q457">
        <f>IF(M457="","",ROUND(M457/(N457+10),1))</f>
        <v/>
      </c>
      <c r="R457">
        <f>IF(Q457="","",IF(Q457&gt;=20,"A - Go first",IF(Q457&gt;=5,"B - Next","C - Later")))</f>
        <v/>
      </c>
      <c r="S457" t="inlineStr">
        <is>
          <t>To do</t>
        </is>
      </c>
      <c r="T457" t="inlineStr"/>
    </row>
    <row r="458">
      <c r="A458" t="inlineStr">
        <is>
          <t>difference between sella and steam basmati</t>
        </is>
      </c>
      <c r="B458" t="inlineStr">
        <is>
          <t>Phase 1 - B2B content</t>
        </is>
      </c>
      <c r="C458" t="inlineStr">
        <is>
          <t>Wholesalers / bulk buyers</t>
        </is>
      </c>
      <c r="D458" t="inlineStr">
        <is>
          <t>Blog: difference between sella and steam basmati</t>
        </is>
      </c>
      <c r="E458" t="inlineStr">
        <is>
          <t>Blog article primary keyword</t>
        </is>
      </c>
      <c r="F458" t="inlineStr">
        <is>
          <t>Blog title + H1 + URL slug + first paragraph</t>
        </is>
      </c>
      <c r="G458" t="inlineStr">
        <is>
          <t>Comparison</t>
        </is>
      </c>
      <c r="H458" t="inlineStr">
        <is>
          <t>Informational</t>
        </is>
      </c>
      <c r="I458" t="inlineStr">
        <is>
          <t>Informational</t>
        </is>
      </c>
      <c r="J458" t="inlineStr">
        <is>
          <t>TOFU</t>
        </is>
      </c>
      <c r="K458" t="inlineStr">
        <is>
          <t>UAE (generic)</t>
        </is>
      </c>
      <c r="L458" t="inlineStr">
        <is>
          <t>Blog</t>
        </is>
      </c>
      <c r="M458">
        <f>IFERROR(VLOOKUP($A458,'Semrush Import'!$A:$D,2,FALSE),"")</f>
        <v/>
      </c>
      <c r="N458">
        <f>IFERROR(VLOOKUP($A458,'Semrush Import'!$A:$D,3,FALSE),"")</f>
        <v/>
      </c>
      <c r="O458">
        <f>IFERROR(VLOOKUP($A458,'Semrush Import'!$A:$D,4,FALSE),"")</f>
        <v/>
      </c>
      <c r="P458">
        <f>IFERROR(VLOOKUP($A458,'KP Import'!$A:$B,2,FALSE),"")</f>
        <v/>
      </c>
      <c r="Q458">
        <f>IF(M458="","",ROUND(M458/(N458+10),1))</f>
        <v/>
      </c>
      <c r="R458">
        <f>IF(Q458="","",IF(Q458&gt;=20,"A - Go first",IF(Q458&gt;=5,"B - Next","C - Later")))</f>
        <v/>
      </c>
      <c r="S458" t="inlineStr">
        <is>
          <t>To do</t>
        </is>
      </c>
      <c r="T458" t="inlineStr"/>
    </row>
    <row r="459">
      <c r="A459" t="inlineStr">
        <is>
          <t>how to identify real basmati rice</t>
        </is>
      </c>
      <c r="B459" t="inlineStr">
        <is>
          <t>Phase 1 - B2B content</t>
        </is>
      </c>
      <c r="C459" t="inlineStr">
        <is>
          <t>Wholesalers / bulk buyers</t>
        </is>
      </c>
      <c r="D459" t="inlineStr">
        <is>
          <t>Blog: how to identify real basmati rice</t>
        </is>
      </c>
      <c r="E459" t="inlineStr">
        <is>
          <t>Blog article primary keyword</t>
        </is>
      </c>
      <c r="F459" t="inlineStr">
        <is>
          <t>Blog title + H1 + URL slug + first paragraph</t>
        </is>
      </c>
      <c r="G459" t="inlineStr">
        <is>
          <t>Buying guide</t>
        </is>
      </c>
      <c r="H459" t="inlineStr">
        <is>
          <t>Informational</t>
        </is>
      </c>
      <c r="I459" t="inlineStr">
        <is>
          <t>Informational</t>
        </is>
      </c>
      <c r="J459" t="inlineStr">
        <is>
          <t>TOFU</t>
        </is>
      </c>
      <c r="K459" t="inlineStr">
        <is>
          <t>UAE (generic)</t>
        </is>
      </c>
      <c r="L459" t="inlineStr">
        <is>
          <t>Blog</t>
        </is>
      </c>
      <c r="M459">
        <f>IFERROR(VLOOKUP($A459,'Semrush Import'!$A:$D,2,FALSE),"")</f>
        <v/>
      </c>
      <c r="N459">
        <f>IFERROR(VLOOKUP($A459,'Semrush Import'!$A:$D,3,FALSE),"")</f>
        <v/>
      </c>
      <c r="O459">
        <f>IFERROR(VLOOKUP($A459,'Semrush Import'!$A:$D,4,FALSE),"")</f>
        <v/>
      </c>
      <c r="P459">
        <f>IFERROR(VLOOKUP($A459,'KP Import'!$A:$B,2,FALSE),"")</f>
        <v/>
      </c>
      <c r="Q459">
        <f>IF(M459="","",ROUND(M459/(N459+10),1))</f>
        <v/>
      </c>
      <c r="R459">
        <f>IF(Q459="","",IF(Q459&gt;=20,"A - Go first",IF(Q459&gt;=5,"B - Next","C - Later")))</f>
        <v/>
      </c>
      <c r="S459" t="inlineStr">
        <is>
          <t>To do</t>
        </is>
      </c>
      <c r="T459" t="inlineStr"/>
    </row>
    <row r="460">
      <c r="A460" t="inlineStr">
        <is>
          <t>how to choose basmati rice</t>
        </is>
      </c>
      <c r="B460" t="inlineStr">
        <is>
          <t>Phase 1 - B2B content</t>
        </is>
      </c>
      <c r="C460" t="inlineStr">
        <is>
          <t>Wholesalers / bulk buyers</t>
        </is>
      </c>
      <c r="D460" t="inlineStr">
        <is>
          <t>Blog: how to choose basmati rice</t>
        </is>
      </c>
      <c r="E460" t="inlineStr">
        <is>
          <t>Blog article primary keyword</t>
        </is>
      </c>
      <c r="F460" t="inlineStr">
        <is>
          <t>Blog title + H1 + URL slug + first paragraph</t>
        </is>
      </c>
      <c r="G460" t="inlineStr">
        <is>
          <t>Buying guide</t>
        </is>
      </c>
      <c r="H460" t="inlineStr">
        <is>
          <t>Informational</t>
        </is>
      </c>
      <c r="I460" t="inlineStr">
        <is>
          <t>Informational</t>
        </is>
      </c>
      <c r="J460" t="inlineStr">
        <is>
          <t>TOFU</t>
        </is>
      </c>
      <c r="K460" t="inlineStr">
        <is>
          <t>UAE (generic)</t>
        </is>
      </c>
      <c r="L460" t="inlineStr">
        <is>
          <t>Blog</t>
        </is>
      </c>
      <c r="M460">
        <f>IFERROR(VLOOKUP($A460,'Semrush Import'!$A:$D,2,FALSE),"")</f>
        <v/>
      </c>
      <c r="N460">
        <f>IFERROR(VLOOKUP($A460,'Semrush Import'!$A:$D,3,FALSE),"")</f>
        <v/>
      </c>
      <c r="O460">
        <f>IFERROR(VLOOKUP($A460,'Semrush Import'!$A:$D,4,FALSE),"")</f>
        <v/>
      </c>
      <c r="P460">
        <f>IFERROR(VLOOKUP($A460,'KP Import'!$A:$B,2,FALSE),"")</f>
        <v/>
      </c>
      <c r="Q460">
        <f>IF(M460="","",ROUND(M460/(N460+10),1))</f>
        <v/>
      </c>
      <c r="R460">
        <f>IF(Q460="","",IF(Q460&gt;=20,"A - Go first",IF(Q460&gt;=5,"B - Next","C - Later")))</f>
        <v/>
      </c>
      <c r="S460" t="inlineStr">
        <is>
          <t>To do</t>
        </is>
      </c>
      <c r="T460" t="inlineStr"/>
    </row>
    <row r="461">
      <c r="A461" t="inlineStr">
        <is>
          <t>how to store rice long term</t>
        </is>
      </c>
      <c r="B461" t="inlineStr">
        <is>
          <t>Phase 1 - B2B content</t>
        </is>
      </c>
      <c r="C461" t="inlineStr">
        <is>
          <t>Wholesalers / bulk buyers</t>
        </is>
      </c>
      <c r="D461" t="inlineStr">
        <is>
          <t>Blog: how to store rice long term</t>
        </is>
      </c>
      <c r="E461" t="inlineStr">
        <is>
          <t>Blog article primary keyword</t>
        </is>
      </c>
      <c r="F461" t="inlineStr">
        <is>
          <t>Blog title + H1 + URL slug + first paragraph</t>
        </is>
      </c>
      <c r="G461" t="inlineStr">
        <is>
          <t>Storage</t>
        </is>
      </c>
      <c r="H461" t="inlineStr">
        <is>
          <t>Informational</t>
        </is>
      </c>
      <c r="I461" t="inlineStr">
        <is>
          <t>Informational</t>
        </is>
      </c>
      <c r="J461" t="inlineStr">
        <is>
          <t>TOFU</t>
        </is>
      </c>
      <c r="K461" t="inlineStr">
        <is>
          <t>UAE (generic)</t>
        </is>
      </c>
      <c r="L461" t="inlineStr">
        <is>
          <t>Blog</t>
        </is>
      </c>
      <c r="M461">
        <f>IFERROR(VLOOKUP($A461,'Semrush Import'!$A:$D,2,FALSE),"")</f>
        <v/>
      </c>
      <c r="N461">
        <f>IFERROR(VLOOKUP($A461,'Semrush Import'!$A:$D,3,FALSE),"")</f>
        <v/>
      </c>
      <c r="O461">
        <f>IFERROR(VLOOKUP($A461,'Semrush Import'!$A:$D,4,FALSE),"")</f>
        <v/>
      </c>
      <c r="P461">
        <f>IFERROR(VLOOKUP($A461,'KP Import'!$A:$B,2,FALSE),"")</f>
        <v/>
      </c>
      <c r="Q461">
        <f>IF(M461="","",ROUND(M461/(N461+10),1))</f>
        <v/>
      </c>
      <c r="R461">
        <f>IF(Q461="","",IF(Q461&gt;=20,"A - Go first",IF(Q461&gt;=5,"B - Next","C - Later")))</f>
        <v/>
      </c>
      <c r="S461" t="inlineStr">
        <is>
          <t>To do</t>
        </is>
      </c>
      <c r="T461" t="inlineStr"/>
    </row>
    <row r="462">
      <c r="A462" t="inlineStr">
        <is>
          <t>how long does basmati rice last</t>
        </is>
      </c>
      <c r="B462" t="inlineStr">
        <is>
          <t>Phase 1 - B2B content</t>
        </is>
      </c>
      <c r="C462" t="inlineStr">
        <is>
          <t>Wholesalers / bulk buyers</t>
        </is>
      </c>
      <c r="D462" t="inlineStr">
        <is>
          <t>Blog: how long does basmati rice last</t>
        </is>
      </c>
      <c r="E462" t="inlineStr">
        <is>
          <t>Blog article primary keyword</t>
        </is>
      </c>
      <c r="F462" t="inlineStr">
        <is>
          <t>Blog title + H1 + URL slug + first paragraph</t>
        </is>
      </c>
      <c r="G462" t="inlineStr">
        <is>
          <t>Storage</t>
        </is>
      </c>
      <c r="H462" t="inlineStr">
        <is>
          <t>Informational</t>
        </is>
      </c>
      <c r="I462" t="inlineStr">
        <is>
          <t>Informational</t>
        </is>
      </c>
      <c r="J462" t="inlineStr">
        <is>
          <t>TOFU</t>
        </is>
      </c>
      <c r="K462" t="inlineStr">
        <is>
          <t>UAE (generic)</t>
        </is>
      </c>
      <c r="L462" t="inlineStr">
        <is>
          <t>Blog</t>
        </is>
      </c>
      <c r="M462">
        <f>IFERROR(VLOOKUP($A462,'Semrush Import'!$A:$D,2,FALSE),"")</f>
        <v/>
      </c>
      <c r="N462">
        <f>IFERROR(VLOOKUP($A462,'Semrush Import'!$A:$D,3,FALSE),"")</f>
        <v/>
      </c>
      <c r="O462">
        <f>IFERROR(VLOOKUP($A462,'Semrush Import'!$A:$D,4,FALSE),"")</f>
        <v/>
      </c>
      <c r="P462">
        <f>IFERROR(VLOOKUP($A462,'KP Import'!$A:$B,2,FALSE),"")</f>
        <v/>
      </c>
      <c r="Q462">
        <f>IF(M462="","",ROUND(M462/(N462+10),1))</f>
        <v/>
      </c>
      <c r="R462">
        <f>IF(Q462="","",IF(Q462&gt;=20,"A - Go first",IF(Q462&gt;=5,"B - Next","C - Later")))</f>
        <v/>
      </c>
      <c r="S462" t="inlineStr">
        <is>
          <t>To do</t>
        </is>
      </c>
      <c r="T462" t="inlineStr"/>
    </row>
    <row r="463">
      <c r="A463" t="inlineStr">
        <is>
          <t>rice to water ratio for biryani</t>
        </is>
      </c>
      <c r="B463" t="inlineStr">
        <is>
          <t>Phase 1 - B2B content</t>
        </is>
      </c>
      <c r="C463" t="inlineStr">
        <is>
          <t>Wholesalers / bulk buyers</t>
        </is>
      </c>
      <c r="D463" t="inlineStr">
        <is>
          <t>Blog: rice to water ratio for biryani</t>
        </is>
      </c>
      <c r="E463" t="inlineStr">
        <is>
          <t>Blog article primary keyword</t>
        </is>
      </c>
      <c r="F463" t="inlineStr">
        <is>
          <t>Blog title + H1 + URL slug + first paragraph</t>
        </is>
      </c>
      <c r="G463" t="inlineStr">
        <is>
          <t>Cooking guide</t>
        </is>
      </c>
      <c r="H463" t="inlineStr">
        <is>
          <t>Informational</t>
        </is>
      </c>
      <c r="I463" t="inlineStr">
        <is>
          <t>Informational</t>
        </is>
      </c>
      <c r="J463" t="inlineStr">
        <is>
          <t>TOFU</t>
        </is>
      </c>
      <c r="K463" t="inlineStr">
        <is>
          <t>UAE (generic)</t>
        </is>
      </c>
      <c r="L463" t="inlineStr">
        <is>
          <t>Blog</t>
        </is>
      </c>
      <c r="M463">
        <f>IFERROR(VLOOKUP($A463,'Semrush Import'!$A:$D,2,FALSE),"")</f>
        <v/>
      </c>
      <c r="N463">
        <f>IFERROR(VLOOKUP($A463,'Semrush Import'!$A:$D,3,FALSE),"")</f>
        <v/>
      </c>
      <c r="O463">
        <f>IFERROR(VLOOKUP($A463,'Semrush Import'!$A:$D,4,FALSE),"")</f>
        <v/>
      </c>
      <c r="P463">
        <f>IFERROR(VLOOKUP($A463,'KP Import'!$A:$B,2,FALSE),"")</f>
        <v/>
      </c>
      <c r="Q463">
        <f>IF(M463="","",ROUND(M463/(N463+10),1))</f>
        <v/>
      </c>
      <c r="R463">
        <f>IF(Q463="","",IF(Q463&gt;=20,"A - Go first",IF(Q463&gt;=5,"B - Next","C - Later")))</f>
        <v/>
      </c>
      <c r="S463" t="inlineStr">
        <is>
          <t>To do</t>
        </is>
      </c>
      <c r="T463" t="inlineStr"/>
    </row>
    <row r="464">
      <c r="A464" t="inlineStr">
        <is>
          <t>how to cook rice for kabsa</t>
        </is>
      </c>
      <c r="B464" t="inlineStr">
        <is>
          <t>Phase 1 - B2B content</t>
        </is>
      </c>
      <c r="C464" t="inlineStr">
        <is>
          <t>Wholesalers / bulk buyers</t>
        </is>
      </c>
      <c r="D464" t="inlineStr">
        <is>
          <t>Blog: how to cook rice for kabsa</t>
        </is>
      </c>
      <c r="E464" t="inlineStr">
        <is>
          <t>Blog article primary keyword</t>
        </is>
      </c>
      <c r="F464" t="inlineStr">
        <is>
          <t>Blog title + H1 + URL slug + first paragraph</t>
        </is>
      </c>
      <c r="G464" t="inlineStr">
        <is>
          <t>Cooking guide</t>
        </is>
      </c>
      <c r="H464" t="inlineStr">
        <is>
          <t>Informational</t>
        </is>
      </c>
      <c r="I464" t="inlineStr">
        <is>
          <t>Informational</t>
        </is>
      </c>
      <c r="J464" t="inlineStr">
        <is>
          <t>TOFU</t>
        </is>
      </c>
      <c r="K464" t="inlineStr">
        <is>
          <t>UAE (generic)</t>
        </is>
      </c>
      <c r="L464" t="inlineStr">
        <is>
          <t>Blog</t>
        </is>
      </c>
      <c r="M464">
        <f>IFERROR(VLOOKUP($A464,'Semrush Import'!$A:$D,2,FALSE),"")</f>
        <v/>
      </c>
      <c r="N464">
        <f>IFERROR(VLOOKUP($A464,'Semrush Import'!$A:$D,3,FALSE),"")</f>
        <v/>
      </c>
      <c r="O464">
        <f>IFERROR(VLOOKUP($A464,'Semrush Import'!$A:$D,4,FALSE),"")</f>
        <v/>
      </c>
      <c r="P464">
        <f>IFERROR(VLOOKUP($A464,'KP Import'!$A:$B,2,FALSE),"")</f>
        <v/>
      </c>
      <c r="Q464">
        <f>IF(M464="","",ROUND(M464/(N464+10),1))</f>
        <v/>
      </c>
      <c r="R464">
        <f>IF(Q464="","",IF(Q464&gt;=20,"A - Go first",IF(Q464&gt;=5,"B - Next","C - Later")))</f>
        <v/>
      </c>
      <c r="S464" t="inlineStr">
        <is>
          <t>To do</t>
        </is>
      </c>
      <c r="T464" t="inlineStr"/>
    </row>
    <row r="465">
      <c r="A465" t="inlineStr">
        <is>
          <t>how to make chicken mandi rice</t>
        </is>
      </c>
      <c r="B465" t="inlineStr">
        <is>
          <t>Phase 1 - B2B content</t>
        </is>
      </c>
      <c r="C465" t="inlineStr">
        <is>
          <t>Wholesalers / bulk buyers</t>
        </is>
      </c>
      <c r="D465" t="inlineStr">
        <is>
          <t>Blog: how to make chicken mandi rice</t>
        </is>
      </c>
      <c r="E465" t="inlineStr">
        <is>
          <t>Blog article primary keyword</t>
        </is>
      </c>
      <c r="F465" t="inlineStr">
        <is>
          <t>Blog title + H1 + URL slug + first paragraph</t>
        </is>
      </c>
      <c r="G465" t="inlineStr">
        <is>
          <t>Recipe</t>
        </is>
      </c>
      <c r="H465" t="inlineStr">
        <is>
          <t>Informational</t>
        </is>
      </c>
      <c r="I465" t="inlineStr">
        <is>
          <t>Informational</t>
        </is>
      </c>
      <c r="J465" t="inlineStr">
        <is>
          <t>TOFU</t>
        </is>
      </c>
      <c r="K465" t="inlineStr">
        <is>
          <t>UAE (generic)</t>
        </is>
      </c>
      <c r="L465" t="inlineStr">
        <is>
          <t>Blog</t>
        </is>
      </c>
      <c r="M465">
        <f>IFERROR(VLOOKUP($A465,'Semrush Import'!$A:$D,2,FALSE),"")</f>
        <v/>
      </c>
      <c r="N465">
        <f>IFERROR(VLOOKUP($A465,'Semrush Import'!$A:$D,3,FALSE),"")</f>
        <v/>
      </c>
      <c r="O465">
        <f>IFERROR(VLOOKUP($A465,'Semrush Import'!$A:$D,4,FALSE),"")</f>
        <v/>
      </c>
      <c r="P465">
        <f>IFERROR(VLOOKUP($A465,'KP Import'!$A:$B,2,FALSE),"")</f>
        <v/>
      </c>
      <c r="Q465">
        <f>IF(M465="","",ROUND(M465/(N465+10),1))</f>
        <v/>
      </c>
      <c r="R465">
        <f>IF(Q465="","",IF(Q465&gt;=20,"A - Go first",IF(Q465&gt;=5,"B - Next","C - Later")))</f>
        <v/>
      </c>
      <c r="S465" t="inlineStr">
        <is>
          <t>To do</t>
        </is>
      </c>
      <c r="T465" t="inlineStr"/>
    </row>
    <row r="466">
      <c r="A466" t="inlineStr">
        <is>
          <t>how to make dubai style biryani</t>
        </is>
      </c>
      <c r="B466" t="inlineStr">
        <is>
          <t>Phase 1 - B2B content</t>
        </is>
      </c>
      <c r="C466" t="inlineStr">
        <is>
          <t>Wholesalers / bulk buyers</t>
        </is>
      </c>
      <c r="D466" t="inlineStr">
        <is>
          <t>Blog: how to make dubai style biryani</t>
        </is>
      </c>
      <c r="E466" t="inlineStr">
        <is>
          <t>Blog article primary keyword</t>
        </is>
      </c>
      <c r="F466" t="inlineStr">
        <is>
          <t>Blog title + H1 + URL slug + first paragraph</t>
        </is>
      </c>
      <c r="G466" t="inlineStr">
        <is>
          <t>Recipe</t>
        </is>
      </c>
      <c r="H466" t="inlineStr">
        <is>
          <t>Informational</t>
        </is>
      </c>
      <c r="I466" t="inlineStr">
        <is>
          <t>Informational</t>
        </is>
      </c>
      <c r="J466" t="inlineStr">
        <is>
          <t>TOFU</t>
        </is>
      </c>
      <c r="K466" t="inlineStr">
        <is>
          <t>UAE (generic)</t>
        </is>
      </c>
      <c r="L466" t="inlineStr">
        <is>
          <t>Blog</t>
        </is>
      </c>
      <c r="M466">
        <f>IFERROR(VLOOKUP($A466,'Semrush Import'!$A:$D,2,FALSE),"")</f>
        <v/>
      </c>
      <c r="N466">
        <f>IFERROR(VLOOKUP($A466,'Semrush Import'!$A:$D,3,FALSE),"")</f>
        <v/>
      </c>
      <c r="O466">
        <f>IFERROR(VLOOKUP($A466,'Semrush Import'!$A:$D,4,FALSE),"")</f>
        <v/>
      </c>
      <c r="P466">
        <f>IFERROR(VLOOKUP($A466,'KP Import'!$A:$B,2,FALSE),"")</f>
        <v/>
      </c>
      <c r="Q466">
        <f>IF(M466="","",ROUND(M466/(N466+10),1))</f>
        <v/>
      </c>
      <c r="R466">
        <f>IF(Q466="","",IF(Q466&gt;=20,"A - Go first",IF(Q466&gt;=5,"B - Next","C - Later")))</f>
        <v/>
      </c>
      <c r="S466" t="inlineStr">
        <is>
          <t>To do</t>
        </is>
      </c>
      <c r="T466" t="inlineStr"/>
    </row>
    <row r="467">
      <c r="A467" t="inlineStr">
        <is>
          <t>best rice for biryani</t>
        </is>
      </c>
      <c r="B467" t="inlineStr">
        <is>
          <t>Phase 1 - B2B content</t>
        </is>
      </c>
      <c r="C467" t="inlineStr">
        <is>
          <t>Wholesalers / bulk buyers</t>
        </is>
      </c>
      <c r="D467" t="inlineStr">
        <is>
          <t>Blog: best rice for biryani</t>
        </is>
      </c>
      <c r="E467" t="inlineStr">
        <is>
          <t>Blog article primary keyword</t>
        </is>
      </c>
      <c r="F467" t="inlineStr">
        <is>
          <t>Blog title + H1 + URL slug + first paragraph</t>
        </is>
      </c>
      <c r="G467" t="inlineStr">
        <is>
          <t>Buying guide</t>
        </is>
      </c>
      <c r="H467" t="inlineStr">
        <is>
          <t>Informational</t>
        </is>
      </c>
      <c r="I467" t="inlineStr">
        <is>
          <t>Informational</t>
        </is>
      </c>
      <c r="J467" t="inlineStr">
        <is>
          <t>TOFU</t>
        </is>
      </c>
      <c r="K467" t="inlineStr">
        <is>
          <t>UAE (generic)</t>
        </is>
      </c>
      <c r="L467" t="inlineStr">
        <is>
          <t>Blog</t>
        </is>
      </c>
      <c r="M467">
        <f>IFERROR(VLOOKUP($A467,'Semrush Import'!$A:$D,2,FALSE),"")</f>
        <v/>
      </c>
      <c r="N467">
        <f>IFERROR(VLOOKUP($A467,'Semrush Import'!$A:$D,3,FALSE),"")</f>
        <v/>
      </c>
      <c r="O467">
        <f>IFERROR(VLOOKUP($A467,'Semrush Import'!$A:$D,4,FALSE),"")</f>
        <v/>
      </c>
      <c r="P467">
        <f>IFERROR(VLOOKUP($A467,'KP Import'!$A:$B,2,FALSE),"")</f>
        <v/>
      </c>
      <c r="Q467">
        <f>IF(M467="","",ROUND(M467/(N467+10),1))</f>
        <v/>
      </c>
      <c r="R467">
        <f>IF(Q467="","",IF(Q467&gt;=20,"A - Go first",IF(Q467&gt;=5,"B - Next","C - Later")))</f>
        <v/>
      </c>
      <c r="S467" t="inlineStr">
        <is>
          <t>To do</t>
        </is>
      </c>
      <c r="T467" t="inlineStr"/>
    </row>
    <row r="468">
      <c r="A468" t="inlineStr">
        <is>
          <t>best rice for pulao</t>
        </is>
      </c>
      <c r="B468" t="inlineStr">
        <is>
          <t>Phase 1 - B2B content</t>
        </is>
      </c>
      <c r="C468" t="inlineStr">
        <is>
          <t>Wholesalers / bulk buyers</t>
        </is>
      </c>
      <c r="D468" t="inlineStr">
        <is>
          <t>Blog: best rice for pulao</t>
        </is>
      </c>
      <c r="E468" t="inlineStr">
        <is>
          <t>Blog article primary keyword</t>
        </is>
      </c>
      <c r="F468" t="inlineStr">
        <is>
          <t>Blog title + H1 + URL slug + first paragraph</t>
        </is>
      </c>
      <c r="G468" t="inlineStr">
        <is>
          <t>Buying guide</t>
        </is>
      </c>
      <c r="H468" t="inlineStr">
        <is>
          <t>Informational</t>
        </is>
      </c>
      <c r="I468" t="inlineStr">
        <is>
          <t>Informational</t>
        </is>
      </c>
      <c r="J468" t="inlineStr">
        <is>
          <t>TOFU</t>
        </is>
      </c>
      <c r="K468" t="inlineStr">
        <is>
          <t>UAE (generic)</t>
        </is>
      </c>
      <c r="L468" t="inlineStr">
        <is>
          <t>Blog</t>
        </is>
      </c>
      <c r="M468">
        <f>IFERROR(VLOOKUP($A468,'Semrush Import'!$A:$D,2,FALSE),"")</f>
        <v/>
      </c>
      <c r="N468">
        <f>IFERROR(VLOOKUP($A468,'Semrush Import'!$A:$D,3,FALSE),"")</f>
        <v/>
      </c>
      <c r="O468">
        <f>IFERROR(VLOOKUP($A468,'Semrush Import'!$A:$D,4,FALSE),"")</f>
        <v/>
      </c>
      <c r="P468">
        <f>IFERROR(VLOOKUP($A468,'KP Import'!$A:$B,2,FALSE),"")</f>
        <v/>
      </c>
      <c r="Q468">
        <f>IF(M468="","",ROUND(M468/(N468+10),1))</f>
        <v/>
      </c>
      <c r="R468">
        <f>IF(Q468="","",IF(Q468&gt;=20,"A - Go first",IF(Q468&gt;=5,"B - Next","C - Later")))</f>
        <v/>
      </c>
      <c r="S468" t="inlineStr">
        <is>
          <t>To do</t>
        </is>
      </c>
      <c r="T468" t="inlineStr"/>
    </row>
    <row r="469">
      <c r="A469" t="inlineStr">
        <is>
          <t>best rice for fried rice</t>
        </is>
      </c>
      <c r="B469" t="inlineStr">
        <is>
          <t>Phase 1 - B2B content</t>
        </is>
      </c>
      <c r="C469" t="inlineStr">
        <is>
          <t>Wholesalers / bulk buyers</t>
        </is>
      </c>
      <c r="D469" t="inlineStr">
        <is>
          <t>Blog: best rice for fried rice</t>
        </is>
      </c>
      <c r="E469" t="inlineStr">
        <is>
          <t>Blog article primary keyword</t>
        </is>
      </c>
      <c r="F469" t="inlineStr">
        <is>
          <t>Blog title + H1 + URL slug + first paragraph</t>
        </is>
      </c>
      <c r="G469" t="inlineStr">
        <is>
          <t>Buying guide</t>
        </is>
      </c>
      <c r="H469" t="inlineStr">
        <is>
          <t>Informational</t>
        </is>
      </c>
      <c r="I469" t="inlineStr">
        <is>
          <t>Informational</t>
        </is>
      </c>
      <c r="J469" t="inlineStr">
        <is>
          <t>TOFU</t>
        </is>
      </c>
      <c r="K469" t="inlineStr">
        <is>
          <t>UAE (generic)</t>
        </is>
      </c>
      <c r="L469" t="inlineStr">
        <is>
          <t>Blog</t>
        </is>
      </c>
      <c r="M469">
        <f>IFERROR(VLOOKUP($A469,'Semrush Import'!$A:$D,2,FALSE),"")</f>
        <v/>
      </c>
      <c r="N469">
        <f>IFERROR(VLOOKUP($A469,'Semrush Import'!$A:$D,3,FALSE),"")</f>
        <v/>
      </c>
      <c r="O469">
        <f>IFERROR(VLOOKUP($A469,'Semrush Import'!$A:$D,4,FALSE),"")</f>
        <v/>
      </c>
      <c r="P469">
        <f>IFERROR(VLOOKUP($A469,'KP Import'!$A:$B,2,FALSE),"")</f>
        <v/>
      </c>
      <c r="Q469">
        <f>IF(M469="","",ROUND(M469/(N469+10),1))</f>
        <v/>
      </c>
      <c r="R469">
        <f>IF(Q469="","",IF(Q469&gt;=20,"A - Go first",IF(Q469&gt;=5,"B - Next","C - Later")))</f>
        <v/>
      </c>
      <c r="S469" t="inlineStr">
        <is>
          <t>To do</t>
        </is>
      </c>
      <c r="T469" t="inlineStr"/>
    </row>
    <row r="470">
      <c r="A470" t="inlineStr">
        <is>
          <t>is basmati rice healthy</t>
        </is>
      </c>
      <c r="B470" t="inlineStr">
        <is>
          <t>Phase 1 - B2B content</t>
        </is>
      </c>
      <c r="C470" t="inlineStr">
        <is>
          <t>Wholesalers / bulk buyers</t>
        </is>
      </c>
      <c r="D470" t="inlineStr">
        <is>
          <t>Blog: is basmati rice healthy</t>
        </is>
      </c>
      <c r="E470" t="inlineStr">
        <is>
          <t>Blog article primary keyword</t>
        </is>
      </c>
      <c r="F470" t="inlineStr">
        <is>
          <t>Blog title + H1 + URL slug + first paragraph</t>
        </is>
      </c>
      <c r="G470" t="inlineStr">
        <is>
          <t>Health</t>
        </is>
      </c>
      <c r="H470" t="inlineStr">
        <is>
          <t>Informational</t>
        </is>
      </c>
      <c r="I470" t="inlineStr">
        <is>
          <t>Informational</t>
        </is>
      </c>
      <c r="J470" t="inlineStr">
        <is>
          <t>TOFU</t>
        </is>
      </c>
      <c r="K470" t="inlineStr">
        <is>
          <t>UAE (generic)</t>
        </is>
      </c>
      <c r="L470" t="inlineStr">
        <is>
          <t>Blog</t>
        </is>
      </c>
      <c r="M470">
        <f>IFERROR(VLOOKUP($A470,'Semrush Import'!$A:$D,2,FALSE),"")</f>
        <v/>
      </c>
      <c r="N470">
        <f>IFERROR(VLOOKUP($A470,'Semrush Import'!$A:$D,3,FALSE),"")</f>
        <v/>
      </c>
      <c r="O470">
        <f>IFERROR(VLOOKUP($A470,'Semrush Import'!$A:$D,4,FALSE),"")</f>
        <v/>
      </c>
      <c r="P470">
        <f>IFERROR(VLOOKUP($A470,'KP Import'!$A:$B,2,FALSE),"")</f>
        <v/>
      </c>
      <c r="Q470">
        <f>IF(M470="","",ROUND(M470/(N470+10),1))</f>
        <v/>
      </c>
      <c r="R470">
        <f>IF(Q470="","",IF(Q470&gt;=20,"A - Go first",IF(Q470&gt;=5,"B - Next","C - Later")))</f>
        <v/>
      </c>
      <c r="S470" t="inlineStr">
        <is>
          <t>To do</t>
        </is>
      </c>
      <c r="T470" t="inlineStr"/>
    </row>
    <row r="471">
      <c r="A471" t="inlineStr">
        <is>
          <t>brown rice vs white rice</t>
        </is>
      </c>
      <c r="B471" t="inlineStr">
        <is>
          <t>Phase 1 - B2B content</t>
        </is>
      </c>
      <c r="C471" t="inlineStr">
        <is>
          <t>Wholesalers / bulk buyers</t>
        </is>
      </c>
      <c r="D471" t="inlineStr">
        <is>
          <t>Blog: brown rice vs white rice</t>
        </is>
      </c>
      <c r="E471" t="inlineStr">
        <is>
          <t>Blog article primary keyword</t>
        </is>
      </c>
      <c r="F471" t="inlineStr">
        <is>
          <t>Blog title + H1 + URL slug + first paragraph</t>
        </is>
      </c>
      <c r="G471" t="inlineStr">
        <is>
          <t>Health</t>
        </is>
      </c>
      <c r="H471" t="inlineStr">
        <is>
          <t>Informational</t>
        </is>
      </c>
      <c r="I471" t="inlineStr">
        <is>
          <t>Informational</t>
        </is>
      </c>
      <c r="J471" t="inlineStr">
        <is>
          <t>TOFU</t>
        </is>
      </c>
      <c r="K471" t="inlineStr">
        <is>
          <t>UAE (generic)</t>
        </is>
      </c>
      <c r="L471" t="inlineStr">
        <is>
          <t>Blog</t>
        </is>
      </c>
      <c r="M471">
        <f>IFERROR(VLOOKUP($A471,'Semrush Import'!$A:$D,2,FALSE),"")</f>
        <v/>
      </c>
      <c r="N471">
        <f>IFERROR(VLOOKUP($A471,'Semrush Import'!$A:$D,3,FALSE),"")</f>
        <v/>
      </c>
      <c r="O471">
        <f>IFERROR(VLOOKUP($A471,'Semrush Import'!$A:$D,4,FALSE),"")</f>
        <v/>
      </c>
      <c r="P471">
        <f>IFERROR(VLOOKUP($A471,'KP Import'!$A:$B,2,FALSE),"")</f>
        <v/>
      </c>
      <c r="Q471">
        <f>IF(M471="","",ROUND(M471/(N471+10),1))</f>
        <v/>
      </c>
      <c r="R471">
        <f>IF(Q471="","",IF(Q471&gt;=20,"A - Go first",IF(Q471&gt;=5,"B - Next","C - Later")))</f>
        <v/>
      </c>
      <c r="S471" t="inlineStr">
        <is>
          <t>To do</t>
        </is>
      </c>
      <c r="T471" t="inlineStr"/>
    </row>
    <row r="472">
      <c r="A472" t="inlineStr">
        <is>
          <t>basmati rice calories</t>
        </is>
      </c>
      <c r="B472" t="inlineStr">
        <is>
          <t>Phase 1 - B2B content</t>
        </is>
      </c>
      <c r="C472" t="inlineStr">
        <is>
          <t>Wholesalers / bulk buyers</t>
        </is>
      </c>
      <c r="D472" t="inlineStr">
        <is>
          <t>Blog: basmati rice calories</t>
        </is>
      </c>
      <c r="E472" t="inlineStr">
        <is>
          <t>Blog article primary keyword</t>
        </is>
      </c>
      <c r="F472" t="inlineStr">
        <is>
          <t>Blog title + H1 + URL slug + first paragraph</t>
        </is>
      </c>
      <c r="G472" t="inlineStr">
        <is>
          <t>Health</t>
        </is>
      </c>
      <c r="H472" t="inlineStr">
        <is>
          <t>Informational</t>
        </is>
      </c>
      <c r="I472" t="inlineStr">
        <is>
          <t>Informational</t>
        </is>
      </c>
      <c r="J472" t="inlineStr">
        <is>
          <t>TOFU</t>
        </is>
      </c>
      <c r="K472" t="inlineStr">
        <is>
          <t>UAE (generic)</t>
        </is>
      </c>
      <c r="L472" t="inlineStr">
        <is>
          <t>Blog</t>
        </is>
      </c>
      <c r="M472">
        <f>IFERROR(VLOOKUP($A472,'Semrush Import'!$A:$D,2,FALSE),"")</f>
        <v/>
      </c>
      <c r="N472">
        <f>IFERROR(VLOOKUP($A472,'Semrush Import'!$A:$D,3,FALSE),"")</f>
        <v/>
      </c>
      <c r="O472">
        <f>IFERROR(VLOOKUP($A472,'Semrush Import'!$A:$D,4,FALSE),"")</f>
        <v/>
      </c>
      <c r="P472">
        <f>IFERROR(VLOOKUP($A472,'KP Import'!$A:$B,2,FALSE),"")</f>
        <v/>
      </c>
      <c r="Q472">
        <f>IF(M472="","",ROUND(M472/(N472+10),1))</f>
        <v/>
      </c>
      <c r="R472">
        <f>IF(Q472="","",IF(Q472&gt;=20,"A - Go first",IF(Q472&gt;=5,"B - Next","C - Later")))</f>
        <v/>
      </c>
      <c r="S472" t="inlineStr">
        <is>
          <t>To do</t>
        </is>
      </c>
      <c r="T472" t="inlineStr"/>
    </row>
    <row r="473">
      <c r="A473" t="inlineStr">
        <is>
          <t>glycemic index of basmati rice</t>
        </is>
      </c>
      <c r="B473" t="inlineStr">
        <is>
          <t>Phase 1 - B2B content</t>
        </is>
      </c>
      <c r="C473" t="inlineStr">
        <is>
          <t>Wholesalers / bulk buyers</t>
        </is>
      </c>
      <c r="D473" t="inlineStr">
        <is>
          <t>Blog: glycemic index of basmati rice</t>
        </is>
      </c>
      <c r="E473" t="inlineStr">
        <is>
          <t>Blog article primary keyword</t>
        </is>
      </c>
      <c r="F473" t="inlineStr">
        <is>
          <t>Blog title + H1 + URL slug + first paragraph</t>
        </is>
      </c>
      <c r="G473" t="inlineStr">
        <is>
          <t>Health</t>
        </is>
      </c>
      <c r="H473" t="inlineStr">
        <is>
          <t>Informational</t>
        </is>
      </c>
      <c r="I473" t="inlineStr">
        <is>
          <t>Informational</t>
        </is>
      </c>
      <c r="J473" t="inlineStr">
        <is>
          <t>TOFU</t>
        </is>
      </c>
      <c r="K473" t="inlineStr">
        <is>
          <t>UAE (generic)</t>
        </is>
      </c>
      <c r="L473" t="inlineStr">
        <is>
          <t>Blog</t>
        </is>
      </c>
      <c r="M473">
        <f>IFERROR(VLOOKUP($A473,'Semrush Import'!$A:$D,2,FALSE),"")</f>
        <v/>
      </c>
      <c r="N473">
        <f>IFERROR(VLOOKUP($A473,'Semrush Import'!$A:$D,3,FALSE),"")</f>
        <v/>
      </c>
      <c r="O473">
        <f>IFERROR(VLOOKUP($A473,'Semrush Import'!$A:$D,4,FALSE),"")</f>
        <v/>
      </c>
      <c r="P473">
        <f>IFERROR(VLOOKUP($A473,'KP Import'!$A:$B,2,FALSE),"")</f>
        <v/>
      </c>
      <c r="Q473">
        <f>IF(M473="","",ROUND(M473/(N473+10),1))</f>
        <v/>
      </c>
      <c r="R473">
        <f>IF(Q473="","",IF(Q473&gt;=20,"A - Go first",IF(Q473&gt;=5,"B - Next","C - Later")))</f>
        <v/>
      </c>
      <c r="S473" t="inlineStr">
        <is>
          <t>To do</t>
        </is>
      </c>
      <c r="T473" t="inlineStr"/>
    </row>
    <row r="474">
      <c r="A474" t="inlineStr">
        <is>
          <t>what is sella basmati rice</t>
        </is>
      </c>
      <c r="B474" t="inlineStr">
        <is>
          <t>Phase 1 - B2B content</t>
        </is>
      </c>
      <c r="C474" t="inlineStr">
        <is>
          <t>Wholesalers / bulk buyers</t>
        </is>
      </c>
      <c r="D474" t="inlineStr">
        <is>
          <t>Blog: what is sella basmati rice</t>
        </is>
      </c>
      <c r="E474" t="inlineStr">
        <is>
          <t>Blog article primary keyword</t>
        </is>
      </c>
      <c r="F474" t="inlineStr">
        <is>
          <t>Blog title + H1 + URL slug + first paragraph</t>
        </is>
      </c>
      <c r="G474" t="inlineStr">
        <is>
          <t>Definition</t>
        </is>
      </c>
      <c r="H474" t="inlineStr">
        <is>
          <t>Informational</t>
        </is>
      </c>
      <c r="I474" t="inlineStr">
        <is>
          <t>Informational</t>
        </is>
      </c>
      <c r="J474" t="inlineStr">
        <is>
          <t>TOFU</t>
        </is>
      </c>
      <c r="K474" t="inlineStr">
        <is>
          <t>UAE (generic)</t>
        </is>
      </c>
      <c r="L474" t="inlineStr">
        <is>
          <t>Blog</t>
        </is>
      </c>
      <c r="M474">
        <f>IFERROR(VLOOKUP($A474,'Semrush Import'!$A:$D,2,FALSE),"")</f>
        <v/>
      </c>
      <c r="N474">
        <f>IFERROR(VLOOKUP($A474,'Semrush Import'!$A:$D,3,FALSE),"")</f>
        <v/>
      </c>
      <c r="O474">
        <f>IFERROR(VLOOKUP($A474,'Semrush Import'!$A:$D,4,FALSE),"")</f>
        <v/>
      </c>
      <c r="P474">
        <f>IFERROR(VLOOKUP($A474,'KP Import'!$A:$B,2,FALSE),"")</f>
        <v/>
      </c>
      <c r="Q474">
        <f>IF(M474="","",ROUND(M474/(N474+10),1))</f>
        <v/>
      </c>
      <c r="R474">
        <f>IF(Q474="","",IF(Q474&gt;=20,"A - Go first",IF(Q474&gt;=5,"B - Next","C - Later")))</f>
        <v/>
      </c>
      <c r="S474" t="inlineStr">
        <is>
          <t>To do</t>
        </is>
      </c>
      <c r="T474" t="inlineStr"/>
    </row>
    <row r="475">
      <c r="A475" t="inlineStr">
        <is>
          <t>what is 1121 basmati rice</t>
        </is>
      </c>
      <c r="B475" t="inlineStr">
        <is>
          <t>Phase 1 - B2B content</t>
        </is>
      </c>
      <c r="C475" t="inlineStr">
        <is>
          <t>Wholesalers / bulk buyers</t>
        </is>
      </c>
      <c r="D475" t="inlineStr">
        <is>
          <t>Blog: what is 1121 basmati rice</t>
        </is>
      </c>
      <c r="E475" t="inlineStr">
        <is>
          <t>Blog article primary keyword</t>
        </is>
      </c>
      <c r="F475" t="inlineStr">
        <is>
          <t>Blog title + H1 + URL slug + first paragraph</t>
        </is>
      </c>
      <c r="G475" t="inlineStr">
        <is>
          <t>Definition</t>
        </is>
      </c>
      <c r="H475" t="inlineStr">
        <is>
          <t>Informational</t>
        </is>
      </c>
      <c r="I475" t="inlineStr">
        <is>
          <t>Informational</t>
        </is>
      </c>
      <c r="J475" t="inlineStr">
        <is>
          <t>TOFU</t>
        </is>
      </c>
      <c r="K475" t="inlineStr">
        <is>
          <t>UAE (generic)</t>
        </is>
      </c>
      <c r="L475" t="inlineStr">
        <is>
          <t>Blog</t>
        </is>
      </c>
      <c r="M475">
        <f>IFERROR(VLOOKUP($A475,'Semrush Import'!$A:$D,2,FALSE),"")</f>
        <v/>
      </c>
      <c r="N475">
        <f>IFERROR(VLOOKUP($A475,'Semrush Import'!$A:$D,3,FALSE),"")</f>
        <v/>
      </c>
      <c r="O475">
        <f>IFERROR(VLOOKUP($A475,'Semrush Import'!$A:$D,4,FALSE),"")</f>
        <v/>
      </c>
      <c r="P475">
        <f>IFERROR(VLOOKUP($A475,'KP Import'!$A:$B,2,FALSE),"")</f>
        <v/>
      </c>
      <c r="Q475">
        <f>IF(M475="","",ROUND(M475/(N475+10),1))</f>
        <v/>
      </c>
      <c r="R475">
        <f>IF(Q475="","",IF(Q475&gt;=20,"A - Go first",IF(Q475&gt;=5,"B - Next","C - Later")))</f>
        <v/>
      </c>
      <c r="S475" t="inlineStr">
        <is>
          <t>To do</t>
        </is>
      </c>
      <c r="T475" t="inlineStr"/>
    </row>
    <row r="476">
      <c r="A476" t="inlineStr">
        <is>
          <t>what is parboiled rice</t>
        </is>
      </c>
      <c r="B476" t="inlineStr">
        <is>
          <t>Phase 1 - B2B content</t>
        </is>
      </c>
      <c r="C476" t="inlineStr">
        <is>
          <t>Wholesalers / bulk buyers</t>
        </is>
      </c>
      <c r="D476" t="inlineStr">
        <is>
          <t>Blog: what is parboiled rice</t>
        </is>
      </c>
      <c r="E476" t="inlineStr">
        <is>
          <t>Blog article primary keyword</t>
        </is>
      </c>
      <c r="F476" t="inlineStr">
        <is>
          <t>Blog title + H1 + URL slug + first paragraph</t>
        </is>
      </c>
      <c r="G476" t="inlineStr">
        <is>
          <t>Definition</t>
        </is>
      </c>
      <c r="H476" t="inlineStr">
        <is>
          <t>Informational</t>
        </is>
      </c>
      <c r="I476" t="inlineStr">
        <is>
          <t>Informational</t>
        </is>
      </c>
      <c r="J476" t="inlineStr">
        <is>
          <t>TOFU</t>
        </is>
      </c>
      <c r="K476" t="inlineStr">
        <is>
          <t>UAE (generic)</t>
        </is>
      </c>
      <c r="L476" t="inlineStr">
        <is>
          <t>Blog</t>
        </is>
      </c>
      <c r="M476">
        <f>IFERROR(VLOOKUP($A476,'Semrush Import'!$A:$D,2,FALSE),"")</f>
        <v/>
      </c>
      <c r="N476">
        <f>IFERROR(VLOOKUP($A476,'Semrush Import'!$A:$D,3,FALSE),"")</f>
        <v/>
      </c>
      <c r="O476">
        <f>IFERROR(VLOOKUP($A476,'Semrush Import'!$A:$D,4,FALSE),"")</f>
        <v/>
      </c>
      <c r="P476">
        <f>IFERROR(VLOOKUP($A476,'KP Import'!$A:$B,2,FALSE),"")</f>
        <v/>
      </c>
      <c r="Q476">
        <f>IF(M476="","",ROUND(M476/(N476+10),1))</f>
        <v/>
      </c>
      <c r="R476">
        <f>IF(Q476="","",IF(Q476&gt;=20,"A - Go first",IF(Q476&gt;=5,"B - Next","C - Later")))</f>
        <v/>
      </c>
      <c r="S476" t="inlineStr">
        <is>
          <t>To do</t>
        </is>
      </c>
      <c r="T476" t="inlineStr"/>
    </row>
    <row r="477">
      <c r="A477" t="inlineStr">
        <is>
          <t>why is basmati rice expensive</t>
        </is>
      </c>
      <c r="B477" t="inlineStr">
        <is>
          <t>Phase 1 - B2B content</t>
        </is>
      </c>
      <c r="C477" t="inlineStr">
        <is>
          <t>Wholesalers / bulk buyers</t>
        </is>
      </c>
      <c r="D477" t="inlineStr">
        <is>
          <t>Blog: why is basmati rice expensive</t>
        </is>
      </c>
      <c r="E477" t="inlineStr">
        <is>
          <t>Blog article primary keyword</t>
        </is>
      </c>
      <c r="F477" t="inlineStr">
        <is>
          <t>Blog title + H1 + URL slug + first paragraph</t>
        </is>
      </c>
      <c r="G477" t="inlineStr">
        <is>
          <t>Buying guide</t>
        </is>
      </c>
      <c r="H477" t="inlineStr">
        <is>
          <t>Informational</t>
        </is>
      </c>
      <c r="I477" t="inlineStr">
        <is>
          <t>Informational</t>
        </is>
      </c>
      <c r="J477" t="inlineStr">
        <is>
          <t>TOFU</t>
        </is>
      </c>
      <c r="K477" t="inlineStr">
        <is>
          <t>UAE (generic)</t>
        </is>
      </c>
      <c r="L477" t="inlineStr">
        <is>
          <t>Blog</t>
        </is>
      </c>
      <c r="M477">
        <f>IFERROR(VLOOKUP($A477,'Semrush Import'!$A:$D,2,FALSE),"")</f>
        <v/>
      </c>
      <c r="N477">
        <f>IFERROR(VLOOKUP($A477,'Semrush Import'!$A:$D,3,FALSE),"")</f>
        <v/>
      </c>
      <c r="O477">
        <f>IFERROR(VLOOKUP($A477,'Semrush Import'!$A:$D,4,FALSE),"")</f>
        <v/>
      </c>
      <c r="P477">
        <f>IFERROR(VLOOKUP($A477,'KP Import'!$A:$B,2,FALSE),"")</f>
        <v/>
      </c>
      <c r="Q477">
        <f>IF(M477="","",ROUND(M477/(N477+10),1))</f>
        <v/>
      </c>
      <c r="R477">
        <f>IF(Q477="","",IF(Q477&gt;=20,"A - Go first",IF(Q477&gt;=5,"B - Next","C - Later")))</f>
        <v/>
      </c>
      <c r="S477" t="inlineStr">
        <is>
          <t>To do</t>
        </is>
      </c>
      <c r="T477" t="inlineStr"/>
    </row>
    <row r="478">
      <c r="A478" t="inlineStr">
        <is>
          <t>basmati rice grading</t>
        </is>
      </c>
      <c r="B478" t="inlineStr">
        <is>
          <t>Phase 1 - B2B content</t>
        </is>
      </c>
      <c r="C478" t="inlineStr">
        <is>
          <t>Wholesalers / bulk buyers</t>
        </is>
      </c>
      <c r="D478" t="inlineStr">
        <is>
          <t>Blog: basmati rice grading</t>
        </is>
      </c>
      <c r="E478" t="inlineStr">
        <is>
          <t>Blog article primary keyword</t>
        </is>
      </c>
      <c r="F478" t="inlineStr">
        <is>
          <t>Blog title + H1 + URL slug + first paragraph</t>
        </is>
      </c>
      <c r="G478" t="inlineStr">
        <is>
          <t>Buying guide</t>
        </is>
      </c>
      <c r="H478" t="inlineStr">
        <is>
          <t>Informational</t>
        </is>
      </c>
      <c r="I478" t="inlineStr">
        <is>
          <t>Informational</t>
        </is>
      </c>
      <c r="J478" t="inlineStr">
        <is>
          <t>TOFU</t>
        </is>
      </c>
      <c r="K478" t="inlineStr">
        <is>
          <t>UAE (generic)</t>
        </is>
      </c>
      <c r="L478" t="inlineStr">
        <is>
          <t>Blog</t>
        </is>
      </c>
      <c r="M478">
        <f>IFERROR(VLOOKUP($A478,'Semrush Import'!$A:$D,2,FALSE),"")</f>
        <v/>
      </c>
      <c r="N478">
        <f>IFERROR(VLOOKUP($A478,'Semrush Import'!$A:$D,3,FALSE),"")</f>
        <v/>
      </c>
      <c r="O478">
        <f>IFERROR(VLOOKUP($A478,'Semrush Import'!$A:$D,4,FALSE),"")</f>
        <v/>
      </c>
      <c r="P478">
        <f>IFERROR(VLOOKUP($A478,'KP Import'!$A:$B,2,FALSE),"")</f>
        <v/>
      </c>
      <c r="Q478">
        <f>IF(M478="","",ROUND(M478/(N478+10),1))</f>
        <v/>
      </c>
      <c r="R478">
        <f>IF(Q478="","",IF(Q478&gt;=20,"A - Go first",IF(Q478&gt;=5,"B - Next","C - Later")))</f>
        <v/>
      </c>
      <c r="S478" t="inlineStr">
        <is>
          <t>To do</t>
        </is>
      </c>
      <c r="T478" t="inlineStr"/>
    </row>
    <row r="479">
      <c r="A479" t="inlineStr">
        <is>
          <t>rice import regulations uae</t>
        </is>
      </c>
      <c r="B479" t="inlineStr">
        <is>
          <t>Phase 1 - B2B content</t>
        </is>
      </c>
      <c r="C479" t="inlineStr">
        <is>
          <t>Wholesalers / bulk buyers</t>
        </is>
      </c>
      <c r="D479" t="inlineStr">
        <is>
          <t>Blog: rice import regulations uae</t>
        </is>
      </c>
      <c r="E479" t="inlineStr">
        <is>
          <t>Blog article primary keyword</t>
        </is>
      </c>
      <c r="F479" t="inlineStr">
        <is>
          <t>Blog title + H1 + URL slug + first paragraph</t>
        </is>
      </c>
      <c r="G479" t="inlineStr">
        <is>
          <t>B2B guide</t>
        </is>
      </c>
      <c r="H479" t="inlineStr">
        <is>
          <t>Informational</t>
        </is>
      </c>
      <c r="I479" t="inlineStr">
        <is>
          <t>Informational</t>
        </is>
      </c>
      <c r="J479" t="inlineStr">
        <is>
          <t>TOFU</t>
        </is>
      </c>
      <c r="K479" t="inlineStr">
        <is>
          <t>UAE (generic)</t>
        </is>
      </c>
      <c r="L479" t="inlineStr">
        <is>
          <t>Blog</t>
        </is>
      </c>
      <c r="M479">
        <f>IFERROR(VLOOKUP($A479,'Semrush Import'!$A:$D,2,FALSE),"")</f>
        <v/>
      </c>
      <c r="N479">
        <f>IFERROR(VLOOKUP($A479,'Semrush Import'!$A:$D,3,FALSE),"")</f>
        <v/>
      </c>
      <c r="O479">
        <f>IFERROR(VLOOKUP($A479,'Semrush Import'!$A:$D,4,FALSE),"")</f>
        <v/>
      </c>
      <c r="P479">
        <f>IFERROR(VLOOKUP($A479,'KP Import'!$A:$B,2,FALSE),"")</f>
        <v/>
      </c>
      <c r="Q479">
        <f>IF(M479="","",ROUND(M479/(N479+10),1))</f>
        <v/>
      </c>
      <c r="R479">
        <f>IF(Q479="","",IF(Q479&gt;=20,"A - Go first",IF(Q479&gt;=5,"B - Next","C - Later")))</f>
        <v/>
      </c>
      <c r="S479" t="inlineStr">
        <is>
          <t>To do</t>
        </is>
      </c>
      <c r="T479" t="inlineStr"/>
    </row>
    <row r="480">
      <c r="A480" t="inlineStr">
        <is>
          <t>uae rice import duty</t>
        </is>
      </c>
      <c r="B480" t="inlineStr">
        <is>
          <t>Phase 1 - B2B content</t>
        </is>
      </c>
      <c r="C480" t="inlineStr">
        <is>
          <t>Wholesalers / bulk buyers</t>
        </is>
      </c>
      <c r="D480" t="inlineStr">
        <is>
          <t>Blog: uae rice import duty</t>
        </is>
      </c>
      <c r="E480" t="inlineStr">
        <is>
          <t>Blog article primary keyword</t>
        </is>
      </c>
      <c r="F480" t="inlineStr">
        <is>
          <t>Blog title + H1 + URL slug + first paragraph</t>
        </is>
      </c>
      <c r="G480" t="inlineStr">
        <is>
          <t>B2B guide</t>
        </is>
      </c>
      <c r="H480" t="inlineStr">
        <is>
          <t>Informational</t>
        </is>
      </c>
      <c r="I480" t="inlineStr">
        <is>
          <t>Informational</t>
        </is>
      </c>
      <c r="J480" t="inlineStr">
        <is>
          <t>TOFU</t>
        </is>
      </c>
      <c r="K480" t="inlineStr">
        <is>
          <t>UAE (generic)</t>
        </is>
      </c>
      <c r="L480" t="inlineStr">
        <is>
          <t>Blog</t>
        </is>
      </c>
      <c r="M480">
        <f>IFERROR(VLOOKUP($A480,'Semrush Import'!$A:$D,2,FALSE),"")</f>
        <v/>
      </c>
      <c r="N480">
        <f>IFERROR(VLOOKUP($A480,'Semrush Import'!$A:$D,3,FALSE),"")</f>
        <v/>
      </c>
      <c r="O480">
        <f>IFERROR(VLOOKUP($A480,'Semrush Import'!$A:$D,4,FALSE),"")</f>
        <v/>
      </c>
      <c r="P480">
        <f>IFERROR(VLOOKUP($A480,'KP Import'!$A:$B,2,FALSE),"")</f>
        <v/>
      </c>
      <c r="Q480">
        <f>IF(M480="","",ROUND(M480/(N480+10),1))</f>
        <v/>
      </c>
      <c r="R480">
        <f>IF(Q480="","",IF(Q480&gt;=20,"A - Go first",IF(Q480&gt;=5,"B - Next","C - Later")))</f>
        <v/>
      </c>
      <c r="S480" t="inlineStr">
        <is>
          <t>To do</t>
        </is>
      </c>
      <c r="T480" t="inlineStr"/>
    </row>
    <row r="481">
      <c r="A481" t="inlineStr">
        <is>
          <t>rice price trend uae</t>
        </is>
      </c>
      <c r="B481" t="inlineStr">
        <is>
          <t>Phase 1 - B2B content</t>
        </is>
      </c>
      <c r="C481" t="inlineStr">
        <is>
          <t>Wholesalers / bulk buyers</t>
        </is>
      </c>
      <c r="D481" t="inlineStr">
        <is>
          <t>Blog: rice price trend uae</t>
        </is>
      </c>
      <c r="E481" t="inlineStr">
        <is>
          <t>Blog article primary keyword</t>
        </is>
      </c>
      <c r="F481" t="inlineStr">
        <is>
          <t>Blog title + H1 + URL slug + first paragraph</t>
        </is>
      </c>
      <c r="G481" t="inlineStr">
        <is>
          <t>Market</t>
        </is>
      </c>
      <c r="H481" t="inlineStr">
        <is>
          <t>Informational</t>
        </is>
      </c>
      <c r="I481" t="inlineStr">
        <is>
          <t>Informational</t>
        </is>
      </c>
      <c r="J481" t="inlineStr">
        <is>
          <t>TOFU</t>
        </is>
      </c>
      <c r="K481" t="inlineStr">
        <is>
          <t>UAE (generic)</t>
        </is>
      </c>
      <c r="L481" t="inlineStr">
        <is>
          <t>Blog</t>
        </is>
      </c>
      <c r="M481">
        <f>IFERROR(VLOOKUP($A481,'Semrush Import'!$A:$D,2,FALSE),"")</f>
        <v/>
      </c>
      <c r="N481">
        <f>IFERROR(VLOOKUP($A481,'Semrush Import'!$A:$D,3,FALSE),"")</f>
        <v/>
      </c>
      <c r="O481">
        <f>IFERROR(VLOOKUP($A481,'Semrush Import'!$A:$D,4,FALSE),"")</f>
        <v/>
      </c>
      <c r="P481">
        <f>IFERROR(VLOOKUP($A481,'KP Import'!$A:$B,2,FALSE),"")</f>
        <v/>
      </c>
      <c r="Q481">
        <f>IF(M481="","",ROUND(M481/(N481+10),1))</f>
        <v/>
      </c>
      <c r="R481">
        <f>IF(Q481="","",IF(Q481&gt;=20,"A - Go first",IF(Q481&gt;=5,"B - Next","C - Later")))</f>
        <v/>
      </c>
      <c r="S481" t="inlineStr">
        <is>
          <t>To do</t>
        </is>
      </c>
      <c r="T481" t="inlineStr"/>
    </row>
    <row r="482">
      <c r="A482" t="inlineStr">
        <is>
          <t>india rice export ban impact on uae</t>
        </is>
      </c>
      <c r="B482" t="inlineStr">
        <is>
          <t>Phase 1 - B2B content</t>
        </is>
      </c>
      <c r="C482" t="inlineStr">
        <is>
          <t>Wholesalers / bulk buyers</t>
        </is>
      </c>
      <c r="D482" t="inlineStr">
        <is>
          <t>Blog: india rice export ban impact on uae</t>
        </is>
      </c>
      <c r="E482" t="inlineStr">
        <is>
          <t>Blog article primary keyword</t>
        </is>
      </c>
      <c r="F482" t="inlineStr">
        <is>
          <t>Blog title + H1 + URL slug + first paragraph</t>
        </is>
      </c>
      <c r="G482" t="inlineStr">
        <is>
          <t>Market</t>
        </is>
      </c>
      <c r="H482" t="inlineStr">
        <is>
          <t>Informational</t>
        </is>
      </c>
      <c r="I482" t="inlineStr">
        <is>
          <t>Informational</t>
        </is>
      </c>
      <c r="J482" t="inlineStr">
        <is>
          <t>TOFU</t>
        </is>
      </c>
      <c r="K482" t="inlineStr">
        <is>
          <t>UAE (generic)</t>
        </is>
      </c>
      <c r="L482" t="inlineStr">
        <is>
          <t>Blog</t>
        </is>
      </c>
      <c r="M482">
        <f>IFERROR(VLOOKUP($A482,'Semrush Import'!$A:$D,2,FALSE),"")</f>
        <v/>
      </c>
      <c r="N482">
        <f>IFERROR(VLOOKUP($A482,'Semrush Import'!$A:$D,3,FALSE),"")</f>
        <v/>
      </c>
      <c r="O482">
        <f>IFERROR(VLOOKUP($A482,'Semrush Import'!$A:$D,4,FALSE),"")</f>
        <v/>
      </c>
      <c r="P482">
        <f>IFERROR(VLOOKUP($A482,'KP Import'!$A:$B,2,FALSE),"")</f>
        <v/>
      </c>
      <c r="Q482">
        <f>IF(M482="","",ROUND(M482/(N482+10),1))</f>
        <v/>
      </c>
      <c r="R482">
        <f>IF(Q482="","",IF(Q482&gt;=20,"A - Go first",IF(Q482&gt;=5,"B - Next","C - Later")))</f>
        <v/>
      </c>
      <c r="S482" t="inlineStr">
        <is>
          <t>To do</t>
        </is>
      </c>
      <c r="T482" t="inlineStr"/>
    </row>
    <row r="483">
      <c r="A483" t="inlineStr">
        <is>
          <t>how to start rice trading business in dubai</t>
        </is>
      </c>
      <c r="B483" t="inlineStr">
        <is>
          <t>Phase 1 - B2B content</t>
        </is>
      </c>
      <c r="C483" t="inlineStr">
        <is>
          <t>Wholesalers / bulk buyers</t>
        </is>
      </c>
      <c r="D483" t="inlineStr">
        <is>
          <t>Blog: how to start rice trading business in dubai</t>
        </is>
      </c>
      <c r="E483" t="inlineStr">
        <is>
          <t>Blog article primary keyword</t>
        </is>
      </c>
      <c r="F483" t="inlineStr">
        <is>
          <t>Blog title + H1 + URL slug + first paragraph</t>
        </is>
      </c>
      <c r="G483" t="inlineStr">
        <is>
          <t>B2B guide</t>
        </is>
      </c>
      <c r="H483" t="inlineStr">
        <is>
          <t>Informational</t>
        </is>
      </c>
      <c r="I483" t="inlineStr">
        <is>
          <t>Informational</t>
        </is>
      </c>
      <c r="J483" t="inlineStr">
        <is>
          <t>TOFU</t>
        </is>
      </c>
      <c r="K483" t="inlineStr">
        <is>
          <t>UAE (generic)</t>
        </is>
      </c>
      <c r="L483" t="inlineStr">
        <is>
          <t>Blog</t>
        </is>
      </c>
      <c r="M483">
        <f>IFERROR(VLOOKUP($A483,'Semrush Import'!$A:$D,2,FALSE),"")</f>
        <v/>
      </c>
      <c r="N483">
        <f>IFERROR(VLOOKUP($A483,'Semrush Import'!$A:$D,3,FALSE),"")</f>
        <v/>
      </c>
      <c r="O483">
        <f>IFERROR(VLOOKUP($A483,'Semrush Import'!$A:$D,4,FALSE),"")</f>
        <v/>
      </c>
      <c r="P483">
        <f>IFERROR(VLOOKUP($A483,'KP Import'!$A:$B,2,FALSE),"")</f>
        <v/>
      </c>
      <c r="Q483">
        <f>IF(M483="","",ROUND(M483/(N483+10),1))</f>
        <v/>
      </c>
      <c r="R483">
        <f>IF(Q483="","",IF(Q483&gt;=20,"A - Go first",IF(Q483&gt;=5,"B - Next","C - Later")))</f>
        <v/>
      </c>
      <c r="S483" t="inlineStr">
        <is>
          <t>To do</t>
        </is>
      </c>
      <c r="T483" t="inlineStr"/>
    </row>
    <row r="484">
      <c r="A484" t="inlineStr">
        <is>
          <t>rice trading license dubai</t>
        </is>
      </c>
      <c r="B484" t="inlineStr">
        <is>
          <t>Phase 1 - B2B content</t>
        </is>
      </c>
      <c r="C484" t="inlineStr">
        <is>
          <t>Wholesalers / bulk buyers</t>
        </is>
      </c>
      <c r="D484" t="inlineStr">
        <is>
          <t>Blog: rice trading license dubai</t>
        </is>
      </c>
      <c r="E484" t="inlineStr">
        <is>
          <t>Blog article primary keyword</t>
        </is>
      </c>
      <c r="F484" t="inlineStr">
        <is>
          <t>Blog title + H1 + URL slug + first paragraph</t>
        </is>
      </c>
      <c r="G484" t="inlineStr">
        <is>
          <t>B2B guide</t>
        </is>
      </c>
      <c r="H484" t="inlineStr">
        <is>
          <t>Informational</t>
        </is>
      </c>
      <c r="I484" t="inlineStr">
        <is>
          <t>Informational</t>
        </is>
      </c>
      <c r="J484" t="inlineStr">
        <is>
          <t>TOFU</t>
        </is>
      </c>
      <c r="K484" t="inlineStr">
        <is>
          <t>UAE (generic)</t>
        </is>
      </c>
      <c r="L484" t="inlineStr">
        <is>
          <t>Blog</t>
        </is>
      </c>
      <c r="M484">
        <f>IFERROR(VLOOKUP($A484,'Semrush Import'!$A:$D,2,FALSE),"")</f>
        <v/>
      </c>
      <c r="N484">
        <f>IFERROR(VLOOKUP($A484,'Semrush Import'!$A:$D,3,FALSE),"")</f>
        <v/>
      </c>
      <c r="O484">
        <f>IFERROR(VLOOKUP($A484,'Semrush Import'!$A:$D,4,FALSE),"")</f>
        <v/>
      </c>
      <c r="P484">
        <f>IFERROR(VLOOKUP($A484,'KP Import'!$A:$B,2,FALSE),"")</f>
        <v/>
      </c>
      <c r="Q484">
        <f>IF(M484="","",ROUND(M484/(N484+10),1))</f>
        <v/>
      </c>
      <c r="R484">
        <f>IF(Q484="","",IF(Q484&gt;=20,"A - Go first",IF(Q484&gt;=5,"B - Next","C - Later")))</f>
        <v/>
      </c>
      <c r="S484" t="inlineStr">
        <is>
          <t>To do</t>
        </is>
      </c>
      <c r="T484" t="inlineStr"/>
    </row>
    <row r="485">
      <c r="A485" t="inlineStr">
        <is>
          <t>ارز بسمتي</t>
        </is>
      </c>
      <c r="B485" t="inlineStr">
        <is>
          <t>Phase 1 - B2B now</t>
        </is>
      </c>
      <c r="C485" t="inlineStr">
        <is>
          <t>Wholesalers / bulk buyers</t>
        </is>
      </c>
      <c r="D485" t="inlineStr">
        <is>
          <t>Arabic site (/ar/)</t>
        </is>
      </c>
      <c r="E485" t="inlineStr">
        <is>
          <t>Secondary (short)</t>
        </is>
      </c>
      <c r="F485" t="inlineStr">
        <is>
          <t>H2 heading + 1st paragraph under it</t>
        </is>
      </c>
      <c r="G485" t="inlineStr">
        <is>
          <t>Arabic</t>
        </is>
      </c>
      <c r="H485" t="inlineStr">
        <is>
          <t>Arabic</t>
        </is>
      </c>
      <c r="I485" t="inlineStr">
        <is>
          <t>Transactional</t>
        </is>
      </c>
      <c r="J485" t="inlineStr">
        <is>
          <t>BOFU</t>
        </is>
      </c>
      <c r="K485" t="inlineStr">
        <is>
          <t>UAE (Arabic)</t>
        </is>
      </c>
      <c r="L485" t="inlineStr">
        <is>
          <t>Arabic landing</t>
        </is>
      </c>
      <c r="M485">
        <f>IFERROR(VLOOKUP($A485,'Semrush Import'!$A:$D,2,FALSE),"")</f>
        <v/>
      </c>
      <c r="N485">
        <f>IFERROR(VLOOKUP($A485,'Semrush Import'!$A:$D,3,FALSE),"")</f>
        <v/>
      </c>
      <c r="O485">
        <f>IFERROR(VLOOKUP($A485,'Semrush Import'!$A:$D,4,FALSE),"")</f>
        <v/>
      </c>
      <c r="P485">
        <f>IFERROR(VLOOKUP($A485,'KP Import'!$A:$B,2,FALSE),"")</f>
        <v/>
      </c>
      <c r="Q485">
        <f>IF(M485="","",ROUND(M485/(N485+10),1))</f>
        <v/>
      </c>
      <c r="R485">
        <f>IF(Q485="","",IF(Q485&gt;=20,"A - Go first",IF(Q485&gt;=5,"B - Next","C - Later")))</f>
        <v/>
      </c>
      <c r="S485" t="inlineStr">
        <is>
          <t>To do</t>
        </is>
      </c>
      <c r="T485" t="inlineStr"/>
    </row>
    <row r="486">
      <c r="A486" t="inlineStr">
        <is>
          <t>ارز بسمتي دبي</t>
        </is>
      </c>
      <c r="B486" t="inlineStr">
        <is>
          <t>Phase 1 - B2B now</t>
        </is>
      </c>
      <c r="C486" t="inlineStr">
        <is>
          <t>Wholesalers / bulk buyers</t>
        </is>
      </c>
      <c r="D486" t="inlineStr">
        <is>
          <t>Arabic site (/ar/)</t>
        </is>
      </c>
      <c r="E486" t="inlineStr">
        <is>
          <t>Secondary (short)</t>
        </is>
      </c>
      <c r="F486" t="inlineStr">
        <is>
          <t>H2 heading + 1st paragraph under it</t>
        </is>
      </c>
      <c r="G486" t="inlineStr">
        <is>
          <t>Arabic</t>
        </is>
      </c>
      <c r="H486" t="inlineStr">
        <is>
          <t>Arabic</t>
        </is>
      </c>
      <c r="I486" t="inlineStr">
        <is>
          <t>Transactional</t>
        </is>
      </c>
      <c r="J486" t="inlineStr">
        <is>
          <t>BOFU</t>
        </is>
      </c>
      <c r="K486" t="inlineStr">
        <is>
          <t>UAE (Arabic)</t>
        </is>
      </c>
      <c r="L486" t="inlineStr">
        <is>
          <t>Arabic landing</t>
        </is>
      </c>
      <c r="M486">
        <f>IFERROR(VLOOKUP($A486,'Semrush Import'!$A:$D,2,FALSE),"")</f>
        <v/>
      </c>
      <c r="N486">
        <f>IFERROR(VLOOKUP($A486,'Semrush Import'!$A:$D,3,FALSE),"")</f>
        <v/>
      </c>
      <c r="O486">
        <f>IFERROR(VLOOKUP($A486,'Semrush Import'!$A:$D,4,FALSE),"")</f>
        <v/>
      </c>
      <c r="P486">
        <f>IFERROR(VLOOKUP($A486,'KP Import'!$A:$B,2,FALSE),"")</f>
        <v/>
      </c>
      <c r="Q486">
        <f>IF(M486="","",ROUND(M486/(N486+10),1))</f>
        <v/>
      </c>
      <c r="R486">
        <f>IF(Q486="","",IF(Q486&gt;=20,"A - Go first",IF(Q486&gt;=5,"B - Next","C - Later")))</f>
        <v/>
      </c>
      <c r="S486" t="inlineStr">
        <is>
          <t>To do</t>
        </is>
      </c>
      <c r="T486" t="inlineStr"/>
    </row>
    <row r="487">
      <c r="A487" t="inlineStr">
        <is>
          <t>ارز بسمتي بالجملة</t>
        </is>
      </c>
      <c r="B487" t="inlineStr">
        <is>
          <t>Phase 1 - B2B now</t>
        </is>
      </c>
      <c r="C487" t="inlineStr">
        <is>
          <t>Wholesalers / bulk buyers</t>
        </is>
      </c>
      <c r="D487" t="inlineStr">
        <is>
          <t>Arabic site (/ar/)</t>
        </is>
      </c>
      <c r="E487" t="inlineStr">
        <is>
          <t>PRIMARY</t>
        </is>
      </c>
      <c r="F487" t="inlineStr">
        <is>
          <t>URL slug + SEO title + H1 + meta description + first 100 words</t>
        </is>
      </c>
      <c r="G487" t="inlineStr">
        <is>
          <t>Arabic</t>
        </is>
      </c>
      <c r="H487" t="inlineStr">
        <is>
          <t>Arabic</t>
        </is>
      </c>
      <c r="I487" t="inlineStr">
        <is>
          <t>Transactional</t>
        </is>
      </c>
      <c r="J487" t="inlineStr">
        <is>
          <t>BOFU</t>
        </is>
      </c>
      <c r="K487" t="inlineStr">
        <is>
          <t>UAE (Arabic)</t>
        </is>
      </c>
      <c r="L487" t="inlineStr">
        <is>
          <t>Arabic landing</t>
        </is>
      </c>
      <c r="M487">
        <f>IFERROR(VLOOKUP($A487,'Semrush Import'!$A:$D,2,FALSE),"")</f>
        <v/>
      </c>
      <c r="N487">
        <f>IFERROR(VLOOKUP($A487,'Semrush Import'!$A:$D,3,FALSE),"")</f>
        <v/>
      </c>
      <c r="O487">
        <f>IFERROR(VLOOKUP($A487,'Semrush Import'!$A:$D,4,FALSE),"")</f>
        <v/>
      </c>
      <c r="P487">
        <f>IFERROR(VLOOKUP($A487,'KP Import'!$A:$B,2,FALSE),"")</f>
        <v/>
      </c>
      <c r="Q487">
        <f>IF(M487="","",ROUND(M487/(N487+10),1))</f>
        <v/>
      </c>
      <c r="R487">
        <f>IF(Q487="","",IF(Q487&gt;=20,"A - Go first",IF(Q487&gt;=5,"B - Next","C - Later")))</f>
        <v/>
      </c>
      <c r="S487" t="inlineStr">
        <is>
          <t>To do</t>
        </is>
      </c>
      <c r="T487" t="inlineStr"/>
    </row>
    <row r="488">
      <c r="A488" t="inlineStr">
        <is>
          <t>سعر الارز في الامارات</t>
        </is>
      </c>
      <c r="B488" t="inlineStr">
        <is>
          <t>Phase 1 - B2B now</t>
        </is>
      </c>
      <c r="C488" t="inlineStr">
        <is>
          <t>Wholesalers / bulk buyers</t>
        </is>
      </c>
      <c r="D488" t="inlineStr">
        <is>
          <t>Arabic site (/ar/)</t>
        </is>
      </c>
      <c r="E488" t="inlineStr">
        <is>
          <t>Secondary (long-tail)</t>
        </is>
      </c>
      <c r="F488" t="inlineStr">
        <is>
          <t>H3 / body paragraph / table row / image alt</t>
        </is>
      </c>
      <c r="G488" t="inlineStr">
        <is>
          <t>Arabic</t>
        </is>
      </c>
      <c r="H488" t="inlineStr">
        <is>
          <t>Arabic</t>
        </is>
      </c>
      <c r="I488" t="inlineStr">
        <is>
          <t>Transactional</t>
        </is>
      </c>
      <c r="J488" t="inlineStr">
        <is>
          <t>BOFU</t>
        </is>
      </c>
      <c r="K488" t="inlineStr">
        <is>
          <t>UAE (Arabic)</t>
        </is>
      </c>
      <c r="L488" t="inlineStr">
        <is>
          <t>Arabic landing</t>
        </is>
      </c>
      <c r="M488">
        <f>IFERROR(VLOOKUP($A488,'Semrush Import'!$A:$D,2,FALSE),"")</f>
        <v/>
      </c>
      <c r="N488">
        <f>IFERROR(VLOOKUP($A488,'Semrush Import'!$A:$D,3,FALSE),"")</f>
        <v/>
      </c>
      <c r="O488">
        <f>IFERROR(VLOOKUP($A488,'Semrush Import'!$A:$D,4,FALSE),"")</f>
        <v/>
      </c>
      <c r="P488">
        <f>IFERROR(VLOOKUP($A488,'KP Import'!$A:$B,2,FALSE),"")</f>
        <v/>
      </c>
      <c r="Q488">
        <f>IF(M488="","",ROUND(M488/(N488+10),1))</f>
        <v/>
      </c>
      <c r="R488">
        <f>IF(Q488="","",IF(Q488&gt;=20,"A - Go first",IF(Q488&gt;=5,"B - Next","C - Later")))</f>
        <v/>
      </c>
      <c r="S488" t="inlineStr">
        <is>
          <t>To do</t>
        </is>
      </c>
      <c r="T488" t="inlineStr"/>
    </row>
    <row r="489">
      <c r="A489" t="inlineStr">
        <is>
          <t>شراء ارز اونلاين دبي</t>
        </is>
      </c>
      <c r="B489" t="inlineStr">
        <is>
          <t>Phase 1 - B2B now</t>
        </is>
      </c>
      <c r="C489" t="inlineStr">
        <is>
          <t>Wholesalers / bulk buyers</t>
        </is>
      </c>
      <c r="D489" t="inlineStr">
        <is>
          <t>Arabic site (/ar/)</t>
        </is>
      </c>
      <c r="E489" t="inlineStr">
        <is>
          <t>Secondary (long-tail)</t>
        </is>
      </c>
      <c r="F489" t="inlineStr">
        <is>
          <t>H3 / body paragraph / table row / image alt</t>
        </is>
      </c>
      <c r="G489" t="inlineStr">
        <is>
          <t>Arabic</t>
        </is>
      </c>
      <c r="H489" t="inlineStr">
        <is>
          <t>Arabic</t>
        </is>
      </c>
      <c r="I489" t="inlineStr">
        <is>
          <t>Transactional</t>
        </is>
      </c>
      <c r="J489" t="inlineStr">
        <is>
          <t>BOFU</t>
        </is>
      </c>
      <c r="K489" t="inlineStr">
        <is>
          <t>UAE (Arabic)</t>
        </is>
      </c>
      <c r="L489" t="inlineStr">
        <is>
          <t>Arabic landing</t>
        </is>
      </c>
      <c r="M489">
        <f>IFERROR(VLOOKUP($A489,'Semrush Import'!$A:$D,2,FALSE),"")</f>
        <v/>
      </c>
      <c r="N489">
        <f>IFERROR(VLOOKUP($A489,'Semrush Import'!$A:$D,3,FALSE),"")</f>
        <v/>
      </c>
      <c r="O489">
        <f>IFERROR(VLOOKUP($A489,'Semrush Import'!$A:$D,4,FALSE),"")</f>
        <v/>
      </c>
      <c r="P489">
        <f>IFERROR(VLOOKUP($A489,'KP Import'!$A:$B,2,FALSE),"")</f>
        <v/>
      </c>
      <c r="Q489">
        <f>IF(M489="","",ROUND(M489/(N489+10),1))</f>
        <v/>
      </c>
      <c r="R489">
        <f>IF(Q489="","",IF(Q489&gt;=20,"A - Go first",IF(Q489&gt;=5,"B - Next","C - Later")))</f>
        <v/>
      </c>
      <c r="S489" t="inlineStr">
        <is>
          <t>To do</t>
        </is>
      </c>
      <c r="T489" t="inlineStr"/>
    </row>
    <row r="490">
      <c r="A490" t="inlineStr">
        <is>
          <t>توصيل ارز دبي</t>
        </is>
      </c>
      <c r="B490" t="inlineStr">
        <is>
          <t>Phase 1 - B2B now</t>
        </is>
      </c>
      <c r="C490" t="inlineStr">
        <is>
          <t>Wholesalers / bulk buyers</t>
        </is>
      </c>
      <c r="D490" t="inlineStr">
        <is>
          <t>Arabic site (/ar/)</t>
        </is>
      </c>
      <c r="E490" t="inlineStr">
        <is>
          <t>Secondary (short)</t>
        </is>
      </c>
      <c r="F490" t="inlineStr">
        <is>
          <t>H2 heading + 1st paragraph under it</t>
        </is>
      </c>
      <c r="G490" t="inlineStr">
        <is>
          <t>Arabic</t>
        </is>
      </c>
      <c r="H490" t="inlineStr">
        <is>
          <t>Arabic</t>
        </is>
      </c>
      <c r="I490" t="inlineStr">
        <is>
          <t>Transactional</t>
        </is>
      </c>
      <c r="J490" t="inlineStr">
        <is>
          <t>BOFU</t>
        </is>
      </c>
      <c r="K490" t="inlineStr">
        <is>
          <t>UAE (Arabic)</t>
        </is>
      </c>
      <c r="L490" t="inlineStr">
        <is>
          <t>Arabic landing</t>
        </is>
      </c>
      <c r="M490">
        <f>IFERROR(VLOOKUP($A490,'Semrush Import'!$A:$D,2,FALSE),"")</f>
        <v/>
      </c>
      <c r="N490">
        <f>IFERROR(VLOOKUP($A490,'Semrush Import'!$A:$D,3,FALSE),"")</f>
        <v/>
      </c>
      <c r="O490">
        <f>IFERROR(VLOOKUP($A490,'Semrush Import'!$A:$D,4,FALSE),"")</f>
        <v/>
      </c>
      <c r="P490">
        <f>IFERROR(VLOOKUP($A490,'KP Import'!$A:$B,2,FALSE),"")</f>
        <v/>
      </c>
      <c r="Q490">
        <f>IF(M490="","",ROUND(M490/(N490+10),1))</f>
        <v/>
      </c>
      <c r="R490">
        <f>IF(Q490="","",IF(Q490&gt;=20,"A - Go first",IF(Q490&gt;=5,"B - Next","C - Later")))</f>
        <v/>
      </c>
      <c r="S490" t="inlineStr">
        <is>
          <t>To do</t>
        </is>
      </c>
      <c r="T490" t="inlineStr"/>
    </row>
    <row r="491">
      <c r="A491" t="inlineStr">
        <is>
          <t>ارز بسمتي سيلا</t>
        </is>
      </c>
      <c r="B491" t="inlineStr">
        <is>
          <t>Phase 1 - B2B now</t>
        </is>
      </c>
      <c r="C491" t="inlineStr">
        <is>
          <t>Wholesalers / bulk buyers</t>
        </is>
      </c>
      <c r="D491" t="inlineStr">
        <is>
          <t>Arabic site (/ar/)</t>
        </is>
      </c>
      <c r="E491" t="inlineStr">
        <is>
          <t>Secondary (short)</t>
        </is>
      </c>
      <c r="F491" t="inlineStr">
        <is>
          <t>H2 heading + 1st paragraph under it</t>
        </is>
      </c>
      <c r="G491" t="inlineStr">
        <is>
          <t>Arabic</t>
        </is>
      </c>
      <c r="H491" t="inlineStr">
        <is>
          <t>Arabic</t>
        </is>
      </c>
      <c r="I491" t="inlineStr">
        <is>
          <t>Transactional</t>
        </is>
      </c>
      <c r="J491" t="inlineStr">
        <is>
          <t>BOFU</t>
        </is>
      </c>
      <c r="K491" t="inlineStr">
        <is>
          <t>UAE (Arabic)</t>
        </is>
      </c>
      <c r="L491" t="inlineStr">
        <is>
          <t>Arabic landing</t>
        </is>
      </c>
      <c r="M491">
        <f>IFERROR(VLOOKUP($A491,'Semrush Import'!$A:$D,2,FALSE),"")</f>
        <v/>
      </c>
      <c r="N491">
        <f>IFERROR(VLOOKUP($A491,'Semrush Import'!$A:$D,3,FALSE),"")</f>
        <v/>
      </c>
      <c r="O491">
        <f>IFERROR(VLOOKUP($A491,'Semrush Import'!$A:$D,4,FALSE),"")</f>
        <v/>
      </c>
      <c r="P491">
        <f>IFERROR(VLOOKUP($A491,'KP Import'!$A:$B,2,FALSE),"")</f>
        <v/>
      </c>
      <c r="Q491">
        <f>IF(M491="","",ROUND(M491/(N491+10),1))</f>
        <v/>
      </c>
      <c r="R491">
        <f>IF(Q491="","",IF(Q491&gt;=20,"A - Go first",IF(Q491&gt;=5,"B - Next","C - Later")))</f>
        <v/>
      </c>
      <c r="S491" t="inlineStr">
        <is>
          <t>To do</t>
        </is>
      </c>
      <c r="T491" t="inlineStr"/>
    </row>
    <row r="492">
      <c r="A492" t="inlineStr">
        <is>
          <t>موردين ارز في الامارات</t>
        </is>
      </c>
      <c r="B492" t="inlineStr">
        <is>
          <t>Phase 1 - B2B now</t>
        </is>
      </c>
      <c r="C492" t="inlineStr">
        <is>
          <t>Wholesalers / bulk buyers</t>
        </is>
      </c>
      <c r="D492" t="inlineStr">
        <is>
          <t>Arabic site (/ar/)</t>
        </is>
      </c>
      <c r="E492" t="inlineStr">
        <is>
          <t>Secondary (long-tail)</t>
        </is>
      </c>
      <c r="F492" t="inlineStr">
        <is>
          <t>H3 / body paragraph / table row / image alt</t>
        </is>
      </c>
      <c r="G492" t="inlineStr">
        <is>
          <t>Arabic</t>
        </is>
      </c>
      <c r="H492" t="inlineStr">
        <is>
          <t>Arabic</t>
        </is>
      </c>
      <c r="I492" t="inlineStr">
        <is>
          <t>Transactional</t>
        </is>
      </c>
      <c r="J492" t="inlineStr">
        <is>
          <t>BOFU</t>
        </is>
      </c>
      <c r="K492" t="inlineStr">
        <is>
          <t>UAE (Arabic)</t>
        </is>
      </c>
      <c r="L492" t="inlineStr">
        <is>
          <t>Arabic landing</t>
        </is>
      </c>
      <c r="M492">
        <f>IFERROR(VLOOKUP($A492,'Semrush Import'!$A:$D,2,FALSE),"")</f>
        <v/>
      </c>
      <c r="N492">
        <f>IFERROR(VLOOKUP($A492,'Semrush Import'!$A:$D,3,FALSE),"")</f>
        <v/>
      </c>
      <c r="O492">
        <f>IFERROR(VLOOKUP($A492,'Semrush Import'!$A:$D,4,FALSE),"")</f>
        <v/>
      </c>
      <c r="P492">
        <f>IFERROR(VLOOKUP($A492,'KP Import'!$A:$B,2,FALSE),"")</f>
        <v/>
      </c>
      <c r="Q492">
        <f>IF(M492="","",ROUND(M492/(N492+10),1))</f>
        <v/>
      </c>
      <c r="R492">
        <f>IF(Q492="","",IF(Q492&gt;=20,"A - Go first",IF(Q492&gt;=5,"B - Next","C - Later")))</f>
        <v/>
      </c>
      <c r="S492" t="inlineStr">
        <is>
          <t>To do</t>
        </is>
      </c>
      <c r="T492" t="inlineStr"/>
    </row>
    <row r="493">
      <c r="A493" t="inlineStr">
        <is>
          <t>ارز مندي</t>
        </is>
      </c>
      <c r="B493" t="inlineStr">
        <is>
          <t>Phase 1 - B2B now</t>
        </is>
      </c>
      <c r="C493" t="inlineStr">
        <is>
          <t>Wholesalers / bulk buyers</t>
        </is>
      </c>
      <c r="D493" t="inlineStr">
        <is>
          <t>Arabic site (/ar/)</t>
        </is>
      </c>
      <c r="E493" t="inlineStr">
        <is>
          <t>Secondary (short)</t>
        </is>
      </c>
      <c r="F493" t="inlineStr">
        <is>
          <t>H2 heading + 1st paragraph under it</t>
        </is>
      </c>
      <c r="G493" t="inlineStr">
        <is>
          <t>Arabic</t>
        </is>
      </c>
      <c r="H493" t="inlineStr">
        <is>
          <t>Arabic</t>
        </is>
      </c>
      <c r="I493" t="inlineStr">
        <is>
          <t>Transactional</t>
        </is>
      </c>
      <c r="J493" t="inlineStr">
        <is>
          <t>BOFU</t>
        </is>
      </c>
      <c r="K493" t="inlineStr">
        <is>
          <t>UAE (Arabic)</t>
        </is>
      </c>
      <c r="L493" t="inlineStr">
        <is>
          <t>Arabic landing</t>
        </is>
      </c>
      <c r="M493">
        <f>IFERROR(VLOOKUP($A493,'Semrush Import'!$A:$D,2,FALSE),"")</f>
        <v/>
      </c>
      <c r="N493">
        <f>IFERROR(VLOOKUP($A493,'Semrush Import'!$A:$D,3,FALSE),"")</f>
        <v/>
      </c>
      <c r="O493">
        <f>IFERROR(VLOOKUP($A493,'Semrush Import'!$A:$D,4,FALSE),"")</f>
        <v/>
      </c>
      <c r="P493">
        <f>IFERROR(VLOOKUP($A493,'KP Import'!$A:$B,2,FALSE),"")</f>
        <v/>
      </c>
      <c r="Q493">
        <f>IF(M493="","",ROUND(M493/(N493+10),1))</f>
        <v/>
      </c>
      <c r="R493">
        <f>IF(Q493="","",IF(Q493&gt;=20,"A - Go first",IF(Q493&gt;=5,"B - Next","C - Later")))</f>
        <v/>
      </c>
      <c r="S493" t="inlineStr">
        <is>
          <t>To do</t>
        </is>
      </c>
      <c r="T493" t="inlineStr"/>
    </row>
    <row r="494">
      <c r="A494" t="inlineStr">
        <is>
          <t>ارز كبسة</t>
        </is>
      </c>
      <c r="B494" t="inlineStr">
        <is>
          <t>Phase 1 - B2B now</t>
        </is>
      </c>
      <c r="C494" t="inlineStr">
        <is>
          <t>Wholesalers / bulk buyers</t>
        </is>
      </c>
      <c r="D494" t="inlineStr">
        <is>
          <t>Arabic site (/ar/)</t>
        </is>
      </c>
      <c r="E494" t="inlineStr">
        <is>
          <t>Secondary (short)</t>
        </is>
      </c>
      <c r="F494" t="inlineStr">
        <is>
          <t>H2 heading + 1st paragraph under it</t>
        </is>
      </c>
      <c r="G494" t="inlineStr">
        <is>
          <t>Arabic</t>
        </is>
      </c>
      <c r="H494" t="inlineStr">
        <is>
          <t>Arabic</t>
        </is>
      </c>
      <c r="I494" t="inlineStr">
        <is>
          <t>Transactional</t>
        </is>
      </c>
      <c r="J494" t="inlineStr">
        <is>
          <t>BOFU</t>
        </is>
      </c>
      <c r="K494" t="inlineStr">
        <is>
          <t>UAE (Arabic)</t>
        </is>
      </c>
      <c r="L494" t="inlineStr">
        <is>
          <t>Arabic landing</t>
        </is>
      </c>
      <c r="M494">
        <f>IFERROR(VLOOKUP($A494,'Semrush Import'!$A:$D,2,FALSE),"")</f>
        <v/>
      </c>
      <c r="N494">
        <f>IFERROR(VLOOKUP($A494,'Semrush Import'!$A:$D,3,FALSE),"")</f>
        <v/>
      </c>
      <c r="O494">
        <f>IFERROR(VLOOKUP($A494,'Semrush Import'!$A:$D,4,FALSE),"")</f>
        <v/>
      </c>
      <c r="P494">
        <f>IFERROR(VLOOKUP($A494,'KP Import'!$A:$B,2,FALSE),"")</f>
        <v/>
      </c>
      <c r="Q494">
        <f>IF(M494="","",ROUND(M494/(N494+10),1))</f>
        <v/>
      </c>
      <c r="R494">
        <f>IF(Q494="","",IF(Q494&gt;=20,"A - Go first",IF(Q494&gt;=5,"B - Next","C - Later")))</f>
        <v/>
      </c>
      <c r="S494" t="inlineStr">
        <is>
          <t>To do</t>
        </is>
      </c>
      <c r="T494" t="inlineStr"/>
    </row>
    <row r="495">
      <c r="A495" t="inlineStr">
        <is>
          <t>rice importers in dubai</t>
        </is>
      </c>
      <c r="B495" t="inlineStr">
        <is>
          <t>Phase 1 - B2B now</t>
        </is>
      </c>
      <c r="C495" t="inlineStr">
        <is>
          <t>Importers / exporters / traders</t>
        </is>
      </c>
      <c r="D495" t="inlineStr">
        <is>
          <t>Importers &amp; Exporters</t>
        </is>
      </c>
      <c r="E495" t="inlineStr">
        <is>
          <t>Secondary (long-tail)</t>
        </is>
      </c>
      <c r="F495" t="inlineStr">
        <is>
          <t>H3 / body paragraph / table row / image alt</t>
        </is>
      </c>
      <c r="G495" t="inlineStr">
        <is>
          <t>Importers &amp; Exporters</t>
        </is>
      </c>
      <c r="H495" t="inlineStr">
        <is>
          <t>B2B</t>
        </is>
      </c>
      <c r="I495" t="inlineStr">
        <is>
          <t>Transactional (B2B)</t>
        </is>
      </c>
      <c r="J495" t="inlineStr">
        <is>
          <t>BOFU</t>
        </is>
      </c>
      <c r="K495" t="inlineStr">
        <is>
          <t>Dubai</t>
        </is>
      </c>
      <c r="L495" t="inlineStr">
        <is>
          <t>Landing</t>
        </is>
      </c>
      <c r="M495">
        <f>IFERROR(VLOOKUP($A495,'Semrush Import'!$A:$D,2,FALSE),"")</f>
        <v/>
      </c>
      <c r="N495">
        <f>IFERROR(VLOOKUP($A495,'Semrush Import'!$A:$D,3,FALSE),"")</f>
        <v/>
      </c>
      <c r="O495">
        <f>IFERROR(VLOOKUP($A495,'Semrush Import'!$A:$D,4,FALSE),"")</f>
        <v/>
      </c>
      <c r="P495">
        <f>IFERROR(VLOOKUP($A495,'KP Import'!$A:$B,2,FALSE),"")</f>
        <v/>
      </c>
      <c r="Q495">
        <f>IF(M495="","",ROUND(M495/(N495+10),1))</f>
        <v/>
      </c>
      <c r="R495">
        <f>IF(Q495="","",IF(Q495&gt;=20,"A - Go first",IF(Q495&gt;=5,"B - Next","C - Later")))</f>
        <v/>
      </c>
      <c r="S495" t="inlineStr">
        <is>
          <t>To do</t>
        </is>
      </c>
      <c r="T495" t="inlineStr"/>
    </row>
    <row r="496">
      <c r="A496" t="inlineStr">
        <is>
          <t>rice importers in uae</t>
        </is>
      </c>
      <c r="B496" t="inlineStr">
        <is>
          <t>Phase 1 - B2B now</t>
        </is>
      </c>
      <c r="C496" t="inlineStr">
        <is>
          <t>Importers / exporters / traders</t>
        </is>
      </c>
      <c r="D496" t="inlineStr">
        <is>
          <t>Importers &amp; Exporters</t>
        </is>
      </c>
      <c r="E496" t="inlineStr">
        <is>
          <t>PRIMARY</t>
        </is>
      </c>
      <c r="F496" t="inlineStr">
        <is>
          <t>URL slug + SEO title + H1 + meta description + first 100 words</t>
        </is>
      </c>
      <c r="G496" t="inlineStr">
        <is>
          <t>Importers &amp; Exporters</t>
        </is>
      </c>
      <c r="H496" t="inlineStr">
        <is>
          <t>B2B</t>
        </is>
      </c>
      <c r="I496" t="inlineStr">
        <is>
          <t>Transactional (B2B)</t>
        </is>
      </c>
      <c r="J496" t="inlineStr">
        <is>
          <t>BOFU</t>
        </is>
      </c>
      <c r="K496" t="inlineStr">
        <is>
          <t>UAE</t>
        </is>
      </c>
      <c r="L496" t="inlineStr">
        <is>
          <t>Landing</t>
        </is>
      </c>
      <c r="M496">
        <f>IFERROR(VLOOKUP($A496,'Semrush Import'!$A:$D,2,FALSE),"")</f>
        <v/>
      </c>
      <c r="N496">
        <f>IFERROR(VLOOKUP($A496,'Semrush Import'!$A:$D,3,FALSE),"")</f>
        <v/>
      </c>
      <c r="O496">
        <f>IFERROR(VLOOKUP($A496,'Semrush Import'!$A:$D,4,FALSE),"")</f>
        <v/>
      </c>
      <c r="P496">
        <f>IFERROR(VLOOKUP($A496,'KP Import'!$A:$B,2,FALSE),"")</f>
        <v/>
      </c>
      <c r="Q496">
        <f>IF(M496="","",ROUND(M496/(N496+10),1))</f>
        <v/>
      </c>
      <c r="R496">
        <f>IF(Q496="","",IF(Q496&gt;=20,"A - Go first",IF(Q496&gt;=5,"B - Next","C - Later")))</f>
        <v/>
      </c>
      <c r="S496" t="inlineStr">
        <is>
          <t>To do</t>
        </is>
      </c>
      <c r="T496" t="inlineStr"/>
    </row>
    <row r="497">
      <c r="A497" t="inlineStr">
        <is>
          <t>rice importer dubai</t>
        </is>
      </c>
      <c r="B497" t="inlineStr">
        <is>
          <t>Phase 1 - B2B now</t>
        </is>
      </c>
      <c r="C497" t="inlineStr">
        <is>
          <t>Importers / exporters / traders</t>
        </is>
      </c>
      <c r="D497" t="inlineStr">
        <is>
          <t>Importers &amp; Exporters</t>
        </is>
      </c>
      <c r="E497" t="inlineStr">
        <is>
          <t>Secondary (short)</t>
        </is>
      </c>
      <c r="F497" t="inlineStr">
        <is>
          <t>H2 heading + 1st paragraph under it</t>
        </is>
      </c>
      <c r="G497" t="inlineStr">
        <is>
          <t>Importers &amp; Exporters</t>
        </is>
      </c>
      <c r="H497" t="inlineStr">
        <is>
          <t>B2B</t>
        </is>
      </c>
      <c r="I497" t="inlineStr">
        <is>
          <t>Transactional (B2B)</t>
        </is>
      </c>
      <c r="J497" t="inlineStr">
        <is>
          <t>BOFU</t>
        </is>
      </c>
      <c r="K497" t="inlineStr">
        <is>
          <t>Dubai</t>
        </is>
      </c>
      <c r="L497" t="inlineStr">
        <is>
          <t>Landing</t>
        </is>
      </c>
      <c r="M497">
        <f>IFERROR(VLOOKUP($A497,'Semrush Import'!$A:$D,2,FALSE),"")</f>
        <v/>
      </c>
      <c r="N497">
        <f>IFERROR(VLOOKUP($A497,'Semrush Import'!$A:$D,3,FALSE),"")</f>
        <v/>
      </c>
      <c r="O497">
        <f>IFERROR(VLOOKUP($A497,'Semrush Import'!$A:$D,4,FALSE),"")</f>
        <v/>
      </c>
      <c r="P497">
        <f>IFERROR(VLOOKUP($A497,'KP Import'!$A:$B,2,FALSE),"")</f>
        <v/>
      </c>
      <c r="Q497">
        <f>IF(M497="","",ROUND(M497/(N497+10),1))</f>
        <v/>
      </c>
      <c r="R497">
        <f>IF(Q497="","",IF(Q497&gt;=20,"A - Go first",IF(Q497&gt;=5,"B - Next","C - Later")))</f>
        <v/>
      </c>
      <c r="S497" t="inlineStr">
        <is>
          <t>To do</t>
        </is>
      </c>
      <c r="T497" t="inlineStr"/>
    </row>
    <row r="498">
      <c r="A498" t="inlineStr">
        <is>
          <t>rice exporters in uae</t>
        </is>
      </c>
      <c r="B498" t="inlineStr">
        <is>
          <t>Phase 1 - B2B now</t>
        </is>
      </c>
      <c r="C498" t="inlineStr">
        <is>
          <t>Importers / exporters / traders</t>
        </is>
      </c>
      <c r="D498" t="inlineStr">
        <is>
          <t>Importers &amp; Exporters</t>
        </is>
      </c>
      <c r="E498" t="inlineStr">
        <is>
          <t>Secondary (long-tail)</t>
        </is>
      </c>
      <c r="F498" t="inlineStr">
        <is>
          <t>H3 / body paragraph / table row / image alt</t>
        </is>
      </c>
      <c r="G498" t="inlineStr">
        <is>
          <t>Importers &amp; Exporters</t>
        </is>
      </c>
      <c r="H498" t="inlineStr">
        <is>
          <t>B2B</t>
        </is>
      </c>
      <c r="I498" t="inlineStr">
        <is>
          <t>Transactional (B2B)</t>
        </is>
      </c>
      <c r="J498" t="inlineStr">
        <is>
          <t>BOFU</t>
        </is>
      </c>
      <c r="K498" t="inlineStr">
        <is>
          <t>UAE</t>
        </is>
      </c>
      <c r="L498" t="inlineStr">
        <is>
          <t>Landing</t>
        </is>
      </c>
      <c r="M498">
        <f>IFERROR(VLOOKUP($A498,'Semrush Import'!$A:$D,2,FALSE),"")</f>
        <v/>
      </c>
      <c r="N498">
        <f>IFERROR(VLOOKUP($A498,'Semrush Import'!$A:$D,3,FALSE),"")</f>
        <v/>
      </c>
      <c r="O498">
        <f>IFERROR(VLOOKUP($A498,'Semrush Import'!$A:$D,4,FALSE),"")</f>
        <v/>
      </c>
      <c r="P498">
        <f>IFERROR(VLOOKUP($A498,'KP Import'!$A:$B,2,FALSE),"")</f>
        <v/>
      </c>
      <c r="Q498">
        <f>IF(M498="","",ROUND(M498/(N498+10),1))</f>
        <v/>
      </c>
      <c r="R498">
        <f>IF(Q498="","",IF(Q498&gt;=20,"A - Go first",IF(Q498&gt;=5,"B - Next","C - Later")))</f>
        <v/>
      </c>
      <c r="S498" t="inlineStr">
        <is>
          <t>To do</t>
        </is>
      </c>
      <c r="T498" t="inlineStr"/>
    </row>
    <row r="499">
      <c r="A499" t="inlineStr">
        <is>
          <t>basmati rice importers uae</t>
        </is>
      </c>
      <c r="B499" t="inlineStr">
        <is>
          <t>Phase 1 - B2B now</t>
        </is>
      </c>
      <c r="C499" t="inlineStr">
        <is>
          <t>Importers / exporters / traders</t>
        </is>
      </c>
      <c r="D499" t="inlineStr">
        <is>
          <t>Importers &amp; Exporters</t>
        </is>
      </c>
      <c r="E499" t="inlineStr">
        <is>
          <t>Secondary (long-tail)</t>
        </is>
      </c>
      <c r="F499" t="inlineStr">
        <is>
          <t>H3 / body paragraph / table row / image alt</t>
        </is>
      </c>
      <c r="G499" t="inlineStr">
        <is>
          <t>Importers &amp; Exporters</t>
        </is>
      </c>
      <c r="H499" t="inlineStr">
        <is>
          <t>B2B</t>
        </is>
      </c>
      <c r="I499" t="inlineStr">
        <is>
          <t>Transactional (B2B)</t>
        </is>
      </c>
      <c r="J499" t="inlineStr">
        <is>
          <t>BOFU</t>
        </is>
      </c>
      <c r="K499" t="inlineStr">
        <is>
          <t>UAE</t>
        </is>
      </c>
      <c r="L499" t="inlineStr">
        <is>
          <t>Landing</t>
        </is>
      </c>
      <c r="M499">
        <f>IFERROR(VLOOKUP($A499,'Semrush Import'!$A:$D,2,FALSE),"")</f>
        <v/>
      </c>
      <c r="N499">
        <f>IFERROR(VLOOKUP($A499,'Semrush Import'!$A:$D,3,FALSE),"")</f>
        <v/>
      </c>
      <c r="O499">
        <f>IFERROR(VLOOKUP($A499,'Semrush Import'!$A:$D,4,FALSE),"")</f>
        <v/>
      </c>
      <c r="P499">
        <f>IFERROR(VLOOKUP($A499,'KP Import'!$A:$B,2,FALSE),"")</f>
        <v/>
      </c>
      <c r="Q499">
        <f>IF(M499="","",ROUND(M499/(N499+10),1))</f>
        <v/>
      </c>
      <c r="R499">
        <f>IF(Q499="","",IF(Q499&gt;=20,"A - Go first",IF(Q499&gt;=5,"B - Next","C - Later")))</f>
        <v/>
      </c>
      <c r="S499" t="inlineStr">
        <is>
          <t>To do</t>
        </is>
      </c>
      <c r="T499" t="inlineStr"/>
    </row>
    <row r="500">
      <c r="A500" t="inlineStr">
        <is>
          <t>rice re-export from dubai</t>
        </is>
      </c>
      <c r="B500" t="inlineStr">
        <is>
          <t>Phase 1 - B2B now</t>
        </is>
      </c>
      <c r="C500" t="inlineStr">
        <is>
          <t>Importers / exporters / traders</t>
        </is>
      </c>
      <c r="D500" t="inlineStr">
        <is>
          <t>Export / Re-export</t>
        </is>
      </c>
      <c r="E500" t="inlineStr">
        <is>
          <t>PRIMARY</t>
        </is>
      </c>
      <c r="F500" t="inlineStr">
        <is>
          <t>URL slug + SEO title + H1 + meta description + first 100 words</t>
        </is>
      </c>
      <c r="G500" t="inlineStr">
        <is>
          <t>Importers &amp; Exporters</t>
        </is>
      </c>
      <c r="H500" t="inlineStr">
        <is>
          <t>B2B</t>
        </is>
      </c>
      <c r="I500" t="inlineStr">
        <is>
          <t>Transactional (B2B)</t>
        </is>
      </c>
      <c r="J500" t="inlineStr">
        <is>
          <t>BOFU</t>
        </is>
      </c>
      <c r="K500" t="inlineStr">
        <is>
          <t>Dubai</t>
        </is>
      </c>
      <c r="L500" t="inlineStr">
        <is>
          <t>Landing</t>
        </is>
      </c>
      <c r="M500">
        <f>IFERROR(VLOOKUP($A500,'Semrush Import'!$A:$D,2,FALSE),"")</f>
        <v/>
      </c>
      <c r="N500">
        <f>IFERROR(VLOOKUP($A500,'Semrush Import'!$A:$D,3,FALSE),"")</f>
        <v/>
      </c>
      <c r="O500">
        <f>IFERROR(VLOOKUP($A500,'Semrush Import'!$A:$D,4,FALSE),"")</f>
        <v/>
      </c>
      <c r="P500">
        <f>IFERROR(VLOOKUP($A500,'KP Import'!$A:$B,2,FALSE),"")</f>
        <v/>
      </c>
      <c r="Q500">
        <f>IF(M500="","",ROUND(M500/(N500+10),1))</f>
        <v/>
      </c>
      <c r="R500">
        <f>IF(Q500="","",IF(Q500&gt;=20,"A - Go first",IF(Q500&gt;=5,"B - Next","C - Later")))</f>
        <v/>
      </c>
      <c r="S500" t="inlineStr">
        <is>
          <t>To do</t>
        </is>
      </c>
      <c r="T500" t="inlineStr"/>
    </row>
    <row r="501">
      <c r="A501" t="inlineStr">
        <is>
          <t>rice trading company in uae</t>
        </is>
      </c>
      <c r="B501" t="inlineStr">
        <is>
          <t>Phase 1 - B2B now</t>
        </is>
      </c>
      <c r="C501" t="inlineStr">
        <is>
          <t>Importers / exporters / traders</t>
        </is>
      </c>
      <c r="D501" t="inlineStr">
        <is>
          <t>Importers &amp; Exporters</t>
        </is>
      </c>
      <c r="E501" t="inlineStr">
        <is>
          <t>Secondary (long-tail)</t>
        </is>
      </c>
      <c r="F501" t="inlineStr">
        <is>
          <t>H3 / body paragraph / table row / image alt</t>
        </is>
      </c>
      <c r="G501" t="inlineStr">
        <is>
          <t>Importers &amp; Exporters</t>
        </is>
      </c>
      <c r="H501" t="inlineStr">
        <is>
          <t>B2B</t>
        </is>
      </c>
      <c r="I501" t="inlineStr">
        <is>
          <t>Transactional (B2B)</t>
        </is>
      </c>
      <c r="J501" t="inlineStr">
        <is>
          <t>BOFU</t>
        </is>
      </c>
      <c r="K501" t="inlineStr">
        <is>
          <t>UAE</t>
        </is>
      </c>
      <c r="L501" t="inlineStr">
        <is>
          <t>Landing</t>
        </is>
      </c>
      <c r="M501">
        <f>IFERROR(VLOOKUP($A501,'Semrush Import'!$A:$D,2,FALSE),"")</f>
        <v/>
      </c>
      <c r="N501">
        <f>IFERROR(VLOOKUP($A501,'Semrush Import'!$A:$D,3,FALSE),"")</f>
        <v/>
      </c>
      <c r="O501">
        <f>IFERROR(VLOOKUP($A501,'Semrush Import'!$A:$D,4,FALSE),"")</f>
        <v/>
      </c>
      <c r="P501">
        <f>IFERROR(VLOOKUP($A501,'KP Import'!$A:$B,2,FALSE),"")</f>
        <v/>
      </c>
      <c r="Q501">
        <f>IF(M501="","",ROUND(M501/(N501+10),1))</f>
        <v/>
      </c>
      <c r="R501">
        <f>IF(Q501="","",IF(Q501&gt;=20,"A - Go first",IF(Q501&gt;=5,"B - Next","C - Later")))</f>
        <v/>
      </c>
      <c r="S501" t="inlineStr">
        <is>
          <t>To do</t>
        </is>
      </c>
      <c r="T501" t="inlineStr"/>
    </row>
    <row r="502">
      <c r="A502" t="inlineStr">
        <is>
          <t>rice traders in dubai</t>
        </is>
      </c>
      <c r="B502" t="inlineStr">
        <is>
          <t>Phase 1 - B2B now</t>
        </is>
      </c>
      <c r="C502" t="inlineStr">
        <is>
          <t>Importers / exporters / traders</t>
        </is>
      </c>
      <c r="D502" t="inlineStr">
        <is>
          <t>Importers &amp; Exporters</t>
        </is>
      </c>
      <c r="E502" t="inlineStr">
        <is>
          <t>Secondary (long-tail)</t>
        </is>
      </c>
      <c r="F502" t="inlineStr">
        <is>
          <t>H3 / body paragraph / table row / image alt</t>
        </is>
      </c>
      <c r="G502" t="inlineStr">
        <is>
          <t>Importers &amp; Exporters</t>
        </is>
      </c>
      <c r="H502" t="inlineStr">
        <is>
          <t>B2B</t>
        </is>
      </c>
      <c r="I502" t="inlineStr">
        <is>
          <t>Transactional (B2B)</t>
        </is>
      </c>
      <c r="J502" t="inlineStr">
        <is>
          <t>BOFU</t>
        </is>
      </c>
      <c r="K502" t="inlineStr">
        <is>
          <t>Dubai</t>
        </is>
      </c>
      <c r="L502" t="inlineStr">
        <is>
          <t>Landing</t>
        </is>
      </c>
      <c r="M502">
        <f>IFERROR(VLOOKUP($A502,'Semrush Import'!$A:$D,2,FALSE),"")</f>
        <v/>
      </c>
      <c r="N502">
        <f>IFERROR(VLOOKUP($A502,'Semrush Import'!$A:$D,3,FALSE),"")</f>
        <v/>
      </c>
      <c r="O502">
        <f>IFERROR(VLOOKUP($A502,'Semrush Import'!$A:$D,4,FALSE),"")</f>
        <v/>
      </c>
      <c r="P502">
        <f>IFERROR(VLOOKUP($A502,'KP Import'!$A:$B,2,FALSE),"")</f>
        <v/>
      </c>
      <c r="Q502">
        <f>IF(M502="","",ROUND(M502/(N502+10),1))</f>
        <v/>
      </c>
      <c r="R502">
        <f>IF(Q502="","",IF(Q502&gt;=20,"A - Go first",IF(Q502&gt;=5,"B - Next","C - Later")))</f>
        <v/>
      </c>
      <c r="S502" t="inlineStr">
        <is>
          <t>To do</t>
        </is>
      </c>
      <c r="T502" t="inlineStr"/>
    </row>
    <row r="503">
      <c r="A503" t="inlineStr">
        <is>
          <t>rice sourcing company dubai</t>
        </is>
      </c>
      <c r="B503" t="inlineStr">
        <is>
          <t>Phase 1 - B2B now</t>
        </is>
      </c>
      <c r="C503" t="inlineStr">
        <is>
          <t>Importers / exporters / traders</t>
        </is>
      </c>
      <c r="D503" t="inlineStr">
        <is>
          <t>Origin sourcing</t>
        </is>
      </c>
      <c r="E503" t="inlineStr">
        <is>
          <t>Secondary (long-tail)</t>
        </is>
      </c>
      <c r="F503" t="inlineStr">
        <is>
          <t>H3 / body paragraph / table row / image alt</t>
        </is>
      </c>
      <c r="G503" t="inlineStr">
        <is>
          <t>Sourcing</t>
        </is>
      </c>
      <c r="H503" t="inlineStr">
        <is>
          <t>B2B</t>
        </is>
      </c>
      <c r="I503" t="inlineStr">
        <is>
          <t>Transactional (B2B)</t>
        </is>
      </c>
      <c r="J503" t="inlineStr">
        <is>
          <t>BOFU</t>
        </is>
      </c>
      <c r="K503" t="inlineStr">
        <is>
          <t>Dubai</t>
        </is>
      </c>
      <c r="L503" t="inlineStr">
        <is>
          <t>Landing</t>
        </is>
      </c>
      <c r="M503">
        <f>IFERROR(VLOOKUP($A503,'Semrush Import'!$A:$D,2,FALSE),"")</f>
        <v/>
      </c>
      <c r="N503">
        <f>IFERROR(VLOOKUP($A503,'Semrush Import'!$A:$D,3,FALSE),"")</f>
        <v/>
      </c>
      <c r="O503">
        <f>IFERROR(VLOOKUP($A503,'Semrush Import'!$A:$D,4,FALSE),"")</f>
        <v/>
      </c>
      <c r="P503">
        <f>IFERROR(VLOOKUP($A503,'KP Import'!$A:$B,2,FALSE),"")</f>
        <v/>
      </c>
      <c r="Q503">
        <f>IF(M503="","",ROUND(M503/(N503+10),1))</f>
        <v/>
      </c>
      <c r="R503">
        <f>IF(Q503="","",IF(Q503&gt;=20,"A - Go first",IF(Q503&gt;=5,"B - Next","C - Later")))</f>
        <v/>
      </c>
      <c r="S503" t="inlineStr">
        <is>
          <t>To do</t>
        </is>
      </c>
      <c r="T503" t="inlineStr"/>
    </row>
    <row r="504">
      <c r="A504" t="inlineStr">
        <is>
          <t>rice procurement uae</t>
        </is>
      </c>
      <c r="B504" t="inlineStr">
        <is>
          <t>Phase 1 - B2B now</t>
        </is>
      </c>
      <c r="C504" t="inlineStr">
        <is>
          <t>Importers / exporters / traders</t>
        </is>
      </c>
      <c r="D504" t="inlineStr">
        <is>
          <t>Origin sourcing</t>
        </is>
      </c>
      <c r="E504" t="inlineStr">
        <is>
          <t>Secondary (short)</t>
        </is>
      </c>
      <c r="F504" t="inlineStr">
        <is>
          <t>H2 heading + 1st paragraph under it</t>
        </is>
      </c>
      <c r="G504" t="inlineStr">
        <is>
          <t>Sourcing</t>
        </is>
      </c>
      <c r="H504" t="inlineStr">
        <is>
          <t>B2B</t>
        </is>
      </c>
      <c r="I504" t="inlineStr">
        <is>
          <t>Transactional (B2B)</t>
        </is>
      </c>
      <c r="J504" t="inlineStr">
        <is>
          <t>BOFU</t>
        </is>
      </c>
      <c r="K504" t="inlineStr">
        <is>
          <t>UAE</t>
        </is>
      </c>
      <c r="L504" t="inlineStr">
        <is>
          <t>Landing</t>
        </is>
      </c>
      <c r="M504">
        <f>IFERROR(VLOOKUP($A504,'Semrush Import'!$A:$D,2,FALSE),"")</f>
        <v/>
      </c>
      <c r="N504">
        <f>IFERROR(VLOOKUP($A504,'Semrush Import'!$A:$D,3,FALSE),"")</f>
        <v/>
      </c>
      <c r="O504">
        <f>IFERROR(VLOOKUP($A504,'Semrush Import'!$A:$D,4,FALSE),"")</f>
        <v/>
      </c>
      <c r="P504">
        <f>IFERROR(VLOOKUP($A504,'KP Import'!$A:$B,2,FALSE),"")</f>
        <v/>
      </c>
      <c r="Q504">
        <f>IF(M504="","",ROUND(M504/(N504+10),1))</f>
        <v/>
      </c>
      <c r="R504">
        <f>IF(Q504="","",IF(Q504&gt;=20,"A - Go first",IF(Q504&gt;=5,"B - Next","C - Later")))</f>
        <v/>
      </c>
      <c r="S504" t="inlineStr">
        <is>
          <t>To do</t>
        </is>
      </c>
      <c r="T504" t="inlineStr"/>
    </row>
    <row r="505">
      <c r="A505" t="inlineStr">
        <is>
          <t>rice sourcing agent uae</t>
        </is>
      </c>
      <c r="B505" t="inlineStr">
        <is>
          <t>Phase 1 - B2B now</t>
        </is>
      </c>
      <c r="C505" t="inlineStr">
        <is>
          <t>Importers / exporters / traders</t>
        </is>
      </c>
      <c r="D505" t="inlineStr">
        <is>
          <t>Origin sourcing</t>
        </is>
      </c>
      <c r="E505" t="inlineStr">
        <is>
          <t>Secondary (long-tail)</t>
        </is>
      </c>
      <c r="F505" t="inlineStr">
        <is>
          <t>H3 / body paragraph / table row / image alt</t>
        </is>
      </c>
      <c r="G505" t="inlineStr">
        <is>
          <t>Sourcing</t>
        </is>
      </c>
      <c r="H505" t="inlineStr">
        <is>
          <t>B2B</t>
        </is>
      </c>
      <c r="I505" t="inlineStr">
        <is>
          <t>Transactional (B2B)</t>
        </is>
      </c>
      <c r="J505" t="inlineStr">
        <is>
          <t>BOFU</t>
        </is>
      </c>
      <c r="K505" t="inlineStr">
        <is>
          <t>UAE</t>
        </is>
      </c>
      <c r="L505" t="inlineStr">
        <is>
          <t>Landing</t>
        </is>
      </c>
      <c r="M505">
        <f>IFERROR(VLOOKUP($A505,'Semrush Import'!$A:$D,2,FALSE),"")</f>
        <v/>
      </c>
      <c r="N505">
        <f>IFERROR(VLOOKUP($A505,'Semrush Import'!$A:$D,3,FALSE),"")</f>
        <v/>
      </c>
      <c r="O505">
        <f>IFERROR(VLOOKUP($A505,'Semrush Import'!$A:$D,4,FALSE),"")</f>
        <v/>
      </c>
      <c r="P505">
        <f>IFERROR(VLOOKUP($A505,'KP Import'!$A:$B,2,FALSE),"")</f>
        <v/>
      </c>
      <c r="Q505">
        <f>IF(M505="","",ROUND(M505/(N505+10),1))</f>
        <v/>
      </c>
      <c r="R505">
        <f>IF(Q505="","",IF(Q505&gt;=20,"A - Go first",IF(Q505&gt;=5,"B - Next","C - Later")))</f>
        <v/>
      </c>
      <c r="S505" t="inlineStr">
        <is>
          <t>To do</t>
        </is>
      </c>
      <c r="T505" t="inlineStr"/>
    </row>
    <row r="506">
      <c r="A506" t="inlineStr">
        <is>
          <t>rice broker dubai</t>
        </is>
      </c>
      <c r="B506" t="inlineStr">
        <is>
          <t>Phase 1 - B2B now</t>
        </is>
      </c>
      <c r="C506" t="inlineStr">
        <is>
          <t>Importers / exporters / traders</t>
        </is>
      </c>
      <c r="D506" t="inlineStr">
        <is>
          <t>Origin sourcing</t>
        </is>
      </c>
      <c r="E506" t="inlineStr">
        <is>
          <t>Secondary (short)</t>
        </is>
      </c>
      <c r="F506" t="inlineStr">
        <is>
          <t>H2 heading + 1st paragraph under it</t>
        </is>
      </c>
      <c r="G506" t="inlineStr">
        <is>
          <t>Sourcing</t>
        </is>
      </c>
      <c r="H506" t="inlineStr">
        <is>
          <t>B2B</t>
        </is>
      </c>
      <c r="I506" t="inlineStr">
        <is>
          <t>Transactional (B2B)</t>
        </is>
      </c>
      <c r="J506" t="inlineStr">
        <is>
          <t>BOFU</t>
        </is>
      </c>
      <c r="K506" t="inlineStr">
        <is>
          <t>Dubai</t>
        </is>
      </c>
      <c r="L506" t="inlineStr">
        <is>
          <t>Landing</t>
        </is>
      </c>
      <c r="M506">
        <f>IFERROR(VLOOKUP($A506,'Semrush Import'!$A:$D,2,FALSE),"")</f>
        <v/>
      </c>
      <c r="N506">
        <f>IFERROR(VLOOKUP($A506,'Semrush Import'!$A:$D,3,FALSE),"")</f>
        <v/>
      </c>
      <c r="O506">
        <f>IFERROR(VLOOKUP($A506,'Semrush Import'!$A:$D,4,FALSE),"")</f>
        <v/>
      </c>
      <c r="P506">
        <f>IFERROR(VLOOKUP($A506,'KP Import'!$A:$B,2,FALSE),"")</f>
        <v/>
      </c>
      <c r="Q506">
        <f>IF(M506="","",ROUND(M506/(N506+10),1))</f>
        <v/>
      </c>
      <c r="R506">
        <f>IF(Q506="","",IF(Q506&gt;=20,"A - Go first",IF(Q506&gt;=5,"B - Next","C - Later")))</f>
        <v/>
      </c>
      <c r="S506" t="inlineStr">
        <is>
          <t>To do</t>
        </is>
      </c>
      <c r="T506" t="inlineStr"/>
    </row>
    <row r="507">
      <c r="A507" t="inlineStr">
        <is>
          <t>rice buyers in uae</t>
        </is>
      </c>
      <c r="B507" t="inlineStr">
        <is>
          <t>Phase 1 - B2B now</t>
        </is>
      </c>
      <c r="C507" t="inlineStr">
        <is>
          <t>Importers / exporters / traders</t>
        </is>
      </c>
      <c r="D507" t="inlineStr">
        <is>
          <t>Importers &amp; Exporters</t>
        </is>
      </c>
      <c r="E507" t="inlineStr">
        <is>
          <t>Secondary (long-tail)</t>
        </is>
      </c>
      <c r="F507" t="inlineStr">
        <is>
          <t>H3 / body paragraph / table row / image alt</t>
        </is>
      </c>
      <c r="G507" t="inlineStr">
        <is>
          <t>Buyers</t>
        </is>
      </c>
      <c r="H507" t="inlineStr">
        <is>
          <t>B2B</t>
        </is>
      </c>
      <c r="I507" t="inlineStr">
        <is>
          <t>Transactional (B2B)</t>
        </is>
      </c>
      <c r="J507" t="inlineStr">
        <is>
          <t>BOFU</t>
        </is>
      </c>
      <c r="K507" t="inlineStr">
        <is>
          <t>UAE</t>
        </is>
      </c>
      <c r="L507" t="inlineStr">
        <is>
          <t>Landing</t>
        </is>
      </c>
      <c r="M507">
        <f>IFERROR(VLOOKUP($A507,'Semrush Import'!$A:$D,2,FALSE),"")</f>
        <v/>
      </c>
      <c r="N507">
        <f>IFERROR(VLOOKUP($A507,'Semrush Import'!$A:$D,3,FALSE),"")</f>
        <v/>
      </c>
      <c r="O507">
        <f>IFERROR(VLOOKUP($A507,'Semrush Import'!$A:$D,4,FALSE),"")</f>
        <v/>
      </c>
      <c r="P507">
        <f>IFERROR(VLOOKUP($A507,'KP Import'!$A:$B,2,FALSE),"")</f>
        <v/>
      </c>
      <c r="Q507">
        <f>IF(M507="","",ROUND(M507/(N507+10),1))</f>
        <v/>
      </c>
      <c r="R507">
        <f>IF(Q507="","",IF(Q507&gt;=20,"A - Go first",IF(Q507&gt;=5,"B - Next","C - Later")))</f>
        <v/>
      </c>
      <c r="S507" t="inlineStr">
        <is>
          <t>To do</t>
        </is>
      </c>
      <c r="T507" t="inlineStr"/>
    </row>
    <row r="508">
      <c r="A508" t="inlineStr">
        <is>
          <t>rice buyers in dubai</t>
        </is>
      </c>
      <c r="B508" t="inlineStr">
        <is>
          <t>Phase 1 - B2B now</t>
        </is>
      </c>
      <c r="C508" t="inlineStr">
        <is>
          <t>Importers / exporters / traders</t>
        </is>
      </c>
      <c r="D508" t="inlineStr">
        <is>
          <t>Importers &amp; Exporters</t>
        </is>
      </c>
      <c r="E508" t="inlineStr">
        <is>
          <t>Secondary (long-tail)</t>
        </is>
      </c>
      <c r="F508" t="inlineStr">
        <is>
          <t>H3 / body paragraph / table row / image alt</t>
        </is>
      </c>
      <c r="G508" t="inlineStr">
        <is>
          <t>Buyers</t>
        </is>
      </c>
      <c r="H508" t="inlineStr">
        <is>
          <t>B2B</t>
        </is>
      </c>
      <c r="I508" t="inlineStr">
        <is>
          <t>Transactional (B2B)</t>
        </is>
      </c>
      <c r="J508" t="inlineStr">
        <is>
          <t>BOFU</t>
        </is>
      </c>
      <c r="K508" t="inlineStr">
        <is>
          <t>Dubai</t>
        </is>
      </c>
      <c r="L508" t="inlineStr">
        <is>
          <t>Landing</t>
        </is>
      </c>
      <c r="M508">
        <f>IFERROR(VLOOKUP($A508,'Semrush Import'!$A:$D,2,FALSE),"")</f>
        <v/>
      </c>
      <c r="N508">
        <f>IFERROR(VLOOKUP($A508,'Semrush Import'!$A:$D,3,FALSE),"")</f>
        <v/>
      </c>
      <c r="O508">
        <f>IFERROR(VLOOKUP($A508,'Semrush Import'!$A:$D,4,FALSE),"")</f>
        <v/>
      </c>
      <c r="P508">
        <f>IFERROR(VLOOKUP($A508,'KP Import'!$A:$B,2,FALSE),"")</f>
        <v/>
      </c>
      <c r="Q508">
        <f>IF(M508="","",ROUND(M508/(N508+10),1))</f>
        <v/>
      </c>
      <c r="R508">
        <f>IF(Q508="","",IF(Q508&gt;=20,"A - Go first",IF(Q508&gt;=5,"B - Next","C - Later")))</f>
        <v/>
      </c>
      <c r="S508" t="inlineStr">
        <is>
          <t>To do</t>
        </is>
      </c>
      <c r="T508" t="inlineStr"/>
    </row>
    <row r="509">
      <c r="A509" t="inlineStr">
        <is>
          <t>rice distributors in uae</t>
        </is>
      </c>
      <c r="B509" t="inlineStr">
        <is>
          <t>Phase 1 - B2B now</t>
        </is>
      </c>
      <c r="C509" t="inlineStr">
        <is>
          <t>Importers / exporters / traders</t>
        </is>
      </c>
      <c r="D509" t="inlineStr">
        <is>
          <t>Importers &amp; Exporters</t>
        </is>
      </c>
      <c r="E509" t="inlineStr">
        <is>
          <t>Secondary (long-tail)</t>
        </is>
      </c>
      <c r="F509" t="inlineStr">
        <is>
          <t>H3 / body paragraph / table row / image alt</t>
        </is>
      </c>
      <c r="G509" t="inlineStr">
        <is>
          <t>Distribution</t>
        </is>
      </c>
      <c r="H509" t="inlineStr">
        <is>
          <t>B2B</t>
        </is>
      </c>
      <c r="I509" t="inlineStr">
        <is>
          <t>Transactional (B2B)</t>
        </is>
      </c>
      <c r="J509" t="inlineStr">
        <is>
          <t>BOFU</t>
        </is>
      </c>
      <c r="K509" t="inlineStr">
        <is>
          <t>UAE</t>
        </is>
      </c>
      <c r="L509" t="inlineStr">
        <is>
          <t>Landing</t>
        </is>
      </c>
      <c r="M509">
        <f>IFERROR(VLOOKUP($A509,'Semrush Import'!$A:$D,2,FALSE),"")</f>
        <v/>
      </c>
      <c r="N509">
        <f>IFERROR(VLOOKUP($A509,'Semrush Import'!$A:$D,3,FALSE),"")</f>
        <v/>
      </c>
      <c r="O509">
        <f>IFERROR(VLOOKUP($A509,'Semrush Import'!$A:$D,4,FALSE),"")</f>
        <v/>
      </c>
      <c r="P509">
        <f>IFERROR(VLOOKUP($A509,'KP Import'!$A:$B,2,FALSE),"")</f>
        <v/>
      </c>
      <c r="Q509">
        <f>IF(M509="","",ROUND(M509/(N509+10),1))</f>
        <v/>
      </c>
      <c r="R509">
        <f>IF(Q509="","",IF(Q509&gt;=20,"A - Go first",IF(Q509&gt;=5,"B - Next","C - Later")))</f>
        <v/>
      </c>
      <c r="S509" t="inlineStr">
        <is>
          <t>To do</t>
        </is>
      </c>
      <c r="T509" t="inlineStr"/>
    </row>
    <row r="510">
      <c r="A510" t="inlineStr">
        <is>
          <t>rice stockist dubai</t>
        </is>
      </c>
      <c r="B510" t="inlineStr">
        <is>
          <t>Phase 1 - B2B now</t>
        </is>
      </c>
      <c r="C510" t="inlineStr">
        <is>
          <t>Importers / exporters / traders</t>
        </is>
      </c>
      <c r="D510" t="inlineStr">
        <is>
          <t>Importers &amp; Exporters</t>
        </is>
      </c>
      <c r="E510" t="inlineStr">
        <is>
          <t>Secondary (short)</t>
        </is>
      </c>
      <c r="F510" t="inlineStr">
        <is>
          <t>H2 heading + 1st paragraph under it</t>
        </is>
      </c>
      <c r="G510" t="inlineStr">
        <is>
          <t>Distribution</t>
        </is>
      </c>
      <c r="H510" t="inlineStr">
        <is>
          <t>B2B</t>
        </is>
      </c>
      <c r="I510" t="inlineStr">
        <is>
          <t>Transactional (B2B)</t>
        </is>
      </c>
      <c r="J510" t="inlineStr">
        <is>
          <t>BOFU</t>
        </is>
      </c>
      <c r="K510" t="inlineStr">
        <is>
          <t>Dubai</t>
        </is>
      </c>
      <c r="L510" t="inlineStr">
        <is>
          <t>Landing</t>
        </is>
      </c>
      <c r="M510">
        <f>IFERROR(VLOOKUP($A510,'Semrush Import'!$A:$D,2,FALSE),"")</f>
        <v/>
      </c>
      <c r="N510">
        <f>IFERROR(VLOOKUP($A510,'Semrush Import'!$A:$D,3,FALSE),"")</f>
        <v/>
      </c>
      <c r="O510">
        <f>IFERROR(VLOOKUP($A510,'Semrush Import'!$A:$D,4,FALSE),"")</f>
        <v/>
      </c>
      <c r="P510">
        <f>IFERROR(VLOOKUP($A510,'KP Import'!$A:$B,2,FALSE),"")</f>
        <v/>
      </c>
      <c r="Q510">
        <f>IF(M510="","",ROUND(M510/(N510+10),1))</f>
        <v/>
      </c>
      <c r="R510">
        <f>IF(Q510="","",IF(Q510&gt;=20,"A - Go first",IF(Q510&gt;=5,"B - Next","C - Later")))</f>
        <v/>
      </c>
      <c r="S510" t="inlineStr">
        <is>
          <t>To do</t>
        </is>
      </c>
      <c r="T510" t="inlineStr"/>
    </row>
    <row r="511">
      <c r="A511" t="inlineStr">
        <is>
          <t>rice fob price</t>
        </is>
      </c>
      <c r="B511" t="inlineStr">
        <is>
          <t>Phase 1 - B2B now</t>
        </is>
      </c>
      <c r="C511" t="inlineStr">
        <is>
          <t>Importers / exporters / traders</t>
        </is>
      </c>
      <c r="D511" t="inlineStr">
        <is>
          <t>Price per ton (RFQ)</t>
        </is>
      </c>
      <c r="E511" t="inlineStr">
        <is>
          <t>Secondary (short)</t>
        </is>
      </c>
      <c r="F511" t="inlineStr">
        <is>
          <t>H2 heading + 1st paragraph under it</t>
        </is>
      </c>
      <c r="G511" t="inlineStr">
        <is>
          <t>Trade terms</t>
        </is>
      </c>
      <c r="H511" t="inlineStr">
        <is>
          <t>B2B</t>
        </is>
      </c>
      <c r="I511" t="inlineStr">
        <is>
          <t>Transactional (B2B)</t>
        </is>
      </c>
      <c r="J511" t="inlineStr">
        <is>
          <t>MOFU</t>
        </is>
      </c>
      <c r="K511" t="inlineStr">
        <is>
          <t>Global/International</t>
        </is>
      </c>
      <c r="L511" t="inlineStr">
        <is>
          <t>Landing</t>
        </is>
      </c>
      <c r="M511">
        <f>IFERROR(VLOOKUP($A511,'Semrush Import'!$A:$D,2,FALSE),"")</f>
        <v/>
      </c>
      <c r="N511">
        <f>IFERROR(VLOOKUP($A511,'Semrush Import'!$A:$D,3,FALSE),"")</f>
        <v/>
      </c>
      <c r="O511">
        <f>IFERROR(VLOOKUP($A511,'Semrush Import'!$A:$D,4,FALSE),"")</f>
        <v/>
      </c>
      <c r="P511">
        <f>IFERROR(VLOOKUP($A511,'KP Import'!$A:$B,2,FALSE),"")</f>
        <v/>
      </c>
      <c r="Q511">
        <f>IF(M511="","",ROUND(M511/(N511+10),1))</f>
        <v/>
      </c>
      <c r="R511">
        <f>IF(Q511="","",IF(Q511&gt;=20,"A - Go first",IF(Q511&gt;=5,"B - Next","C - Later")))</f>
        <v/>
      </c>
      <c r="S511" t="inlineStr">
        <is>
          <t>To do</t>
        </is>
      </c>
      <c r="T511" t="inlineStr"/>
    </row>
    <row r="512">
      <c r="A512" t="inlineStr">
        <is>
          <t>rice cif dubai</t>
        </is>
      </c>
      <c r="B512" t="inlineStr">
        <is>
          <t>Phase 1 - B2B now</t>
        </is>
      </c>
      <c r="C512" t="inlineStr">
        <is>
          <t>Importers / exporters / traders</t>
        </is>
      </c>
      <c r="D512" t="inlineStr">
        <is>
          <t>Price per ton (RFQ)</t>
        </is>
      </c>
      <c r="E512" t="inlineStr">
        <is>
          <t>Secondary (short)</t>
        </is>
      </c>
      <c r="F512" t="inlineStr">
        <is>
          <t>H2 heading + 1st paragraph under it</t>
        </is>
      </c>
      <c r="G512" t="inlineStr">
        <is>
          <t>Trade terms</t>
        </is>
      </c>
      <c r="H512" t="inlineStr">
        <is>
          <t>B2B</t>
        </is>
      </c>
      <c r="I512" t="inlineStr">
        <is>
          <t>Transactional (B2B)</t>
        </is>
      </c>
      <c r="J512" t="inlineStr">
        <is>
          <t>MOFU</t>
        </is>
      </c>
      <c r="K512" t="inlineStr">
        <is>
          <t>Dubai</t>
        </is>
      </c>
      <c r="L512" t="inlineStr">
        <is>
          <t>Landing</t>
        </is>
      </c>
      <c r="M512">
        <f>IFERROR(VLOOKUP($A512,'Semrush Import'!$A:$D,2,FALSE),"")</f>
        <v/>
      </c>
      <c r="N512">
        <f>IFERROR(VLOOKUP($A512,'Semrush Import'!$A:$D,3,FALSE),"")</f>
        <v/>
      </c>
      <c r="O512">
        <f>IFERROR(VLOOKUP($A512,'Semrush Import'!$A:$D,4,FALSE),"")</f>
        <v/>
      </c>
      <c r="P512">
        <f>IFERROR(VLOOKUP($A512,'KP Import'!$A:$B,2,FALSE),"")</f>
        <v/>
      </c>
      <c r="Q512">
        <f>IF(M512="","",ROUND(M512/(N512+10),1))</f>
        <v/>
      </c>
      <c r="R512">
        <f>IF(Q512="","",IF(Q512&gt;=20,"A - Go first",IF(Q512&gt;=5,"B - Next","C - Later")))</f>
        <v/>
      </c>
      <c r="S512" t="inlineStr">
        <is>
          <t>To do</t>
        </is>
      </c>
      <c r="T512" t="inlineStr"/>
    </row>
    <row r="513">
      <c r="A513" t="inlineStr">
        <is>
          <t>rice cif jebel ali</t>
        </is>
      </c>
      <c r="B513" t="inlineStr">
        <is>
          <t>Phase 1 - B2B now</t>
        </is>
      </c>
      <c r="C513" t="inlineStr">
        <is>
          <t>Importers / exporters / traders</t>
        </is>
      </c>
      <c r="D513" t="inlineStr">
        <is>
          <t>Price per ton (RFQ)</t>
        </is>
      </c>
      <c r="E513" t="inlineStr">
        <is>
          <t>Secondary (long-tail)</t>
        </is>
      </c>
      <c r="F513" t="inlineStr">
        <is>
          <t>H3 / body paragraph / table row / image alt</t>
        </is>
      </c>
      <c r="G513" t="inlineStr">
        <is>
          <t>Trade terms</t>
        </is>
      </c>
      <c r="H513" t="inlineStr">
        <is>
          <t>B2B</t>
        </is>
      </c>
      <c r="I513" t="inlineStr">
        <is>
          <t>Transactional (B2B)</t>
        </is>
      </c>
      <c r="J513" t="inlineStr">
        <is>
          <t>MOFU</t>
        </is>
      </c>
      <c r="K513" t="inlineStr">
        <is>
          <t>Dubai</t>
        </is>
      </c>
      <c r="L513" t="inlineStr">
        <is>
          <t>Landing</t>
        </is>
      </c>
      <c r="M513">
        <f>IFERROR(VLOOKUP($A513,'Semrush Import'!$A:$D,2,FALSE),"")</f>
        <v/>
      </c>
      <c r="N513">
        <f>IFERROR(VLOOKUP($A513,'Semrush Import'!$A:$D,3,FALSE),"")</f>
        <v/>
      </c>
      <c r="O513">
        <f>IFERROR(VLOOKUP($A513,'Semrush Import'!$A:$D,4,FALSE),"")</f>
        <v/>
      </c>
      <c r="P513">
        <f>IFERROR(VLOOKUP($A513,'KP Import'!$A:$B,2,FALSE),"")</f>
        <v/>
      </c>
      <c r="Q513">
        <f>IF(M513="","",ROUND(M513/(N513+10),1))</f>
        <v/>
      </c>
      <c r="R513">
        <f>IF(Q513="","",IF(Q513&gt;=20,"A - Go first",IF(Q513&gt;=5,"B - Next","C - Later")))</f>
        <v/>
      </c>
      <c r="S513" t="inlineStr">
        <is>
          <t>To do</t>
        </is>
      </c>
      <c r="T513" t="inlineStr"/>
    </row>
    <row r="514">
      <c r="A514" t="inlineStr">
        <is>
          <t>basmati rice fob price</t>
        </is>
      </c>
      <c r="B514" t="inlineStr">
        <is>
          <t>Phase 1 - B2B now</t>
        </is>
      </c>
      <c r="C514" t="inlineStr">
        <is>
          <t>Importers / exporters / traders</t>
        </is>
      </c>
      <c r="D514" t="inlineStr">
        <is>
          <t>Price per ton (RFQ)</t>
        </is>
      </c>
      <c r="E514" t="inlineStr">
        <is>
          <t>Secondary (long-tail)</t>
        </is>
      </c>
      <c r="F514" t="inlineStr">
        <is>
          <t>H3 / body paragraph / table row / image alt</t>
        </is>
      </c>
      <c r="G514" t="inlineStr">
        <is>
          <t>Trade terms</t>
        </is>
      </c>
      <c r="H514" t="inlineStr">
        <is>
          <t>B2B</t>
        </is>
      </c>
      <c r="I514" t="inlineStr">
        <is>
          <t>Transactional (B2B)</t>
        </is>
      </c>
      <c r="J514" t="inlineStr">
        <is>
          <t>MOFU</t>
        </is>
      </c>
      <c r="K514" t="inlineStr">
        <is>
          <t>Global/International</t>
        </is>
      </c>
      <c r="L514" t="inlineStr">
        <is>
          <t>Landing</t>
        </is>
      </c>
      <c r="M514">
        <f>IFERROR(VLOOKUP($A514,'Semrush Import'!$A:$D,2,FALSE),"")</f>
        <v/>
      </c>
      <c r="N514">
        <f>IFERROR(VLOOKUP($A514,'Semrush Import'!$A:$D,3,FALSE),"")</f>
        <v/>
      </c>
      <c r="O514">
        <f>IFERROR(VLOOKUP($A514,'Semrush Import'!$A:$D,4,FALSE),"")</f>
        <v/>
      </c>
      <c r="P514">
        <f>IFERROR(VLOOKUP($A514,'KP Import'!$A:$B,2,FALSE),"")</f>
        <v/>
      </c>
      <c r="Q514">
        <f>IF(M514="","",ROUND(M514/(N514+10),1))</f>
        <v/>
      </c>
      <c r="R514">
        <f>IF(Q514="","",IF(Q514&gt;=20,"A - Go first",IF(Q514&gt;=5,"B - Next","C - Later")))</f>
        <v/>
      </c>
      <c r="S514" t="inlineStr">
        <is>
          <t>To do</t>
        </is>
      </c>
      <c r="T514" t="inlineStr"/>
    </row>
    <row r="515">
      <c r="A515" t="inlineStr">
        <is>
          <t>rice price per ton</t>
        </is>
      </c>
      <c r="B515" t="inlineStr">
        <is>
          <t>Phase 1 - B2B now</t>
        </is>
      </c>
      <c r="C515" t="inlineStr">
        <is>
          <t>Importers / exporters / traders</t>
        </is>
      </c>
      <c r="D515" t="inlineStr">
        <is>
          <t>Price per ton (RFQ)</t>
        </is>
      </c>
      <c r="E515" t="inlineStr">
        <is>
          <t>PRIMARY</t>
        </is>
      </c>
      <c r="F515" t="inlineStr">
        <is>
          <t>URL slug + SEO title + H1 + meta description + first 100 words</t>
        </is>
      </c>
      <c r="G515" t="inlineStr">
        <is>
          <t>Trade terms</t>
        </is>
      </c>
      <c r="H515" t="inlineStr">
        <is>
          <t>B2B</t>
        </is>
      </c>
      <c r="I515" t="inlineStr">
        <is>
          <t>Transactional (B2B)</t>
        </is>
      </c>
      <c r="J515" t="inlineStr">
        <is>
          <t>MOFU</t>
        </is>
      </c>
      <c r="K515" t="inlineStr">
        <is>
          <t>Global/International</t>
        </is>
      </c>
      <c r="L515" t="inlineStr">
        <is>
          <t>Landing</t>
        </is>
      </c>
      <c r="M515">
        <f>IFERROR(VLOOKUP($A515,'Semrush Import'!$A:$D,2,FALSE),"")</f>
        <v/>
      </c>
      <c r="N515">
        <f>IFERROR(VLOOKUP($A515,'Semrush Import'!$A:$D,3,FALSE),"")</f>
        <v/>
      </c>
      <c r="O515">
        <f>IFERROR(VLOOKUP($A515,'Semrush Import'!$A:$D,4,FALSE),"")</f>
        <v/>
      </c>
      <c r="P515">
        <f>IFERROR(VLOOKUP($A515,'KP Import'!$A:$B,2,FALSE),"")</f>
        <v/>
      </c>
      <c r="Q515">
        <f>IF(M515="","",ROUND(M515/(N515+10),1))</f>
        <v/>
      </c>
      <c r="R515">
        <f>IF(Q515="","",IF(Q515&gt;=20,"A - Go first",IF(Q515&gt;=5,"B - Next","C - Later")))</f>
        <v/>
      </c>
      <c r="S515" t="inlineStr">
        <is>
          <t>To do</t>
        </is>
      </c>
      <c r="T515" t="inlineStr"/>
    </row>
    <row r="516">
      <c r="A516" t="inlineStr">
        <is>
          <t>rice price per ton in dubai</t>
        </is>
      </c>
      <c r="B516" t="inlineStr">
        <is>
          <t>Phase 1 - B2B now</t>
        </is>
      </c>
      <c r="C516" t="inlineStr">
        <is>
          <t>Importers / exporters / traders</t>
        </is>
      </c>
      <c r="D516" t="inlineStr">
        <is>
          <t>Price per ton (RFQ)</t>
        </is>
      </c>
      <c r="E516" t="inlineStr">
        <is>
          <t>Secondary (long-tail)</t>
        </is>
      </c>
      <c r="F516" t="inlineStr">
        <is>
          <t>H3 / body paragraph / table row / image alt</t>
        </is>
      </c>
      <c r="G516" t="inlineStr">
        <is>
          <t>Trade terms</t>
        </is>
      </c>
      <c r="H516" t="inlineStr">
        <is>
          <t>B2B</t>
        </is>
      </c>
      <c r="I516" t="inlineStr">
        <is>
          <t>Transactional (B2B)</t>
        </is>
      </c>
      <c r="J516" t="inlineStr">
        <is>
          <t>MOFU</t>
        </is>
      </c>
      <c r="K516" t="inlineStr">
        <is>
          <t>Dubai</t>
        </is>
      </c>
      <c r="L516" t="inlineStr">
        <is>
          <t>Landing</t>
        </is>
      </c>
      <c r="M516">
        <f>IFERROR(VLOOKUP($A516,'Semrush Import'!$A:$D,2,FALSE),"")</f>
        <v/>
      </c>
      <c r="N516">
        <f>IFERROR(VLOOKUP($A516,'Semrush Import'!$A:$D,3,FALSE),"")</f>
        <v/>
      </c>
      <c r="O516">
        <f>IFERROR(VLOOKUP($A516,'Semrush Import'!$A:$D,4,FALSE),"")</f>
        <v/>
      </c>
      <c r="P516">
        <f>IFERROR(VLOOKUP($A516,'KP Import'!$A:$B,2,FALSE),"")</f>
        <v/>
      </c>
      <c r="Q516">
        <f>IF(M516="","",ROUND(M516/(N516+10),1))</f>
        <v/>
      </c>
      <c r="R516">
        <f>IF(Q516="","",IF(Q516&gt;=20,"A - Go first",IF(Q516&gt;=5,"B - Next","C - Later")))</f>
        <v/>
      </c>
      <c r="S516" t="inlineStr">
        <is>
          <t>To do</t>
        </is>
      </c>
      <c r="T516" t="inlineStr"/>
    </row>
    <row r="517">
      <c r="A517" t="inlineStr">
        <is>
          <t>basmati rice price per ton</t>
        </is>
      </c>
      <c r="B517" t="inlineStr">
        <is>
          <t>Phase 1 - B2B now</t>
        </is>
      </c>
      <c r="C517" t="inlineStr">
        <is>
          <t>Importers / exporters / traders</t>
        </is>
      </c>
      <c r="D517" t="inlineStr">
        <is>
          <t>Price per ton (RFQ)</t>
        </is>
      </c>
      <c r="E517" t="inlineStr">
        <is>
          <t>Secondary (long-tail)</t>
        </is>
      </c>
      <c r="F517" t="inlineStr">
        <is>
          <t>H3 / body paragraph / table row / image alt</t>
        </is>
      </c>
      <c r="G517" t="inlineStr">
        <is>
          <t>Trade terms</t>
        </is>
      </c>
      <c r="H517" t="inlineStr">
        <is>
          <t>B2B</t>
        </is>
      </c>
      <c r="I517" t="inlineStr">
        <is>
          <t>Transactional (B2B)</t>
        </is>
      </c>
      <c r="J517" t="inlineStr">
        <is>
          <t>MOFU</t>
        </is>
      </c>
      <c r="K517" t="inlineStr">
        <is>
          <t>Global/International</t>
        </is>
      </c>
      <c r="L517" t="inlineStr">
        <is>
          <t>Landing</t>
        </is>
      </c>
      <c r="M517">
        <f>IFERROR(VLOOKUP($A517,'Semrush Import'!$A:$D,2,FALSE),"")</f>
        <v/>
      </c>
      <c r="N517">
        <f>IFERROR(VLOOKUP($A517,'Semrush Import'!$A:$D,3,FALSE),"")</f>
        <v/>
      </c>
      <c r="O517">
        <f>IFERROR(VLOOKUP($A517,'Semrush Import'!$A:$D,4,FALSE),"")</f>
        <v/>
      </c>
      <c r="P517">
        <f>IFERROR(VLOOKUP($A517,'KP Import'!$A:$B,2,FALSE),"")</f>
        <v/>
      </c>
      <c r="Q517">
        <f>IF(M517="","",ROUND(M517/(N517+10),1))</f>
        <v/>
      </c>
      <c r="R517">
        <f>IF(Q517="","",IF(Q517&gt;=20,"A - Go first",IF(Q517&gt;=5,"B - Next","C - Later")))</f>
        <v/>
      </c>
      <c r="S517" t="inlineStr">
        <is>
          <t>To do</t>
        </is>
      </c>
      <c r="T517" t="inlineStr"/>
    </row>
    <row r="518">
      <c r="A518" t="inlineStr">
        <is>
          <t>1121 basmati rice price per ton</t>
        </is>
      </c>
      <c r="B518" t="inlineStr">
        <is>
          <t>Phase 1 - B2B now</t>
        </is>
      </c>
      <c r="C518" t="inlineStr">
        <is>
          <t>Importers / exporters / traders</t>
        </is>
      </c>
      <c r="D518" t="inlineStr">
        <is>
          <t>Price per ton (RFQ)</t>
        </is>
      </c>
      <c r="E518" t="inlineStr">
        <is>
          <t>Secondary (long-tail)</t>
        </is>
      </c>
      <c r="F518" t="inlineStr">
        <is>
          <t>H3 / body paragraph / table row / image alt</t>
        </is>
      </c>
      <c r="G518" t="inlineStr">
        <is>
          <t>Trade terms</t>
        </is>
      </c>
      <c r="H518" t="inlineStr">
        <is>
          <t>B2B</t>
        </is>
      </c>
      <c r="I518" t="inlineStr">
        <is>
          <t>Transactional (B2B)</t>
        </is>
      </c>
      <c r="J518" t="inlineStr">
        <is>
          <t>MOFU</t>
        </is>
      </c>
      <c r="K518" t="inlineStr">
        <is>
          <t>Global/International</t>
        </is>
      </c>
      <c r="L518" t="inlineStr">
        <is>
          <t>Landing</t>
        </is>
      </c>
      <c r="M518">
        <f>IFERROR(VLOOKUP($A518,'Semrush Import'!$A:$D,2,FALSE),"")</f>
        <v/>
      </c>
      <c r="N518">
        <f>IFERROR(VLOOKUP($A518,'Semrush Import'!$A:$D,3,FALSE),"")</f>
        <v/>
      </c>
      <c r="O518">
        <f>IFERROR(VLOOKUP($A518,'Semrush Import'!$A:$D,4,FALSE),"")</f>
        <v/>
      </c>
      <c r="P518">
        <f>IFERROR(VLOOKUP($A518,'KP Import'!$A:$B,2,FALSE),"")</f>
        <v/>
      </c>
      <c r="Q518">
        <f>IF(M518="","",ROUND(M518/(N518+10),1))</f>
        <v/>
      </c>
      <c r="R518">
        <f>IF(Q518="","",IF(Q518&gt;=20,"A - Go first",IF(Q518&gt;=5,"B - Next","C - Later")))</f>
        <v/>
      </c>
      <c r="S518" t="inlineStr">
        <is>
          <t>To do</t>
        </is>
      </c>
      <c r="T518" t="inlineStr"/>
    </row>
    <row r="519">
      <c r="A519" t="inlineStr">
        <is>
          <t>rice moq</t>
        </is>
      </c>
      <c r="B519" t="inlineStr">
        <is>
          <t>Phase 1 - B2B now</t>
        </is>
      </c>
      <c r="C519" t="inlineStr">
        <is>
          <t>Importers / exporters / traders</t>
        </is>
      </c>
      <c r="D519" t="inlineStr">
        <is>
          <t>Price per ton (RFQ)</t>
        </is>
      </c>
      <c r="E519" t="inlineStr">
        <is>
          <t>Secondary (FAQ type)</t>
        </is>
      </c>
      <c r="F519" t="inlineStr">
        <is>
          <t>FAQ question + answer (FAQPage schema)</t>
        </is>
      </c>
      <c r="G519" t="inlineStr">
        <is>
          <t>Trade terms</t>
        </is>
      </c>
      <c r="H519" t="inlineStr">
        <is>
          <t>B2B</t>
        </is>
      </c>
      <c r="I519" t="inlineStr">
        <is>
          <t>Transactional (B2B)</t>
        </is>
      </c>
      <c r="J519" t="inlineStr">
        <is>
          <t>MOFU</t>
        </is>
      </c>
      <c r="K519" t="inlineStr">
        <is>
          <t>Global/International</t>
        </is>
      </c>
      <c r="L519" t="inlineStr">
        <is>
          <t>Landing</t>
        </is>
      </c>
      <c r="M519">
        <f>IFERROR(VLOOKUP($A519,'Semrush Import'!$A:$D,2,FALSE),"")</f>
        <v/>
      </c>
      <c r="N519">
        <f>IFERROR(VLOOKUP($A519,'Semrush Import'!$A:$D,3,FALSE),"")</f>
        <v/>
      </c>
      <c r="O519">
        <f>IFERROR(VLOOKUP($A519,'Semrush Import'!$A:$D,4,FALSE),"")</f>
        <v/>
      </c>
      <c r="P519">
        <f>IFERROR(VLOOKUP($A519,'KP Import'!$A:$B,2,FALSE),"")</f>
        <v/>
      </c>
      <c r="Q519">
        <f>IF(M519="","",ROUND(M519/(N519+10),1))</f>
        <v/>
      </c>
      <c r="R519">
        <f>IF(Q519="","",IF(Q519&gt;=20,"A - Go first",IF(Q519&gt;=5,"B - Next","C - Later")))</f>
        <v/>
      </c>
      <c r="S519" t="inlineStr">
        <is>
          <t>To do</t>
        </is>
      </c>
      <c r="T519" t="inlineStr"/>
    </row>
    <row r="520">
      <c r="A520" t="inlineStr">
        <is>
          <t>rice hs code</t>
        </is>
      </c>
      <c r="B520" t="inlineStr">
        <is>
          <t>Phase 1 - B2B now</t>
        </is>
      </c>
      <c r="C520" t="inlineStr">
        <is>
          <t>Importers / exporters / traders</t>
        </is>
      </c>
      <c r="D520" t="inlineStr">
        <is>
          <t>Price per ton (RFQ)</t>
        </is>
      </c>
      <c r="E520" t="inlineStr">
        <is>
          <t>Secondary (short)</t>
        </is>
      </c>
      <c r="F520" t="inlineStr">
        <is>
          <t>H2 heading + 1st paragraph under it</t>
        </is>
      </c>
      <c r="G520" t="inlineStr">
        <is>
          <t>Trade terms</t>
        </is>
      </c>
      <c r="H520" t="inlineStr">
        <is>
          <t>B2B</t>
        </is>
      </c>
      <c r="I520" t="inlineStr">
        <is>
          <t>Transactional (B2B)</t>
        </is>
      </c>
      <c r="J520" t="inlineStr">
        <is>
          <t>MOFU</t>
        </is>
      </c>
      <c r="K520" t="inlineStr">
        <is>
          <t>Global/International</t>
        </is>
      </c>
      <c r="L520" t="inlineStr">
        <is>
          <t>Landing</t>
        </is>
      </c>
      <c r="M520">
        <f>IFERROR(VLOOKUP($A520,'Semrush Import'!$A:$D,2,FALSE),"")</f>
        <v/>
      </c>
      <c r="N520">
        <f>IFERROR(VLOOKUP($A520,'Semrush Import'!$A:$D,3,FALSE),"")</f>
        <v/>
      </c>
      <c r="O520">
        <f>IFERROR(VLOOKUP($A520,'Semrush Import'!$A:$D,4,FALSE),"")</f>
        <v/>
      </c>
      <c r="P520">
        <f>IFERROR(VLOOKUP($A520,'KP Import'!$A:$B,2,FALSE),"")</f>
        <v/>
      </c>
      <c r="Q520">
        <f>IF(M520="","",ROUND(M520/(N520+10),1))</f>
        <v/>
      </c>
      <c r="R520">
        <f>IF(Q520="","",IF(Q520&gt;=20,"A - Go first",IF(Q520&gt;=5,"B - Next","C - Later")))</f>
        <v/>
      </c>
      <c r="S520" t="inlineStr">
        <is>
          <t>To do</t>
        </is>
      </c>
      <c r="T520" t="inlineStr"/>
    </row>
    <row r="521">
      <c r="A521" t="inlineStr">
        <is>
          <t>basmati rice hs code</t>
        </is>
      </c>
      <c r="B521" t="inlineStr">
        <is>
          <t>Phase 1 - B2B now</t>
        </is>
      </c>
      <c r="C521" t="inlineStr">
        <is>
          <t>Importers / exporters / traders</t>
        </is>
      </c>
      <c r="D521" t="inlineStr">
        <is>
          <t>Price per ton (RFQ)</t>
        </is>
      </c>
      <c r="E521" t="inlineStr">
        <is>
          <t>Secondary (long-tail)</t>
        </is>
      </c>
      <c r="F521" t="inlineStr">
        <is>
          <t>H3 / body paragraph / table row / image alt</t>
        </is>
      </c>
      <c r="G521" t="inlineStr">
        <is>
          <t>Trade terms</t>
        </is>
      </c>
      <c r="H521" t="inlineStr">
        <is>
          <t>B2B</t>
        </is>
      </c>
      <c r="I521" t="inlineStr">
        <is>
          <t>Transactional (B2B)</t>
        </is>
      </c>
      <c r="J521" t="inlineStr">
        <is>
          <t>MOFU</t>
        </is>
      </c>
      <c r="K521" t="inlineStr">
        <is>
          <t>Global/International</t>
        </is>
      </c>
      <c r="L521" t="inlineStr">
        <is>
          <t>Landing</t>
        </is>
      </c>
      <c r="M521">
        <f>IFERROR(VLOOKUP($A521,'Semrush Import'!$A:$D,2,FALSE),"")</f>
        <v/>
      </c>
      <c r="N521">
        <f>IFERROR(VLOOKUP($A521,'Semrush Import'!$A:$D,3,FALSE),"")</f>
        <v/>
      </c>
      <c r="O521">
        <f>IFERROR(VLOOKUP($A521,'Semrush Import'!$A:$D,4,FALSE),"")</f>
        <v/>
      </c>
      <c r="P521">
        <f>IFERROR(VLOOKUP($A521,'KP Import'!$A:$B,2,FALSE),"")</f>
        <v/>
      </c>
      <c r="Q521">
        <f>IF(M521="","",ROUND(M521/(N521+10),1))</f>
        <v/>
      </c>
      <c r="R521">
        <f>IF(Q521="","",IF(Q521&gt;=20,"A - Go first",IF(Q521&gt;=5,"B - Next","C - Later")))</f>
        <v/>
      </c>
      <c r="S521" t="inlineStr">
        <is>
          <t>To do</t>
        </is>
      </c>
      <c r="T521" t="inlineStr"/>
    </row>
    <row r="522">
      <c r="A522" t="inlineStr">
        <is>
          <t>rice 20ft container price</t>
        </is>
      </c>
      <c r="B522" t="inlineStr">
        <is>
          <t>Phase 1 - B2B now</t>
        </is>
      </c>
      <c r="C522" t="inlineStr">
        <is>
          <t>Importers / exporters / traders</t>
        </is>
      </c>
      <c r="D522" t="inlineStr">
        <is>
          <t>Price per ton (RFQ)</t>
        </is>
      </c>
      <c r="E522" t="inlineStr">
        <is>
          <t>Secondary (long-tail)</t>
        </is>
      </c>
      <c r="F522" t="inlineStr">
        <is>
          <t>H3 / body paragraph / table row / image alt</t>
        </is>
      </c>
      <c r="G522" t="inlineStr">
        <is>
          <t>Trade terms</t>
        </is>
      </c>
      <c r="H522" t="inlineStr">
        <is>
          <t>B2B</t>
        </is>
      </c>
      <c r="I522" t="inlineStr">
        <is>
          <t>Transactional (B2B)</t>
        </is>
      </c>
      <c r="J522" t="inlineStr">
        <is>
          <t>MOFU</t>
        </is>
      </c>
      <c r="K522" t="inlineStr">
        <is>
          <t>Global/International</t>
        </is>
      </c>
      <c r="L522" t="inlineStr">
        <is>
          <t>Landing</t>
        </is>
      </c>
      <c r="M522">
        <f>IFERROR(VLOOKUP($A522,'Semrush Import'!$A:$D,2,FALSE),"")</f>
        <v/>
      </c>
      <c r="N522">
        <f>IFERROR(VLOOKUP($A522,'Semrush Import'!$A:$D,3,FALSE),"")</f>
        <v/>
      </c>
      <c r="O522">
        <f>IFERROR(VLOOKUP($A522,'Semrush Import'!$A:$D,4,FALSE),"")</f>
        <v/>
      </c>
      <c r="P522">
        <f>IFERROR(VLOOKUP($A522,'KP Import'!$A:$B,2,FALSE),"")</f>
        <v/>
      </c>
      <c r="Q522">
        <f>IF(M522="","",ROUND(M522/(N522+10),1))</f>
        <v/>
      </c>
      <c r="R522">
        <f>IF(Q522="","",IF(Q522&gt;=20,"A - Go first",IF(Q522&gt;=5,"B - Next","C - Later")))</f>
        <v/>
      </c>
      <c r="S522" t="inlineStr">
        <is>
          <t>To do</t>
        </is>
      </c>
      <c r="T522" t="inlineStr"/>
    </row>
    <row r="523">
      <c r="A523" t="inlineStr">
        <is>
          <t>rice 40ft container load</t>
        </is>
      </c>
      <c r="B523" t="inlineStr">
        <is>
          <t>Phase 1 - B2B now</t>
        </is>
      </c>
      <c r="C523" t="inlineStr">
        <is>
          <t>Importers / exporters / traders</t>
        </is>
      </c>
      <c r="D523" t="inlineStr">
        <is>
          <t>Price per ton (RFQ)</t>
        </is>
      </c>
      <c r="E523" t="inlineStr">
        <is>
          <t>Secondary (long-tail)</t>
        </is>
      </c>
      <c r="F523" t="inlineStr">
        <is>
          <t>H3 / body paragraph / table row / image alt</t>
        </is>
      </c>
      <c r="G523" t="inlineStr">
        <is>
          <t>Trade terms</t>
        </is>
      </c>
      <c r="H523" t="inlineStr">
        <is>
          <t>B2B</t>
        </is>
      </c>
      <c r="I523" t="inlineStr">
        <is>
          <t>Transactional (B2B)</t>
        </is>
      </c>
      <c r="J523" t="inlineStr">
        <is>
          <t>MOFU</t>
        </is>
      </c>
      <c r="K523" t="inlineStr">
        <is>
          <t>Global/International</t>
        </is>
      </c>
      <c r="L523" t="inlineStr">
        <is>
          <t>Landing</t>
        </is>
      </c>
      <c r="M523">
        <f>IFERROR(VLOOKUP($A523,'Semrush Import'!$A:$D,2,FALSE),"")</f>
        <v/>
      </c>
      <c r="N523">
        <f>IFERROR(VLOOKUP($A523,'Semrush Import'!$A:$D,3,FALSE),"")</f>
        <v/>
      </c>
      <c r="O523">
        <f>IFERROR(VLOOKUP($A523,'Semrush Import'!$A:$D,4,FALSE),"")</f>
        <v/>
      </c>
      <c r="P523">
        <f>IFERROR(VLOOKUP($A523,'KP Import'!$A:$B,2,FALSE),"")</f>
        <v/>
      </c>
      <c r="Q523">
        <f>IF(M523="","",ROUND(M523/(N523+10),1))</f>
        <v/>
      </c>
      <c r="R523">
        <f>IF(Q523="","",IF(Q523&gt;=20,"A - Go first",IF(Q523&gt;=5,"B - Next","C - Later")))</f>
        <v/>
      </c>
      <c r="S523" t="inlineStr">
        <is>
          <t>To do</t>
        </is>
      </c>
      <c r="T523" t="inlineStr"/>
    </row>
    <row r="524">
      <c r="A524" t="inlineStr">
        <is>
          <t>rice container shipping to dubai</t>
        </is>
      </c>
      <c r="B524" t="inlineStr">
        <is>
          <t>Phase 1 - B2B now</t>
        </is>
      </c>
      <c r="C524" t="inlineStr">
        <is>
          <t>Importers / exporters / traders</t>
        </is>
      </c>
      <c r="D524" t="inlineStr">
        <is>
          <t>Price per ton (RFQ)</t>
        </is>
      </c>
      <c r="E524" t="inlineStr">
        <is>
          <t>Secondary (long-tail)</t>
        </is>
      </c>
      <c r="F524" t="inlineStr">
        <is>
          <t>H3 / body paragraph / table row / image alt</t>
        </is>
      </c>
      <c r="G524" t="inlineStr">
        <is>
          <t>Trade terms</t>
        </is>
      </c>
      <c r="H524" t="inlineStr">
        <is>
          <t>B2B</t>
        </is>
      </c>
      <c r="I524" t="inlineStr">
        <is>
          <t>Transactional (B2B)</t>
        </is>
      </c>
      <c r="J524" t="inlineStr">
        <is>
          <t>MOFU</t>
        </is>
      </c>
      <c r="K524" t="inlineStr">
        <is>
          <t>Dubai</t>
        </is>
      </c>
      <c r="L524" t="inlineStr">
        <is>
          <t>Landing</t>
        </is>
      </c>
      <c r="M524">
        <f>IFERROR(VLOOKUP($A524,'Semrush Import'!$A:$D,2,FALSE),"")</f>
        <v/>
      </c>
      <c r="N524">
        <f>IFERROR(VLOOKUP($A524,'Semrush Import'!$A:$D,3,FALSE),"")</f>
        <v/>
      </c>
      <c r="O524">
        <f>IFERROR(VLOOKUP($A524,'Semrush Import'!$A:$D,4,FALSE),"")</f>
        <v/>
      </c>
      <c r="P524">
        <f>IFERROR(VLOOKUP($A524,'KP Import'!$A:$B,2,FALSE),"")</f>
        <v/>
      </c>
      <c r="Q524">
        <f>IF(M524="","",ROUND(M524/(N524+10),1))</f>
        <v/>
      </c>
      <c r="R524">
        <f>IF(Q524="","",IF(Q524&gt;=20,"A - Go first",IF(Q524&gt;=5,"B - Next","C - Later")))</f>
        <v/>
      </c>
      <c r="S524" t="inlineStr">
        <is>
          <t>To do</t>
        </is>
      </c>
      <c r="T524" t="inlineStr"/>
    </row>
    <row r="525">
      <c r="A525" t="inlineStr">
        <is>
          <t>rice import documents uae</t>
        </is>
      </c>
      <c r="B525" t="inlineStr">
        <is>
          <t>Phase 1 - B2B now</t>
        </is>
      </c>
      <c r="C525" t="inlineStr">
        <is>
          <t>Importers / exporters / traders</t>
        </is>
      </c>
      <c r="D525" t="inlineStr">
        <is>
          <t>Price per ton (RFQ)</t>
        </is>
      </c>
      <c r="E525" t="inlineStr">
        <is>
          <t>Secondary (long-tail)</t>
        </is>
      </c>
      <c r="F525" t="inlineStr">
        <is>
          <t>H3 / body paragraph / table row / image alt</t>
        </is>
      </c>
      <c r="G525" t="inlineStr">
        <is>
          <t>Trade terms</t>
        </is>
      </c>
      <c r="H525" t="inlineStr">
        <is>
          <t>B2B</t>
        </is>
      </c>
      <c r="I525" t="inlineStr">
        <is>
          <t>Transactional (B2B)</t>
        </is>
      </c>
      <c r="J525" t="inlineStr">
        <is>
          <t>MOFU</t>
        </is>
      </c>
      <c r="K525" t="inlineStr">
        <is>
          <t>UAE</t>
        </is>
      </c>
      <c r="L525" t="inlineStr">
        <is>
          <t>Landing</t>
        </is>
      </c>
      <c r="M525">
        <f>IFERROR(VLOOKUP($A525,'Semrush Import'!$A:$D,2,FALSE),"")</f>
        <v/>
      </c>
      <c r="N525">
        <f>IFERROR(VLOOKUP($A525,'Semrush Import'!$A:$D,3,FALSE),"")</f>
        <v/>
      </c>
      <c r="O525">
        <f>IFERROR(VLOOKUP($A525,'Semrush Import'!$A:$D,4,FALSE),"")</f>
        <v/>
      </c>
      <c r="P525">
        <f>IFERROR(VLOOKUP($A525,'KP Import'!$A:$B,2,FALSE),"")</f>
        <v/>
      </c>
      <c r="Q525">
        <f>IF(M525="","",ROUND(M525/(N525+10),1))</f>
        <v/>
      </c>
      <c r="R525">
        <f>IF(Q525="","",IF(Q525&gt;=20,"A - Go first",IF(Q525&gt;=5,"B - Next","C - Later")))</f>
        <v/>
      </c>
      <c r="S525" t="inlineStr">
        <is>
          <t>To do</t>
        </is>
      </c>
      <c r="T525" t="inlineStr"/>
    </row>
    <row r="526">
      <c r="A526" t="inlineStr">
        <is>
          <t>rice letter of credit</t>
        </is>
      </c>
      <c r="B526" t="inlineStr">
        <is>
          <t>Phase 1 - B2B now</t>
        </is>
      </c>
      <c r="C526" t="inlineStr">
        <is>
          <t>Importers / exporters / traders</t>
        </is>
      </c>
      <c r="D526" t="inlineStr">
        <is>
          <t>Price per ton (RFQ)</t>
        </is>
      </c>
      <c r="E526" t="inlineStr">
        <is>
          <t>Secondary (long-tail)</t>
        </is>
      </c>
      <c r="F526" t="inlineStr">
        <is>
          <t>H3 / body paragraph / table row / image alt</t>
        </is>
      </c>
      <c r="G526" t="inlineStr">
        <is>
          <t>Trade terms</t>
        </is>
      </c>
      <c r="H526" t="inlineStr">
        <is>
          <t>B2B</t>
        </is>
      </c>
      <c r="I526" t="inlineStr">
        <is>
          <t>Transactional (B2B)</t>
        </is>
      </c>
      <c r="J526" t="inlineStr">
        <is>
          <t>MOFU</t>
        </is>
      </c>
      <c r="K526" t="inlineStr">
        <is>
          <t>Global/International</t>
        </is>
      </c>
      <c r="L526" t="inlineStr">
        <is>
          <t>Landing</t>
        </is>
      </c>
      <c r="M526">
        <f>IFERROR(VLOOKUP($A526,'Semrush Import'!$A:$D,2,FALSE),"")</f>
        <v/>
      </c>
      <c r="N526">
        <f>IFERROR(VLOOKUP($A526,'Semrush Import'!$A:$D,3,FALSE),"")</f>
        <v/>
      </c>
      <c r="O526">
        <f>IFERROR(VLOOKUP($A526,'Semrush Import'!$A:$D,4,FALSE),"")</f>
        <v/>
      </c>
      <c r="P526">
        <f>IFERROR(VLOOKUP($A526,'KP Import'!$A:$B,2,FALSE),"")</f>
        <v/>
      </c>
      <c r="Q526">
        <f>IF(M526="","",ROUND(M526/(N526+10),1))</f>
        <v/>
      </c>
      <c r="R526">
        <f>IF(Q526="","",IF(Q526&gt;=20,"A - Go first",IF(Q526&gt;=5,"B - Next","C - Later")))</f>
        <v/>
      </c>
      <c r="S526" t="inlineStr">
        <is>
          <t>To do</t>
        </is>
      </c>
      <c r="T526" t="inlineStr"/>
    </row>
    <row r="527">
      <c r="A527" t="inlineStr">
        <is>
          <t>rice incoterms</t>
        </is>
      </c>
      <c r="B527" t="inlineStr">
        <is>
          <t>Phase 1 - B2B now</t>
        </is>
      </c>
      <c r="C527" t="inlineStr">
        <is>
          <t>Importers / exporters / traders</t>
        </is>
      </c>
      <c r="D527" t="inlineStr">
        <is>
          <t>Price per ton (RFQ)</t>
        </is>
      </c>
      <c r="E527" t="inlineStr">
        <is>
          <t>Secondary (short)</t>
        </is>
      </c>
      <c r="F527" t="inlineStr">
        <is>
          <t>H2 heading + 1st paragraph under it</t>
        </is>
      </c>
      <c r="G527" t="inlineStr">
        <is>
          <t>Trade terms</t>
        </is>
      </c>
      <c r="H527" t="inlineStr">
        <is>
          <t>B2B</t>
        </is>
      </c>
      <c r="I527" t="inlineStr">
        <is>
          <t>Transactional (B2B)</t>
        </is>
      </c>
      <c r="J527" t="inlineStr">
        <is>
          <t>MOFU</t>
        </is>
      </c>
      <c r="K527" t="inlineStr">
        <is>
          <t>Global/International</t>
        </is>
      </c>
      <c r="L527" t="inlineStr">
        <is>
          <t>Landing</t>
        </is>
      </c>
      <c r="M527">
        <f>IFERROR(VLOOKUP($A527,'Semrush Import'!$A:$D,2,FALSE),"")</f>
        <v/>
      </c>
      <c r="N527">
        <f>IFERROR(VLOOKUP($A527,'Semrush Import'!$A:$D,3,FALSE),"")</f>
        <v/>
      </c>
      <c r="O527">
        <f>IFERROR(VLOOKUP($A527,'Semrush Import'!$A:$D,4,FALSE),"")</f>
        <v/>
      </c>
      <c r="P527">
        <f>IFERROR(VLOOKUP($A527,'KP Import'!$A:$B,2,FALSE),"")</f>
        <v/>
      </c>
      <c r="Q527">
        <f>IF(M527="","",ROUND(M527/(N527+10),1))</f>
        <v/>
      </c>
      <c r="R527">
        <f>IF(Q527="","",IF(Q527&gt;=20,"A - Go first",IF(Q527&gt;=5,"B - Next","C - Later")))</f>
        <v/>
      </c>
      <c r="S527" t="inlineStr">
        <is>
          <t>To do</t>
        </is>
      </c>
      <c r="T527" t="inlineStr"/>
    </row>
    <row r="528">
      <c r="A528" t="inlineStr">
        <is>
          <t>indian rice supplier dubai</t>
        </is>
      </c>
      <c r="B528" t="inlineStr">
        <is>
          <t>Phase 1 - B2B now</t>
        </is>
      </c>
      <c r="C528" t="inlineStr">
        <is>
          <t>Importers / exporters / traders</t>
        </is>
      </c>
      <c r="D528" t="inlineStr">
        <is>
          <t>Origin sourcing</t>
        </is>
      </c>
      <c r="E528" t="inlineStr">
        <is>
          <t>PRIMARY</t>
        </is>
      </c>
      <c r="F528" t="inlineStr">
        <is>
          <t>URL slug + SEO title + H1 + meta description + first 100 words</t>
        </is>
      </c>
      <c r="G528" t="inlineStr">
        <is>
          <t>Origin sourcing</t>
        </is>
      </c>
      <c r="H528" t="inlineStr">
        <is>
          <t>B2B</t>
        </is>
      </c>
      <c r="I528" t="inlineStr">
        <is>
          <t>Transactional (B2B)</t>
        </is>
      </c>
      <c r="J528" t="inlineStr">
        <is>
          <t>BOFU</t>
        </is>
      </c>
      <c r="K528" t="inlineStr">
        <is>
          <t>Dubai</t>
        </is>
      </c>
      <c r="L528" t="inlineStr">
        <is>
          <t>Landing</t>
        </is>
      </c>
      <c r="M528">
        <f>IFERROR(VLOOKUP($A528,'Semrush Import'!$A:$D,2,FALSE),"")</f>
        <v/>
      </c>
      <c r="N528">
        <f>IFERROR(VLOOKUP($A528,'Semrush Import'!$A:$D,3,FALSE),"")</f>
        <v/>
      </c>
      <c r="O528">
        <f>IFERROR(VLOOKUP($A528,'Semrush Import'!$A:$D,4,FALSE),"")</f>
        <v/>
      </c>
      <c r="P528">
        <f>IFERROR(VLOOKUP($A528,'KP Import'!$A:$B,2,FALSE),"")</f>
        <v/>
      </c>
      <c r="Q528">
        <f>IF(M528="","",ROUND(M528/(N528+10),1))</f>
        <v/>
      </c>
      <c r="R528">
        <f>IF(Q528="","",IF(Q528&gt;=20,"A - Go first",IF(Q528&gt;=5,"B - Next","C - Later")))</f>
        <v/>
      </c>
      <c r="S528" t="inlineStr">
        <is>
          <t>To do</t>
        </is>
      </c>
      <c r="T528" t="inlineStr"/>
    </row>
    <row r="529">
      <c r="A529" t="inlineStr">
        <is>
          <t>pakistani rice supplier uae</t>
        </is>
      </c>
      <c r="B529" t="inlineStr">
        <is>
          <t>Phase 1 - B2B now</t>
        </is>
      </c>
      <c r="C529" t="inlineStr">
        <is>
          <t>Importers / exporters / traders</t>
        </is>
      </c>
      <c r="D529" t="inlineStr">
        <is>
          <t>Origin sourcing</t>
        </is>
      </c>
      <c r="E529" t="inlineStr">
        <is>
          <t>Secondary (long-tail)</t>
        </is>
      </c>
      <c r="F529" t="inlineStr">
        <is>
          <t>H3 / body paragraph / table row / image alt</t>
        </is>
      </c>
      <c r="G529" t="inlineStr">
        <is>
          <t>Origin sourcing</t>
        </is>
      </c>
      <c r="H529" t="inlineStr">
        <is>
          <t>B2B</t>
        </is>
      </c>
      <c r="I529" t="inlineStr">
        <is>
          <t>Transactional (B2B)</t>
        </is>
      </c>
      <c r="J529" t="inlineStr">
        <is>
          <t>BOFU</t>
        </is>
      </c>
      <c r="K529" t="inlineStr">
        <is>
          <t>UAE</t>
        </is>
      </c>
      <c r="L529" t="inlineStr">
        <is>
          <t>Landing</t>
        </is>
      </c>
      <c r="M529">
        <f>IFERROR(VLOOKUP($A529,'Semrush Import'!$A:$D,2,FALSE),"")</f>
        <v/>
      </c>
      <c r="N529">
        <f>IFERROR(VLOOKUP($A529,'Semrush Import'!$A:$D,3,FALSE),"")</f>
        <v/>
      </c>
      <c r="O529">
        <f>IFERROR(VLOOKUP($A529,'Semrush Import'!$A:$D,4,FALSE),"")</f>
        <v/>
      </c>
      <c r="P529">
        <f>IFERROR(VLOOKUP($A529,'KP Import'!$A:$B,2,FALSE),"")</f>
        <v/>
      </c>
      <c r="Q529">
        <f>IF(M529="","",ROUND(M529/(N529+10),1))</f>
        <v/>
      </c>
      <c r="R529">
        <f>IF(Q529="","",IF(Q529&gt;=20,"A - Go first",IF(Q529&gt;=5,"B - Next","C - Later")))</f>
        <v/>
      </c>
      <c r="S529" t="inlineStr">
        <is>
          <t>To do</t>
        </is>
      </c>
      <c r="T529" t="inlineStr"/>
    </row>
    <row r="530">
      <c r="A530" t="inlineStr">
        <is>
          <t>thai rice supplier uae</t>
        </is>
      </c>
      <c r="B530" t="inlineStr">
        <is>
          <t>Phase 1 - B2B now</t>
        </is>
      </c>
      <c r="C530" t="inlineStr">
        <is>
          <t>Importers / exporters / traders</t>
        </is>
      </c>
      <c r="D530" t="inlineStr">
        <is>
          <t>Origin sourcing</t>
        </is>
      </c>
      <c r="E530" t="inlineStr">
        <is>
          <t>Secondary (long-tail)</t>
        </is>
      </c>
      <c r="F530" t="inlineStr">
        <is>
          <t>H3 / body paragraph / table row / image alt</t>
        </is>
      </c>
      <c r="G530" t="inlineStr">
        <is>
          <t>Origin sourcing</t>
        </is>
      </c>
      <c r="H530" t="inlineStr">
        <is>
          <t>B2B</t>
        </is>
      </c>
      <c r="I530" t="inlineStr">
        <is>
          <t>Transactional (B2B)</t>
        </is>
      </c>
      <c r="J530" t="inlineStr">
        <is>
          <t>BOFU</t>
        </is>
      </c>
      <c r="K530" t="inlineStr">
        <is>
          <t>UAE</t>
        </is>
      </c>
      <c r="L530" t="inlineStr">
        <is>
          <t>Landing</t>
        </is>
      </c>
      <c r="M530">
        <f>IFERROR(VLOOKUP($A530,'Semrush Import'!$A:$D,2,FALSE),"")</f>
        <v/>
      </c>
      <c r="N530">
        <f>IFERROR(VLOOKUP($A530,'Semrush Import'!$A:$D,3,FALSE),"")</f>
        <v/>
      </c>
      <c r="O530">
        <f>IFERROR(VLOOKUP($A530,'Semrush Import'!$A:$D,4,FALSE),"")</f>
        <v/>
      </c>
      <c r="P530">
        <f>IFERROR(VLOOKUP($A530,'KP Import'!$A:$B,2,FALSE),"")</f>
        <v/>
      </c>
      <c r="Q530">
        <f>IF(M530="","",ROUND(M530/(N530+10),1))</f>
        <v/>
      </c>
      <c r="R530">
        <f>IF(Q530="","",IF(Q530&gt;=20,"A - Go first",IF(Q530&gt;=5,"B - Next","C - Later")))</f>
        <v/>
      </c>
      <c r="S530" t="inlineStr">
        <is>
          <t>To do</t>
        </is>
      </c>
      <c r="T530" t="inlineStr"/>
    </row>
    <row r="531">
      <c r="A531" t="inlineStr">
        <is>
          <t>vietnam rice supplier uae</t>
        </is>
      </c>
      <c r="B531" t="inlineStr">
        <is>
          <t>Phase 1 - B2B now</t>
        </is>
      </c>
      <c r="C531" t="inlineStr">
        <is>
          <t>Importers / exporters / traders</t>
        </is>
      </c>
      <c r="D531" t="inlineStr">
        <is>
          <t>Origin sourcing</t>
        </is>
      </c>
      <c r="E531" t="inlineStr">
        <is>
          <t>Secondary (long-tail)</t>
        </is>
      </c>
      <c r="F531" t="inlineStr">
        <is>
          <t>H3 / body paragraph / table row / image alt</t>
        </is>
      </c>
      <c r="G531" t="inlineStr">
        <is>
          <t>Origin sourcing</t>
        </is>
      </c>
      <c r="H531" t="inlineStr">
        <is>
          <t>B2B</t>
        </is>
      </c>
      <c r="I531" t="inlineStr">
        <is>
          <t>Transactional (B2B)</t>
        </is>
      </c>
      <c r="J531" t="inlineStr">
        <is>
          <t>BOFU</t>
        </is>
      </c>
      <c r="K531" t="inlineStr">
        <is>
          <t>UAE</t>
        </is>
      </c>
      <c r="L531" t="inlineStr">
        <is>
          <t>Landing</t>
        </is>
      </c>
      <c r="M531">
        <f>IFERROR(VLOOKUP($A531,'Semrush Import'!$A:$D,2,FALSE),"")</f>
        <v/>
      </c>
      <c r="N531">
        <f>IFERROR(VLOOKUP($A531,'Semrush Import'!$A:$D,3,FALSE),"")</f>
        <v/>
      </c>
      <c r="O531">
        <f>IFERROR(VLOOKUP($A531,'Semrush Import'!$A:$D,4,FALSE),"")</f>
        <v/>
      </c>
      <c r="P531">
        <f>IFERROR(VLOOKUP($A531,'KP Import'!$A:$B,2,FALSE),"")</f>
        <v/>
      </c>
      <c r="Q531">
        <f>IF(M531="","",ROUND(M531/(N531+10),1))</f>
        <v/>
      </c>
      <c r="R531">
        <f>IF(Q531="","",IF(Q531&gt;=20,"A - Go first",IF(Q531&gt;=5,"B - Next","C - Later")))</f>
        <v/>
      </c>
      <c r="S531" t="inlineStr">
        <is>
          <t>To do</t>
        </is>
      </c>
      <c r="T531" t="inlineStr"/>
    </row>
    <row r="532">
      <c r="A532" t="inlineStr">
        <is>
          <t>indian rice exporters</t>
        </is>
      </c>
      <c r="B532" t="inlineStr">
        <is>
          <t>Phase 1 - B2B now</t>
        </is>
      </c>
      <c r="C532" t="inlineStr">
        <is>
          <t>Importers / exporters / traders</t>
        </is>
      </c>
      <c r="D532" t="inlineStr">
        <is>
          <t>Origin sourcing</t>
        </is>
      </c>
      <c r="E532" t="inlineStr">
        <is>
          <t>Secondary (short)</t>
        </is>
      </c>
      <c r="F532" t="inlineStr">
        <is>
          <t>H2 heading + 1st paragraph under it</t>
        </is>
      </c>
      <c r="G532" t="inlineStr">
        <is>
          <t>Origin sourcing</t>
        </is>
      </c>
      <c r="H532" t="inlineStr">
        <is>
          <t>B2B</t>
        </is>
      </c>
      <c r="I532" t="inlineStr">
        <is>
          <t>Transactional (B2B)</t>
        </is>
      </c>
      <c r="J532" t="inlineStr">
        <is>
          <t>BOFU</t>
        </is>
      </c>
      <c r="K532" t="inlineStr">
        <is>
          <t>Global/International</t>
        </is>
      </c>
      <c r="L532" t="inlineStr">
        <is>
          <t>Landing</t>
        </is>
      </c>
      <c r="M532">
        <f>IFERROR(VLOOKUP($A532,'Semrush Import'!$A:$D,2,FALSE),"")</f>
        <v/>
      </c>
      <c r="N532">
        <f>IFERROR(VLOOKUP($A532,'Semrush Import'!$A:$D,3,FALSE),"")</f>
        <v/>
      </c>
      <c r="O532">
        <f>IFERROR(VLOOKUP($A532,'Semrush Import'!$A:$D,4,FALSE),"")</f>
        <v/>
      </c>
      <c r="P532">
        <f>IFERROR(VLOOKUP($A532,'KP Import'!$A:$B,2,FALSE),"")</f>
        <v/>
      </c>
      <c r="Q532">
        <f>IF(M532="","",ROUND(M532/(N532+10),1))</f>
        <v/>
      </c>
      <c r="R532">
        <f>IF(Q532="","",IF(Q532&gt;=20,"A - Go first",IF(Q532&gt;=5,"B - Next","C - Later")))</f>
        <v/>
      </c>
      <c r="S532" t="inlineStr">
        <is>
          <t>To do</t>
        </is>
      </c>
      <c r="T532" t="inlineStr"/>
    </row>
    <row r="533">
      <c r="A533" t="inlineStr">
        <is>
          <t>basmati rice exporters india</t>
        </is>
      </c>
      <c r="B533" t="inlineStr">
        <is>
          <t>Phase 1 - B2B now</t>
        </is>
      </c>
      <c r="C533" t="inlineStr">
        <is>
          <t>Importers / exporters / traders</t>
        </is>
      </c>
      <c r="D533" t="inlineStr">
        <is>
          <t>Origin sourcing</t>
        </is>
      </c>
      <c r="E533" t="inlineStr">
        <is>
          <t>Secondary (long-tail)</t>
        </is>
      </c>
      <c r="F533" t="inlineStr">
        <is>
          <t>H3 / body paragraph / table row / image alt</t>
        </is>
      </c>
      <c r="G533" t="inlineStr">
        <is>
          <t>Origin sourcing</t>
        </is>
      </c>
      <c r="H533" t="inlineStr">
        <is>
          <t>B2B</t>
        </is>
      </c>
      <c r="I533" t="inlineStr">
        <is>
          <t>Transactional (B2B)</t>
        </is>
      </c>
      <c r="J533" t="inlineStr">
        <is>
          <t>BOFU</t>
        </is>
      </c>
      <c r="K533" t="inlineStr">
        <is>
          <t>Global/International</t>
        </is>
      </c>
      <c r="L533" t="inlineStr">
        <is>
          <t>Landing</t>
        </is>
      </c>
      <c r="M533">
        <f>IFERROR(VLOOKUP($A533,'Semrush Import'!$A:$D,2,FALSE),"")</f>
        <v/>
      </c>
      <c r="N533">
        <f>IFERROR(VLOOKUP($A533,'Semrush Import'!$A:$D,3,FALSE),"")</f>
        <v/>
      </c>
      <c r="O533">
        <f>IFERROR(VLOOKUP($A533,'Semrush Import'!$A:$D,4,FALSE),"")</f>
        <v/>
      </c>
      <c r="P533">
        <f>IFERROR(VLOOKUP($A533,'KP Import'!$A:$B,2,FALSE),"")</f>
        <v/>
      </c>
      <c r="Q533">
        <f>IF(M533="","",ROUND(M533/(N533+10),1))</f>
        <v/>
      </c>
      <c r="R533">
        <f>IF(Q533="","",IF(Q533&gt;=20,"A - Go first",IF(Q533&gt;=5,"B - Next","C - Later")))</f>
        <v/>
      </c>
      <c r="S533" t="inlineStr">
        <is>
          <t>To do</t>
        </is>
      </c>
      <c r="T533" t="inlineStr"/>
    </row>
    <row r="534">
      <c r="A534" t="inlineStr">
        <is>
          <t>basmati rice exporters pakistan</t>
        </is>
      </c>
      <c r="B534" t="inlineStr">
        <is>
          <t>Phase 1 - B2B now</t>
        </is>
      </c>
      <c r="C534" t="inlineStr">
        <is>
          <t>Importers / exporters / traders</t>
        </is>
      </c>
      <c r="D534" t="inlineStr">
        <is>
          <t>Origin sourcing</t>
        </is>
      </c>
      <c r="E534" t="inlineStr">
        <is>
          <t>Secondary (long-tail)</t>
        </is>
      </c>
      <c r="F534" t="inlineStr">
        <is>
          <t>H3 / body paragraph / table row / image alt</t>
        </is>
      </c>
      <c r="G534" t="inlineStr">
        <is>
          <t>Origin sourcing</t>
        </is>
      </c>
      <c r="H534" t="inlineStr">
        <is>
          <t>B2B</t>
        </is>
      </c>
      <c r="I534" t="inlineStr">
        <is>
          <t>Transactional (B2B)</t>
        </is>
      </c>
      <c r="J534" t="inlineStr">
        <is>
          <t>BOFU</t>
        </is>
      </c>
      <c r="K534" t="inlineStr">
        <is>
          <t>Global/International</t>
        </is>
      </c>
      <c r="L534" t="inlineStr">
        <is>
          <t>Landing</t>
        </is>
      </c>
      <c r="M534">
        <f>IFERROR(VLOOKUP($A534,'Semrush Import'!$A:$D,2,FALSE),"")</f>
        <v/>
      </c>
      <c r="N534">
        <f>IFERROR(VLOOKUP($A534,'Semrush Import'!$A:$D,3,FALSE),"")</f>
        <v/>
      </c>
      <c r="O534">
        <f>IFERROR(VLOOKUP($A534,'Semrush Import'!$A:$D,4,FALSE),"")</f>
        <v/>
      </c>
      <c r="P534">
        <f>IFERROR(VLOOKUP($A534,'KP Import'!$A:$B,2,FALSE),"")</f>
        <v/>
      </c>
      <c r="Q534">
        <f>IF(M534="","",ROUND(M534/(N534+10),1))</f>
        <v/>
      </c>
      <c r="R534">
        <f>IF(Q534="","",IF(Q534&gt;=20,"A - Go first",IF(Q534&gt;=5,"B - Next","C - Later")))</f>
        <v/>
      </c>
      <c r="S534" t="inlineStr">
        <is>
          <t>To do</t>
        </is>
      </c>
      <c r="T534" t="inlineStr"/>
    </row>
    <row r="535">
      <c r="A535" t="inlineStr">
        <is>
          <t>rice exporters thailand</t>
        </is>
      </c>
      <c r="B535" t="inlineStr">
        <is>
          <t>Phase 1 - B2B now</t>
        </is>
      </c>
      <c r="C535" t="inlineStr">
        <is>
          <t>Importers / exporters / traders</t>
        </is>
      </c>
      <c r="D535" t="inlineStr">
        <is>
          <t>Origin sourcing</t>
        </is>
      </c>
      <c r="E535" t="inlineStr">
        <is>
          <t>Secondary (short)</t>
        </is>
      </c>
      <c r="F535" t="inlineStr">
        <is>
          <t>H2 heading + 1st paragraph under it</t>
        </is>
      </c>
      <c r="G535" t="inlineStr">
        <is>
          <t>Origin sourcing</t>
        </is>
      </c>
      <c r="H535" t="inlineStr">
        <is>
          <t>B2B</t>
        </is>
      </c>
      <c r="I535" t="inlineStr">
        <is>
          <t>Transactional (B2B)</t>
        </is>
      </c>
      <c r="J535" t="inlineStr">
        <is>
          <t>BOFU</t>
        </is>
      </c>
      <c r="K535" t="inlineStr">
        <is>
          <t>Global/International</t>
        </is>
      </c>
      <c r="L535" t="inlineStr">
        <is>
          <t>Landing</t>
        </is>
      </c>
      <c r="M535">
        <f>IFERROR(VLOOKUP($A535,'Semrush Import'!$A:$D,2,FALSE),"")</f>
        <v/>
      </c>
      <c r="N535">
        <f>IFERROR(VLOOKUP($A535,'Semrush Import'!$A:$D,3,FALSE),"")</f>
        <v/>
      </c>
      <c r="O535">
        <f>IFERROR(VLOOKUP($A535,'Semrush Import'!$A:$D,4,FALSE),"")</f>
        <v/>
      </c>
      <c r="P535">
        <f>IFERROR(VLOOKUP($A535,'KP Import'!$A:$B,2,FALSE),"")</f>
        <v/>
      </c>
      <c r="Q535">
        <f>IF(M535="","",ROUND(M535/(N535+10),1))</f>
        <v/>
      </c>
      <c r="R535">
        <f>IF(Q535="","",IF(Q535&gt;=20,"A - Go first",IF(Q535&gt;=5,"B - Next","C - Later")))</f>
        <v/>
      </c>
      <c r="S535" t="inlineStr">
        <is>
          <t>To do</t>
        </is>
      </c>
      <c r="T535" t="inlineStr"/>
    </row>
    <row r="536">
      <c r="A536" t="inlineStr">
        <is>
          <t>myanmar rice supplier</t>
        </is>
      </c>
      <c r="B536" t="inlineStr">
        <is>
          <t>Phase 1 - B2B now</t>
        </is>
      </c>
      <c r="C536" t="inlineStr">
        <is>
          <t>Importers / exporters / traders</t>
        </is>
      </c>
      <c r="D536" t="inlineStr">
        <is>
          <t>Origin sourcing</t>
        </is>
      </c>
      <c r="E536" t="inlineStr">
        <is>
          <t>Secondary (short)</t>
        </is>
      </c>
      <c r="F536" t="inlineStr">
        <is>
          <t>H2 heading + 1st paragraph under it</t>
        </is>
      </c>
      <c r="G536" t="inlineStr">
        <is>
          <t>Origin sourcing</t>
        </is>
      </c>
      <c r="H536" t="inlineStr">
        <is>
          <t>B2B</t>
        </is>
      </c>
      <c r="I536" t="inlineStr">
        <is>
          <t>Transactional (B2B)</t>
        </is>
      </c>
      <c r="J536" t="inlineStr">
        <is>
          <t>BOFU</t>
        </is>
      </c>
      <c r="K536" t="inlineStr">
        <is>
          <t>Global/International</t>
        </is>
      </c>
      <c r="L536" t="inlineStr">
        <is>
          <t>Landing</t>
        </is>
      </c>
      <c r="M536">
        <f>IFERROR(VLOOKUP($A536,'Semrush Import'!$A:$D,2,FALSE),"")</f>
        <v/>
      </c>
      <c r="N536">
        <f>IFERROR(VLOOKUP($A536,'Semrush Import'!$A:$D,3,FALSE),"")</f>
        <v/>
      </c>
      <c r="O536">
        <f>IFERROR(VLOOKUP($A536,'Semrush Import'!$A:$D,4,FALSE),"")</f>
        <v/>
      </c>
      <c r="P536">
        <f>IFERROR(VLOOKUP($A536,'KP Import'!$A:$B,2,FALSE),"")</f>
        <v/>
      </c>
      <c r="Q536">
        <f>IF(M536="","",ROUND(M536/(N536+10),1))</f>
        <v/>
      </c>
      <c r="R536">
        <f>IF(Q536="","",IF(Q536&gt;=20,"A - Go first",IF(Q536&gt;=5,"B - Next","C - Later")))</f>
        <v/>
      </c>
      <c r="S536" t="inlineStr">
        <is>
          <t>To do</t>
        </is>
      </c>
      <c r="T536" t="inlineStr"/>
    </row>
    <row r="537">
      <c r="A537" t="inlineStr">
        <is>
          <t>indian non basmati rice export</t>
        </is>
      </c>
      <c r="B537" t="inlineStr">
        <is>
          <t>Phase 1 - B2B now</t>
        </is>
      </c>
      <c r="C537" t="inlineStr">
        <is>
          <t>Importers / exporters / traders</t>
        </is>
      </c>
      <c r="D537" t="inlineStr">
        <is>
          <t>Origin sourcing</t>
        </is>
      </c>
      <c r="E537" t="inlineStr">
        <is>
          <t>Secondary (long-tail)</t>
        </is>
      </c>
      <c r="F537" t="inlineStr">
        <is>
          <t>H3 / body paragraph / table row / image alt</t>
        </is>
      </c>
      <c r="G537" t="inlineStr">
        <is>
          <t>Origin sourcing</t>
        </is>
      </c>
      <c r="H537" t="inlineStr">
        <is>
          <t>B2B</t>
        </is>
      </c>
      <c r="I537" t="inlineStr">
        <is>
          <t>Transactional (B2B)</t>
        </is>
      </c>
      <c r="J537" t="inlineStr">
        <is>
          <t>BOFU</t>
        </is>
      </c>
      <c r="K537" t="inlineStr">
        <is>
          <t>Global/International</t>
        </is>
      </c>
      <c r="L537" t="inlineStr">
        <is>
          <t>Landing</t>
        </is>
      </c>
      <c r="M537">
        <f>IFERROR(VLOOKUP($A537,'Semrush Import'!$A:$D,2,FALSE),"")</f>
        <v/>
      </c>
      <c r="N537">
        <f>IFERROR(VLOOKUP($A537,'Semrush Import'!$A:$D,3,FALSE),"")</f>
        <v/>
      </c>
      <c r="O537">
        <f>IFERROR(VLOOKUP($A537,'Semrush Import'!$A:$D,4,FALSE),"")</f>
        <v/>
      </c>
      <c r="P537">
        <f>IFERROR(VLOOKUP($A537,'KP Import'!$A:$B,2,FALSE),"")</f>
        <v/>
      </c>
      <c r="Q537">
        <f>IF(M537="","",ROUND(M537/(N537+10),1))</f>
        <v/>
      </c>
      <c r="R537">
        <f>IF(Q537="","",IF(Q537&gt;=20,"A - Go first",IF(Q537&gt;=5,"B - Next","C - Later")))</f>
        <v/>
      </c>
      <c r="S537" t="inlineStr">
        <is>
          <t>To do</t>
        </is>
      </c>
      <c r="T537" t="inlineStr"/>
    </row>
    <row r="538">
      <c r="A538" t="inlineStr">
        <is>
          <t>rice supplier for africa from dubai</t>
        </is>
      </c>
      <c r="B538" t="inlineStr">
        <is>
          <t>Phase 1 - B2B now</t>
        </is>
      </c>
      <c r="C538" t="inlineStr">
        <is>
          <t>Importers / exporters / traders</t>
        </is>
      </c>
      <c r="D538" t="inlineStr">
        <is>
          <t>Export / Re-export</t>
        </is>
      </c>
      <c r="E538" t="inlineStr">
        <is>
          <t>Secondary (long-tail)</t>
        </is>
      </c>
      <c r="F538" t="inlineStr">
        <is>
          <t>H3 / body paragraph / table row / image alt</t>
        </is>
      </c>
      <c r="G538" t="inlineStr">
        <is>
          <t>Re-export</t>
        </is>
      </c>
      <c r="H538" t="inlineStr">
        <is>
          <t>B2B</t>
        </is>
      </c>
      <c r="I538" t="inlineStr">
        <is>
          <t>Transactional (B2B)</t>
        </is>
      </c>
      <c r="J538" t="inlineStr">
        <is>
          <t>BOFU</t>
        </is>
      </c>
      <c r="K538" t="inlineStr">
        <is>
          <t>Dubai</t>
        </is>
      </c>
      <c r="L538" t="inlineStr">
        <is>
          <t>Landing</t>
        </is>
      </c>
      <c r="M538">
        <f>IFERROR(VLOOKUP($A538,'Semrush Import'!$A:$D,2,FALSE),"")</f>
        <v/>
      </c>
      <c r="N538">
        <f>IFERROR(VLOOKUP($A538,'Semrush Import'!$A:$D,3,FALSE),"")</f>
        <v/>
      </c>
      <c r="O538">
        <f>IFERROR(VLOOKUP($A538,'Semrush Import'!$A:$D,4,FALSE),"")</f>
        <v/>
      </c>
      <c r="P538">
        <f>IFERROR(VLOOKUP($A538,'KP Import'!$A:$B,2,FALSE),"")</f>
        <v/>
      </c>
      <c r="Q538">
        <f>IF(M538="","",ROUND(M538/(N538+10),1))</f>
        <v/>
      </c>
      <c r="R538">
        <f>IF(Q538="","",IF(Q538&gt;=20,"A - Go first",IF(Q538&gt;=5,"B - Next","C - Later")))</f>
        <v/>
      </c>
      <c r="S538" t="inlineStr">
        <is>
          <t>To do</t>
        </is>
      </c>
      <c r="T538" t="inlineStr"/>
    </row>
    <row r="539">
      <c r="A539" t="inlineStr">
        <is>
          <t>rice export to africa from uae</t>
        </is>
      </c>
      <c r="B539" t="inlineStr">
        <is>
          <t>Phase 1 - B2B now</t>
        </is>
      </c>
      <c r="C539" t="inlineStr">
        <is>
          <t>Importers / exporters / traders</t>
        </is>
      </c>
      <c r="D539" t="inlineStr">
        <is>
          <t>Export / Re-export</t>
        </is>
      </c>
      <c r="E539" t="inlineStr">
        <is>
          <t>Secondary (long-tail)</t>
        </is>
      </c>
      <c r="F539" t="inlineStr">
        <is>
          <t>H3 / body paragraph / table row / image alt</t>
        </is>
      </c>
      <c r="G539" t="inlineStr">
        <is>
          <t>Re-export</t>
        </is>
      </c>
      <c r="H539" t="inlineStr">
        <is>
          <t>B2B</t>
        </is>
      </c>
      <c r="I539" t="inlineStr">
        <is>
          <t>Transactional (B2B)</t>
        </is>
      </c>
      <c r="J539" t="inlineStr">
        <is>
          <t>BOFU</t>
        </is>
      </c>
      <c r="K539" t="inlineStr">
        <is>
          <t>UAE</t>
        </is>
      </c>
      <c r="L539" t="inlineStr">
        <is>
          <t>Landing</t>
        </is>
      </c>
      <c r="M539">
        <f>IFERROR(VLOOKUP($A539,'Semrush Import'!$A:$D,2,FALSE),"")</f>
        <v/>
      </c>
      <c r="N539">
        <f>IFERROR(VLOOKUP($A539,'Semrush Import'!$A:$D,3,FALSE),"")</f>
        <v/>
      </c>
      <c r="O539">
        <f>IFERROR(VLOOKUP($A539,'Semrush Import'!$A:$D,4,FALSE),"")</f>
        <v/>
      </c>
      <c r="P539">
        <f>IFERROR(VLOOKUP($A539,'KP Import'!$A:$B,2,FALSE),"")</f>
        <v/>
      </c>
      <c r="Q539">
        <f>IF(M539="","",ROUND(M539/(N539+10),1))</f>
        <v/>
      </c>
      <c r="R539">
        <f>IF(Q539="","",IF(Q539&gt;=20,"A - Go first",IF(Q539&gt;=5,"B - Next","C - Later")))</f>
        <v/>
      </c>
      <c r="S539" t="inlineStr">
        <is>
          <t>To do</t>
        </is>
      </c>
      <c r="T539" t="inlineStr"/>
    </row>
    <row r="540">
      <c r="A540" t="inlineStr">
        <is>
          <t>rice exporter to saudi arabia</t>
        </is>
      </c>
      <c r="B540" t="inlineStr">
        <is>
          <t>Phase 1 - B2B now</t>
        </is>
      </c>
      <c r="C540" t="inlineStr">
        <is>
          <t>Importers / exporters / traders</t>
        </is>
      </c>
      <c r="D540" t="inlineStr">
        <is>
          <t>Export / Re-export</t>
        </is>
      </c>
      <c r="E540" t="inlineStr">
        <is>
          <t>Secondary (long-tail)</t>
        </is>
      </c>
      <c r="F540" t="inlineStr">
        <is>
          <t>H3 / body paragraph / table row / image alt</t>
        </is>
      </c>
      <c r="G540" t="inlineStr">
        <is>
          <t>Re-export</t>
        </is>
      </c>
      <c r="H540" t="inlineStr">
        <is>
          <t>B2B</t>
        </is>
      </c>
      <c r="I540" t="inlineStr">
        <is>
          <t>Transactional (B2B)</t>
        </is>
      </c>
      <c r="J540" t="inlineStr">
        <is>
          <t>BOFU</t>
        </is>
      </c>
      <c r="K540" t="inlineStr">
        <is>
          <t>UAE</t>
        </is>
      </c>
      <c r="L540" t="inlineStr">
        <is>
          <t>Landing</t>
        </is>
      </c>
      <c r="M540">
        <f>IFERROR(VLOOKUP($A540,'Semrush Import'!$A:$D,2,FALSE),"")</f>
        <v/>
      </c>
      <c r="N540">
        <f>IFERROR(VLOOKUP($A540,'Semrush Import'!$A:$D,3,FALSE),"")</f>
        <v/>
      </c>
      <c r="O540">
        <f>IFERROR(VLOOKUP($A540,'Semrush Import'!$A:$D,4,FALSE),"")</f>
        <v/>
      </c>
      <c r="P540">
        <f>IFERROR(VLOOKUP($A540,'KP Import'!$A:$B,2,FALSE),"")</f>
        <v/>
      </c>
      <c r="Q540">
        <f>IF(M540="","",ROUND(M540/(N540+10),1))</f>
        <v/>
      </c>
      <c r="R540">
        <f>IF(Q540="","",IF(Q540&gt;=20,"A - Go first",IF(Q540&gt;=5,"B - Next","C - Later")))</f>
        <v/>
      </c>
      <c r="S540" t="inlineStr">
        <is>
          <t>To do</t>
        </is>
      </c>
      <c r="T540" t="inlineStr"/>
    </row>
    <row r="541">
      <c r="A541" t="inlineStr">
        <is>
          <t>rice supplier iraq from dubai</t>
        </is>
      </c>
      <c r="B541" t="inlineStr">
        <is>
          <t>Phase 1 - B2B now</t>
        </is>
      </c>
      <c r="C541" t="inlineStr">
        <is>
          <t>Importers / exporters / traders</t>
        </is>
      </c>
      <c r="D541" t="inlineStr">
        <is>
          <t>Export / Re-export</t>
        </is>
      </c>
      <c r="E541" t="inlineStr">
        <is>
          <t>Secondary (long-tail)</t>
        </is>
      </c>
      <c r="F541" t="inlineStr">
        <is>
          <t>H3 / body paragraph / table row / image alt</t>
        </is>
      </c>
      <c r="G541" t="inlineStr">
        <is>
          <t>Re-export</t>
        </is>
      </c>
      <c r="H541" t="inlineStr">
        <is>
          <t>B2B</t>
        </is>
      </c>
      <c r="I541" t="inlineStr">
        <is>
          <t>Transactional (B2B)</t>
        </is>
      </c>
      <c r="J541" t="inlineStr">
        <is>
          <t>BOFU</t>
        </is>
      </c>
      <c r="K541" t="inlineStr">
        <is>
          <t>Dubai</t>
        </is>
      </c>
      <c r="L541" t="inlineStr">
        <is>
          <t>Landing</t>
        </is>
      </c>
      <c r="M541">
        <f>IFERROR(VLOOKUP($A541,'Semrush Import'!$A:$D,2,FALSE),"")</f>
        <v/>
      </c>
      <c r="N541">
        <f>IFERROR(VLOOKUP($A541,'Semrush Import'!$A:$D,3,FALSE),"")</f>
        <v/>
      </c>
      <c r="O541">
        <f>IFERROR(VLOOKUP($A541,'Semrush Import'!$A:$D,4,FALSE),"")</f>
        <v/>
      </c>
      <c r="P541">
        <f>IFERROR(VLOOKUP($A541,'KP Import'!$A:$B,2,FALSE),"")</f>
        <v/>
      </c>
      <c r="Q541">
        <f>IF(M541="","",ROUND(M541/(N541+10),1))</f>
        <v/>
      </c>
      <c r="R541">
        <f>IF(Q541="","",IF(Q541&gt;=20,"A - Go first",IF(Q541&gt;=5,"B - Next","C - Later")))</f>
        <v/>
      </c>
      <c r="S541" t="inlineStr">
        <is>
          <t>To do</t>
        </is>
      </c>
      <c r="T541" t="inlineStr"/>
    </row>
    <row r="542">
      <c r="A542" t="inlineStr">
        <is>
          <t>rice export to yemen</t>
        </is>
      </c>
      <c r="B542" t="inlineStr">
        <is>
          <t>Phase 1 - B2B now</t>
        </is>
      </c>
      <c r="C542" t="inlineStr">
        <is>
          <t>Importers / exporters / traders</t>
        </is>
      </c>
      <c r="D542" t="inlineStr">
        <is>
          <t>Export / Re-export</t>
        </is>
      </c>
      <c r="E542" t="inlineStr">
        <is>
          <t>Secondary (long-tail)</t>
        </is>
      </c>
      <c r="F542" t="inlineStr">
        <is>
          <t>H3 / body paragraph / table row / image alt</t>
        </is>
      </c>
      <c r="G542" t="inlineStr">
        <is>
          <t>Re-export</t>
        </is>
      </c>
      <c r="H542" t="inlineStr">
        <is>
          <t>B2B</t>
        </is>
      </c>
      <c r="I542" t="inlineStr">
        <is>
          <t>Transactional (B2B)</t>
        </is>
      </c>
      <c r="J542" t="inlineStr">
        <is>
          <t>BOFU</t>
        </is>
      </c>
      <c r="K542" t="inlineStr">
        <is>
          <t>UAE</t>
        </is>
      </c>
      <c r="L542" t="inlineStr">
        <is>
          <t>Landing</t>
        </is>
      </c>
      <c r="M542">
        <f>IFERROR(VLOOKUP($A542,'Semrush Import'!$A:$D,2,FALSE),"")</f>
        <v/>
      </c>
      <c r="N542">
        <f>IFERROR(VLOOKUP($A542,'Semrush Import'!$A:$D,3,FALSE),"")</f>
        <v/>
      </c>
      <c r="O542">
        <f>IFERROR(VLOOKUP($A542,'Semrush Import'!$A:$D,4,FALSE),"")</f>
        <v/>
      </c>
      <c r="P542">
        <f>IFERROR(VLOOKUP($A542,'KP Import'!$A:$B,2,FALSE),"")</f>
        <v/>
      </c>
      <c r="Q542">
        <f>IF(M542="","",ROUND(M542/(N542+10),1))</f>
        <v/>
      </c>
      <c r="R542">
        <f>IF(Q542="","",IF(Q542&gt;=20,"A - Go first",IF(Q542&gt;=5,"B - Next","C - Later")))</f>
        <v/>
      </c>
      <c r="S542" t="inlineStr">
        <is>
          <t>To do</t>
        </is>
      </c>
      <c r="T542" t="inlineStr"/>
    </row>
    <row r="543">
      <c r="A543" t="inlineStr">
        <is>
          <t>rice supplier somalia</t>
        </is>
      </c>
      <c r="B543" t="inlineStr">
        <is>
          <t>Phase 1 - B2B now</t>
        </is>
      </c>
      <c r="C543" t="inlineStr">
        <is>
          <t>Importers / exporters / traders</t>
        </is>
      </c>
      <c r="D543" t="inlineStr">
        <is>
          <t>Export / Re-export</t>
        </is>
      </c>
      <c r="E543" t="inlineStr">
        <is>
          <t>Secondary (short)</t>
        </is>
      </c>
      <c r="F543" t="inlineStr">
        <is>
          <t>H2 heading + 1st paragraph under it</t>
        </is>
      </c>
      <c r="G543" t="inlineStr">
        <is>
          <t>Re-export</t>
        </is>
      </c>
      <c r="H543" t="inlineStr">
        <is>
          <t>B2B</t>
        </is>
      </c>
      <c r="I543" t="inlineStr">
        <is>
          <t>Transactional (B2B)</t>
        </is>
      </c>
      <c r="J543" t="inlineStr">
        <is>
          <t>BOFU</t>
        </is>
      </c>
      <c r="K543" t="inlineStr">
        <is>
          <t>UAE</t>
        </is>
      </c>
      <c r="L543" t="inlineStr">
        <is>
          <t>Landing</t>
        </is>
      </c>
      <c r="M543">
        <f>IFERROR(VLOOKUP($A543,'Semrush Import'!$A:$D,2,FALSE),"")</f>
        <v/>
      </c>
      <c r="N543">
        <f>IFERROR(VLOOKUP($A543,'Semrush Import'!$A:$D,3,FALSE),"")</f>
        <v/>
      </c>
      <c r="O543">
        <f>IFERROR(VLOOKUP($A543,'Semrush Import'!$A:$D,4,FALSE),"")</f>
        <v/>
      </c>
      <c r="P543">
        <f>IFERROR(VLOOKUP($A543,'KP Import'!$A:$B,2,FALSE),"")</f>
        <v/>
      </c>
      <c r="Q543">
        <f>IF(M543="","",ROUND(M543/(N543+10),1))</f>
        <v/>
      </c>
      <c r="R543">
        <f>IF(Q543="","",IF(Q543&gt;=20,"A - Go first",IF(Q543&gt;=5,"B - Next","C - Later")))</f>
        <v/>
      </c>
      <c r="S543" t="inlineStr">
        <is>
          <t>To do</t>
        </is>
      </c>
      <c r="T543" t="inlineStr"/>
    </row>
    <row r="544">
      <c r="A544" t="inlineStr">
        <is>
          <t>rice supplier kenya from dubai</t>
        </is>
      </c>
      <c r="B544" t="inlineStr">
        <is>
          <t>Phase 1 - B2B now</t>
        </is>
      </c>
      <c r="C544" t="inlineStr">
        <is>
          <t>Importers / exporters / traders</t>
        </is>
      </c>
      <c r="D544" t="inlineStr">
        <is>
          <t>Export / Re-export</t>
        </is>
      </c>
      <c r="E544" t="inlineStr">
        <is>
          <t>Secondary (long-tail)</t>
        </is>
      </c>
      <c r="F544" t="inlineStr">
        <is>
          <t>H3 / body paragraph / table row / image alt</t>
        </is>
      </c>
      <c r="G544" t="inlineStr">
        <is>
          <t>Re-export</t>
        </is>
      </c>
      <c r="H544" t="inlineStr">
        <is>
          <t>B2B</t>
        </is>
      </c>
      <c r="I544" t="inlineStr">
        <is>
          <t>Transactional (B2B)</t>
        </is>
      </c>
      <c r="J544" t="inlineStr">
        <is>
          <t>BOFU</t>
        </is>
      </c>
      <c r="K544" t="inlineStr">
        <is>
          <t>UAE</t>
        </is>
      </c>
      <c r="L544" t="inlineStr">
        <is>
          <t>Landing</t>
        </is>
      </c>
      <c r="M544">
        <f>IFERROR(VLOOKUP($A544,'Semrush Import'!$A:$D,2,FALSE),"")</f>
        <v/>
      </c>
      <c r="N544">
        <f>IFERROR(VLOOKUP($A544,'Semrush Import'!$A:$D,3,FALSE),"")</f>
        <v/>
      </c>
      <c r="O544">
        <f>IFERROR(VLOOKUP($A544,'Semrush Import'!$A:$D,4,FALSE),"")</f>
        <v/>
      </c>
      <c r="P544">
        <f>IFERROR(VLOOKUP($A544,'KP Import'!$A:$B,2,FALSE),"")</f>
        <v/>
      </c>
      <c r="Q544">
        <f>IF(M544="","",ROUND(M544/(N544+10),1))</f>
        <v/>
      </c>
      <c r="R544">
        <f>IF(Q544="","",IF(Q544&gt;=20,"A - Go first",IF(Q544&gt;=5,"B - Next","C - Later")))</f>
        <v/>
      </c>
      <c r="S544" t="inlineStr">
        <is>
          <t>To do</t>
        </is>
      </c>
      <c r="T544" t="inlineStr"/>
    </row>
    <row r="545">
      <c r="A545" t="inlineStr">
        <is>
          <t>rice export to nigeria</t>
        </is>
      </c>
      <c r="B545" t="inlineStr">
        <is>
          <t>Phase 1 - B2B now</t>
        </is>
      </c>
      <c r="C545" t="inlineStr">
        <is>
          <t>Importers / exporters / traders</t>
        </is>
      </c>
      <c r="D545" t="inlineStr">
        <is>
          <t>Export / Re-export</t>
        </is>
      </c>
      <c r="E545" t="inlineStr">
        <is>
          <t>Secondary (long-tail)</t>
        </is>
      </c>
      <c r="F545" t="inlineStr">
        <is>
          <t>H3 / body paragraph / table row / image alt</t>
        </is>
      </c>
      <c r="G545" t="inlineStr">
        <is>
          <t>Re-export</t>
        </is>
      </c>
      <c r="H545" t="inlineStr">
        <is>
          <t>B2B</t>
        </is>
      </c>
      <c r="I545" t="inlineStr">
        <is>
          <t>Transactional (B2B)</t>
        </is>
      </c>
      <c r="J545" t="inlineStr">
        <is>
          <t>BOFU</t>
        </is>
      </c>
      <c r="K545" t="inlineStr">
        <is>
          <t>UAE</t>
        </is>
      </c>
      <c r="L545" t="inlineStr">
        <is>
          <t>Landing</t>
        </is>
      </c>
      <c r="M545">
        <f>IFERROR(VLOOKUP($A545,'Semrush Import'!$A:$D,2,FALSE),"")</f>
        <v/>
      </c>
      <c r="N545">
        <f>IFERROR(VLOOKUP($A545,'Semrush Import'!$A:$D,3,FALSE),"")</f>
        <v/>
      </c>
      <c r="O545">
        <f>IFERROR(VLOOKUP($A545,'Semrush Import'!$A:$D,4,FALSE),"")</f>
        <v/>
      </c>
      <c r="P545">
        <f>IFERROR(VLOOKUP($A545,'KP Import'!$A:$B,2,FALSE),"")</f>
        <v/>
      </c>
      <c r="Q545">
        <f>IF(M545="","",ROUND(M545/(N545+10),1))</f>
        <v/>
      </c>
      <c r="R545">
        <f>IF(Q545="","",IF(Q545&gt;=20,"A - Go first",IF(Q545&gt;=5,"B - Next","C - Later")))</f>
        <v/>
      </c>
      <c r="S545" t="inlineStr">
        <is>
          <t>To do</t>
        </is>
      </c>
      <c r="T545" t="inlineStr"/>
    </row>
    <row r="546">
      <c r="A546" t="inlineStr">
        <is>
          <t>rice supplier gcc</t>
        </is>
      </c>
      <c r="B546" t="inlineStr">
        <is>
          <t>Phase 1 - B2B now</t>
        </is>
      </c>
      <c r="C546" t="inlineStr">
        <is>
          <t>Importers / exporters / traders</t>
        </is>
      </c>
      <c r="D546" t="inlineStr">
        <is>
          <t>Export / Re-export</t>
        </is>
      </c>
      <c r="E546" t="inlineStr">
        <is>
          <t>Secondary (short)</t>
        </is>
      </c>
      <c r="F546" t="inlineStr">
        <is>
          <t>H2 heading + 1st paragraph under it</t>
        </is>
      </c>
      <c r="G546" t="inlineStr">
        <is>
          <t>Re-export</t>
        </is>
      </c>
      <c r="H546" t="inlineStr">
        <is>
          <t>B2B</t>
        </is>
      </c>
      <c r="I546" t="inlineStr">
        <is>
          <t>Transactional (B2B)</t>
        </is>
      </c>
      <c r="J546" t="inlineStr">
        <is>
          <t>BOFU</t>
        </is>
      </c>
      <c r="K546" t="inlineStr">
        <is>
          <t>UAE</t>
        </is>
      </c>
      <c r="L546" t="inlineStr">
        <is>
          <t>Landing</t>
        </is>
      </c>
      <c r="M546">
        <f>IFERROR(VLOOKUP($A546,'Semrush Import'!$A:$D,2,FALSE),"")</f>
        <v/>
      </c>
      <c r="N546">
        <f>IFERROR(VLOOKUP($A546,'Semrush Import'!$A:$D,3,FALSE),"")</f>
        <v/>
      </c>
      <c r="O546">
        <f>IFERROR(VLOOKUP($A546,'Semrush Import'!$A:$D,4,FALSE),"")</f>
        <v/>
      </c>
      <c r="P546">
        <f>IFERROR(VLOOKUP($A546,'KP Import'!$A:$B,2,FALSE),"")</f>
        <v/>
      </c>
      <c r="Q546">
        <f>IF(M546="","",ROUND(M546/(N546+10),1))</f>
        <v/>
      </c>
      <c r="R546">
        <f>IF(Q546="","",IF(Q546&gt;=20,"A - Go first",IF(Q546&gt;=5,"B - Next","C - Later")))</f>
        <v/>
      </c>
      <c r="S546" t="inlineStr">
        <is>
          <t>To do</t>
        </is>
      </c>
      <c r="T546" t="inlineStr"/>
    </row>
    <row r="547">
      <c r="A547" t="inlineStr">
        <is>
          <t>rice supplier qatar</t>
        </is>
      </c>
      <c r="B547" t="inlineStr">
        <is>
          <t>Phase 1 - B2B now</t>
        </is>
      </c>
      <c r="C547" t="inlineStr">
        <is>
          <t>Importers / exporters / traders</t>
        </is>
      </c>
      <c r="D547" t="inlineStr">
        <is>
          <t>Export / Re-export</t>
        </is>
      </c>
      <c r="E547" t="inlineStr">
        <is>
          <t>Secondary (short)</t>
        </is>
      </c>
      <c r="F547" t="inlineStr">
        <is>
          <t>H2 heading + 1st paragraph under it</t>
        </is>
      </c>
      <c r="G547" t="inlineStr">
        <is>
          <t>Re-export</t>
        </is>
      </c>
      <c r="H547" t="inlineStr">
        <is>
          <t>B2B</t>
        </is>
      </c>
      <c r="I547" t="inlineStr">
        <is>
          <t>Transactional (B2B)</t>
        </is>
      </c>
      <c r="J547" t="inlineStr">
        <is>
          <t>BOFU</t>
        </is>
      </c>
      <c r="K547" t="inlineStr">
        <is>
          <t>UAE</t>
        </is>
      </c>
      <c r="L547" t="inlineStr">
        <is>
          <t>Landing</t>
        </is>
      </c>
      <c r="M547">
        <f>IFERROR(VLOOKUP($A547,'Semrush Import'!$A:$D,2,FALSE),"")</f>
        <v/>
      </c>
      <c r="N547">
        <f>IFERROR(VLOOKUP($A547,'Semrush Import'!$A:$D,3,FALSE),"")</f>
        <v/>
      </c>
      <c r="O547">
        <f>IFERROR(VLOOKUP($A547,'Semrush Import'!$A:$D,4,FALSE),"")</f>
        <v/>
      </c>
      <c r="P547">
        <f>IFERROR(VLOOKUP($A547,'KP Import'!$A:$B,2,FALSE),"")</f>
        <v/>
      </c>
      <c r="Q547">
        <f>IF(M547="","",ROUND(M547/(N547+10),1))</f>
        <v/>
      </c>
      <c r="R547">
        <f>IF(Q547="","",IF(Q547&gt;=20,"A - Go first",IF(Q547&gt;=5,"B - Next","C - Later")))</f>
        <v/>
      </c>
      <c r="S547" t="inlineStr">
        <is>
          <t>To do</t>
        </is>
      </c>
      <c r="T547" t="inlineStr"/>
    </row>
    <row r="548">
      <c r="A548" t="inlineStr">
        <is>
          <t>rice supplier kuwait</t>
        </is>
      </c>
      <c r="B548" t="inlineStr">
        <is>
          <t>Phase 1 - B2B now</t>
        </is>
      </c>
      <c r="C548" t="inlineStr">
        <is>
          <t>Importers / exporters / traders</t>
        </is>
      </c>
      <c r="D548" t="inlineStr">
        <is>
          <t>Export / Re-export</t>
        </is>
      </c>
      <c r="E548" t="inlineStr">
        <is>
          <t>Secondary (short)</t>
        </is>
      </c>
      <c r="F548" t="inlineStr">
        <is>
          <t>H2 heading + 1st paragraph under it</t>
        </is>
      </c>
      <c r="G548" t="inlineStr">
        <is>
          <t>Re-export</t>
        </is>
      </c>
      <c r="H548" t="inlineStr">
        <is>
          <t>B2B</t>
        </is>
      </c>
      <c r="I548" t="inlineStr">
        <is>
          <t>Transactional (B2B)</t>
        </is>
      </c>
      <c r="J548" t="inlineStr">
        <is>
          <t>BOFU</t>
        </is>
      </c>
      <c r="K548" t="inlineStr">
        <is>
          <t>UAE</t>
        </is>
      </c>
      <c r="L548" t="inlineStr">
        <is>
          <t>Landing</t>
        </is>
      </c>
      <c r="M548">
        <f>IFERROR(VLOOKUP($A548,'Semrush Import'!$A:$D,2,FALSE),"")</f>
        <v/>
      </c>
      <c r="N548">
        <f>IFERROR(VLOOKUP($A548,'Semrush Import'!$A:$D,3,FALSE),"")</f>
        <v/>
      </c>
      <c r="O548">
        <f>IFERROR(VLOOKUP($A548,'Semrush Import'!$A:$D,4,FALSE),"")</f>
        <v/>
      </c>
      <c r="P548">
        <f>IFERROR(VLOOKUP($A548,'KP Import'!$A:$B,2,FALSE),"")</f>
        <v/>
      </c>
      <c r="Q548">
        <f>IF(M548="","",ROUND(M548/(N548+10),1))</f>
        <v/>
      </c>
      <c r="R548">
        <f>IF(Q548="","",IF(Q548&gt;=20,"A - Go first",IF(Q548&gt;=5,"B - Next","C - Later")))</f>
        <v/>
      </c>
      <c r="S548" t="inlineStr">
        <is>
          <t>To do</t>
        </is>
      </c>
      <c r="T548" t="inlineStr"/>
    </row>
    <row r="549">
      <c r="A549" t="inlineStr">
        <is>
          <t>rice trading jafza</t>
        </is>
      </c>
      <c r="B549" t="inlineStr">
        <is>
          <t>Phase 1 - B2B now</t>
        </is>
      </c>
      <c r="C549" t="inlineStr">
        <is>
          <t>Importers / exporters / traders</t>
        </is>
      </c>
      <c r="D549" t="inlineStr">
        <is>
          <t>Warehouse &amp; free zone</t>
        </is>
      </c>
      <c r="E549" t="inlineStr">
        <is>
          <t>Secondary (short)</t>
        </is>
      </c>
      <c r="F549" t="inlineStr">
        <is>
          <t>H2 heading + 1st paragraph under it</t>
        </is>
      </c>
      <c r="G549" t="inlineStr">
        <is>
          <t>Free zone / ports</t>
        </is>
      </c>
      <c r="H549" t="inlineStr">
        <is>
          <t>B2B</t>
        </is>
      </c>
      <c r="I549" t="inlineStr">
        <is>
          <t>Transactional (B2B)</t>
        </is>
      </c>
      <c r="J549" t="inlineStr">
        <is>
          <t>BOFU</t>
        </is>
      </c>
      <c r="K549" t="inlineStr">
        <is>
          <t>Dubai</t>
        </is>
      </c>
      <c r="L549" t="inlineStr">
        <is>
          <t>Landing</t>
        </is>
      </c>
      <c r="M549">
        <f>IFERROR(VLOOKUP($A549,'Semrush Import'!$A:$D,2,FALSE),"")</f>
        <v/>
      </c>
      <c r="N549">
        <f>IFERROR(VLOOKUP($A549,'Semrush Import'!$A:$D,3,FALSE),"")</f>
        <v/>
      </c>
      <c r="O549">
        <f>IFERROR(VLOOKUP($A549,'Semrush Import'!$A:$D,4,FALSE),"")</f>
        <v/>
      </c>
      <c r="P549">
        <f>IFERROR(VLOOKUP($A549,'KP Import'!$A:$B,2,FALSE),"")</f>
        <v/>
      </c>
      <c r="Q549">
        <f>IF(M549="","",ROUND(M549/(N549+10),1))</f>
        <v/>
      </c>
      <c r="R549">
        <f>IF(Q549="","",IF(Q549&gt;=20,"A - Go first",IF(Q549&gt;=5,"B - Next","C - Later")))</f>
        <v/>
      </c>
      <c r="S549" t="inlineStr">
        <is>
          <t>To do</t>
        </is>
      </c>
      <c r="T549" t="inlineStr"/>
    </row>
    <row r="550">
      <c r="A550" t="inlineStr">
        <is>
          <t>rice warehouse jebel ali</t>
        </is>
      </c>
      <c r="B550" t="inlineStr">
        <is>
          <t>Phase 1 - B2B now</t>
        </is>
      </c>
      <c r="C550" t="inlineStr">
        <is>
          <t>Importers / exporters / traders</t>
        </is>
      </c>
      <c r="D550" t="inlineStr">
        <is>
          <t>Warehouse &amp; free zone</t>
        </is>
      </c>
      <c r="E550" t="inlineStr">
        <is>
          <t>PRIMARY</t>
        </is>
      </c>
      <c r="F550" t="inlineStr">
        <is>
          <t>URL slug + SEO title + H1 + meta description + first 100 words</t>
        </is>
      </c>
      <c r="G550" t="inlineStr">
        <is>
          <t>Free zone / ports</t>
        </is>
      </c>
      <c r="H550" t="inlineStr">
        <is>
          <t>B2B</t>
        </is>
      </c>
      <c r="I550" t="inlineStr">
        <is>
          <t>Transactional (B2B)</t>
        </is>
      </c>
      <c r="J550" t="inlineStr">
        <is>
          <t>BOFU</t>
        </is>
      </c>
      <c r="K550" t="inlineStr">
        <is>
          <t>Dubai</t>
        </is>
      </c>
      <c r="L550" t="inlineStr">
        <is>
          <t>Landing</t>
        </is>
      </c>
      <c r="M550">
        <f>IFERROR(VLOOKUP($A550,'Semrush Import'!$A:$D,2,FALSE),"")</f>
        <v/>
      </c>
      <c r="N550">
        <f>IFERROR(VLOOKUP($A550,'Semrush Import'!$A:$D,3,FALSE),"")</f>
        <v/>
      </c>
      <c r="O550">
        <f>IFERROR(VLOOKUP($A550,'Semrush Import'!$A:$D,4,FALSE),"")</f>
        <v/>
      </c>
      <c r="P550">
        <f>IFERROR(VLOOKUP($A550,'KP Import'!$A:$B,2,FALSE),"")</f>
        <v/>
      </c>
      <c r="Q550">
        <f>IF(M550="","",ROUND(M550/(N550+10),1))</f>
        <v/>
      </c>
      <c r="R550">
        <f>IF(Q550="","",IF(Q550&gt;=20,"A - Go first",IF(Q550&gt;=5,"B - Next","C - Later")))</f>
        <v/>
      </c>
      <c r="S550" t="inlineStr">
        <is>
          <t>To do</t>
        </is>
      </c>
      <c r="T550" t="inlineStr"/>
    </row>
    <row r="551">
      <c r="A551" t="inlineStr">
        <is>
          <t>food trading license dubai</t>
        </is>
      </c>
      <c r="B551" t="inlineStr">
        <is>
          <t>Phase 1 - B2B now</t>
        </is>
      </c>
      <c r="C551" t="inlineStr">
        <is>
          <t>Importers / exporters / traders</t>
        </is>
      </c>
      <c r="D551" t="inlineStr">
        <is>
          <t>Blog: food trading license dubai</t>
        </is>
      </c>
      <c r="E551" t="inlineStr">
        <is>
          <t>Blog article primary keyword</t>
        </is>
      </c>
      <c r="F551" t="inlineStr">
        <is>
          <t>Blog title + H1 + URL slug + first paragraph</t>
        </is>
      </c>
      <c r="G551" t="inlineStr">
        <is>
          <t>Free zone / ports</t>
        </is>
      </c>
      <c r="H551" t="inlineStr">
        <is>
          <t>B2B</t>
        </is>
      </c>
      <c r="I551" t="inlineStr">
        <is>
          <t>Transactional (B2B)</t>
        </is>
      </c>
      <c r="J551" t="inlineStr">
        <is>
          <t>BOFU</t>
        </is>
      </c>
      <c r="K551" t="inlineStr">
        <is>
          <t>Dubai</t>
        </is>
      </c>
      <c r="L551" t="inlineStr">
        <is>
          <t>Landing</t>
        </is>
      </c>
      <c r="M551">
        <f>IFERROR(VLOOKUP($A551,'Semrush Import'!$A:$D,2,FALSE),"")</f>
        <v/>
      </c>
      <c r="N551">
        <f>IFERROR(VLOOKUP($A551,'Semrush Import'!$A:$D,3,FALSE),"")</f>
        <v/>
      </c>
      <c r="O551">
        <f>IFERROR(VLOOKUP($A551,'Semrush Import'!$A:$D,4,FALSE),"")</f>
        <v/>
      </c>
      <c r="P551">
        <f>IFERROR(VLOOKUP($A551,'KP Import'!$A:$B,2,FALSE),"")</f>
        <v/>
      </c>
      <c r="Q551">
        <f>IF(M551="","",ROUND(M551/(N551+10),1))</f>
        <v/>
      </c>
      <c r="R551">
        <f>IF(Q551="","",IF(Q551&gt;=20,"A - Go first",IF(Q551&gt;=5,"B - Next","C - Later")))</f>
        <v/>
      </c>
      <c r="S551" t="inlineStr">
        <is>
          <t>To do</t>
        </is>
      </c>
      <c r="T551" t="inlineStr"/>
    </row>
    <row r="552">
      <c r="A552" t="inlineStr">
        <is>
          <t>food trading company jafza</t>
        </is>
      </c>
      <c r="B552" t="inlineStr">
        <is>
          <t>Phase 1 - B2B now</t>
        </is>
      </c>
      <c r="C552" t="inlineStr">
        <is>
          <t>Importers / exporters / traders</t>
        </is>
      </c>
      <c r="D552" t="inlineStr">
        <is>
          <t>Warehouse &amp; free zone</t>
        </is>
      </c>
      <c r="E552" t="inlineStr">
        <is>
          <t>Secondary (long-tail)</t>
        </is>
      </c>
      <c r="F552" t="inlineStr">
        <is>
          <t>H3 / body paragraph / table row / image alt</t>
        </is>
      </c>
      <c r="G552" t="inlineStr">
        <is>
          <t>Free zone / ports</t>
        </is>
      </c>
      <c r="H552" t="inlineStr">
        <is>
          <t>B2B</t>
        </is>
      </c>
      <c r="I552" t="inlineStr">
        <is>
          <t>Transactional (B2B)</t>
        </is>
      </c>
      <c r="J552" t="inlineStr">
        <is>
          <t>BOFU</t>
        </is>
      </c>
      <c r="K552" t="inlineStr">
        <is>
          <t>Dubai</t>
        </is>
      </c>
      <c r="L552" t="inlineStr">
        <is>
          <t>Landing</t>
        </is>
      </c>
      <c r="M552">
        <f>IFERROR(VLOOKUP($A552,'Semrush Import'!$A:$D,2,FALSE),"")</f>
        <v/>
      </c>
      <c r="N552">
        <f>IFERROR(VLOOKUP($A552,'Semrush Import'!$A:$D,3,FALSE),"")</f>
        <v/>
      </c>
      <c r="O552">
        <f>IFERROR(VLOOKUP($A552,'Semrush Import'!$A:$D,4,FALSE),"")</f>
        <v/>
      </c>
      <c r="P552">
        <f>IFERROR(VLOOKUP($A552,'KP Import'!$A:$B,2,FALSE),"")</f>
        <v/>
      </c>
      <c r="Q552">
        <f>IF(M552="","",ROUND(M552/(N552+10),1))</f>
        <v/>
      </c>
      <c r="R552">
        <f>IF(Q552="","",IF(Q552&gt;=20,"A - Go first",IF(Q552&gt;=5,"B - Next","C - Later")))</f>
        <v/>
      </c>
      <c r="S552" t="inlineStr">
        <is>
          <t>To do</t>
        </is>
      </c>
      <c r="T552" t="inlineStr"/>
    </row>
    <row r="553">
      <c r="A553" t="inlineStr">
        <is>
          <t>rice warehouse dubai</t>
        </is>
      </c>
      <c r="B553" t="inlineStr">
        <is>
          <t>Phase 1 - B2B now</t>
        </is>
      </c>
      <c r="C553" t="inlineStr">
        <is>
          <t>Importers / exporters / traders</t>
        </is>
      </c>
      <c r="D553" t="inlineStr">
        <is>
          <t>Warehouse &amp; free zone</t>
        </is>
      </c>
      <c r="E553" t="inlineStr">
        <is>
          <t>Secondary (short)</t>
        </is>
      </c>
      <c r="F553" t="inlineStr">
        <is>
          <t>H2 heading + 1st paragraph under it</t>
        </is>
      </c>
      <c r="G553" t="inlineStr">
        <is>
          <t>Free zone / ports</t>
        </is>
      </c>
      <c r="H553" t="inlineStr">
        <is>
          <t>B2B</t>
        </is>
      </c>
      <c r="I553" t="inlineStr">
        <is>
          <t>Transactional (B2B)</t>
        </is>
      </c>
      <c r="J553" t="inlineStr">
        <is>
          <t>BOFU</t>
        </is>
      </c>
      <c r="K553" t="inlineStr">
        <is>
          <t>Dubai</t>
        </is>
      </c>
      <c r="L553" t="inlineStr">
        <is>
          <t>Landing</t>
        </is>
      </c>
      <c r="M553">
        <f>IFERROR(VLOOKUP($A553,'Semrush Import'!$A:$D,2,FALSE),"")</f>
        <v/>
      </c>
      <c r="N553">
        <f>IFERROR(VLOOKUP($A553,'Semrush Import'!$A:$D,3,FALSE),"")</f>
        <v/>
      </c>
      <c r="O553">
        <f>IFERROR(VLOOKUP($A553,'Semrush Import'!$A:$D,4,FALSE),"")</f>
        <v/>
      </c>
      <c r="P553">
        <f>IFERROR(VLOOKUP($A553,'KP Import'!$A:$B,2,FALSE),"")</f>
        <v/>
      </c>
      <c r="Q553">
        <f>IF(M553="","",ROUND(M553/(N553+10),1))</f>
        <v/>
      </c>
      <c r="R553">
        <f>IF(Q553="","",IF(Q553&gt;=20,"A - Go first",IF(Q553&gt;=5,"B - Next","C - Later")))</f>
        <v/>
      </c>
      <c r="S553" t="inlineStr">
        <is>
          <t>To do</t>
        </is>
      </c>
      <c r="T553" t="inlineStr"/>
    </row>
    <row r="554">
      <c r="A554" t="inlineStr">
        <is>
          <t>rice storage dubai</t>
        </is>
      </c>
      <c r="B554" t="inlineStr">
        <is>
          <t>Phase 1 - B2B now</t>
        </is>
      </c>
      <c r="C554" t="inlineStr">
        <is>
          <t>Importers / exporters / traders</t>
        </is>
      </c>
      <c r="D554" t="inlineStr">
        <is>
          <t>Warehouse &amp; free zone</t>
        </is>
      </c>
      <c r="E554" t="inlineStr">
        <is>
          <t>Secondary (short)</t>
        </is>
      </c>
      <c r="F554" t="inlineStr">
        <is>
          <t>H2 heading + 1st paragraph under it</t>
        </is>
      </c>
      <c r="G554" t="inlineStr">
        <is>
          <t>Free zone / ports</t>
        </is>
      </c>
      <c r="H554" t="inlineStr">
        <is>
          <t>B2B</t>
        </is>
      </c>
      <c r="I554" t="inlineStr">
        <is>
          <t>Transactional (B2B)</t>
        </is>
      </c>
      <c r="J554" t="inlineStr">
        <is>
          <t>BOFU</t>
        </is>
      </c>
      <c r="K554" t="inlineStr">
        <is>
          <t>Dubai</t>
        </is>
      </c>
      <c r="L554" t="inlineStr">
        <is>
          <t>Landing</t>
        </is>
      </c>
      <c r="M554">
        <f>IFERROR(VLOOKUP($A554,'Semrush Import'!$A:$D,2,FALSE),"")</f>
        <v/>
      </c>
      <c r="N554">
        <f>IFERROR(VLOOKUP($A554,'Semrush Import'!$A:$D,3,FALSE),"")</f>
        <v/>
      </c>
      <c r="O554">
        <f>IFERROR(VLOOKUP($A554,'Semrush Import'!$A:$D,4,FALSE),"")</f>
        <v/>
      </c>
      <c r="P554">
        <f>IFERROR(VLOOKUP($A554,'KP Import'!$A:$B,2,FALSE),"")</f>
        <v/>
      </c>
      <c r="Q554">
        <f>IF(M554="","",ROUND(M554/(N554+10),1))</f>
        <v/>
      </c>
      <c r="R554">
        <f>IF(Q554="","",IF(Q554&gt;=20,"A - Go first",IF(Q554&gt;=5,"B - Next","C - Later")))</f>
        <v/>
      </c>
      <c r="S554" t="inlineStr">
        <is>
          <t>To do</t>
        </is>
      </c>
      <c r="T554" t="inlineStr"/>
    </row>
    <row r="555">
      <c r="A555" t="inlineStr">
        <is>
          <t>private label rice supplier</t>
        </is>
      </c>
      <c r="B555" t="inlineStr">
        <is>
          <t>Phase 1 - B2B now</t>
        </is>
      </c>
      <c r="C555" t="inlineStr">
        <is>
          <t>Importers / exporters / traders</t>
        </is>
      </c>
      <c r="D555" t="inlineStr">
        <is>
          <t>Private label</t>
        </is>
      </c>
      <c r="E555" t="inlineStr">
        <is>
          <t>PRIMARY</t>
        </is>
      </c>
      <c r="F555" t="inlineStr">
        <is>
          <t>URL slug + SEO title + H1 + meta description + first 100 words</t>
        </is>
      </c>
      <c r="G555" t="inlineStr">
        <is>
          <t>Private label</t>
        </is>
      </c>
      <c r="H555" t="inlineStr">
        <is>
          <t>B2B</t>
        </is>
      </c>
      <c r="I555" t="inlineStr">
        <is>
          <t>Transactional (B2B)</t>
        </is>
      </c>
      <c r="J555" t="inlineStr">
        <is>
          <t>BOFU</t>
        </is>
      </c>
      <c r="K555" t="inlineStr">
        <is>
          <t>Global/International</t>
        </is>
      </c>
      <c r="L555" t="inlineStr">
        <is>
          <t>Landing</t>
        </is>
      </c>
      <c r="M555">
        <f>IFERROR(VLOOKUP($A555,'Semrush Import'!$A:$D,2,FALSE),"")</f>
        <v/>
      </c>
      <c r="N555">
        <f>IFERROR(VLOOKUP($A555,'Semrush Import'!$A:$D,3,FALSE),"")</f>
        <v/>
      </c>
      <c r="O555">
        <f>IFERROR(VLOOKUP($A555,'Semrush Import'!$A:$D,4,FALSE),"")</f>
        <v/>
      </c>
      <c r="P555">
        <f>IFERROR(VLOOKUP($A555,'KP Import'!$A:$B,2,FALSE),"")</f>
        <v/>
      </c>
      <c r="Q555">
        <f>IF(M555="","",ROUND(M555/(N555+10),1))</f>
        <v/>
      </c>
      <c r="R555">
        <f>IF(Q555="","",IF(Q555&gt;=20,"A - Go first",IF(Q555&gt;=5,"B - Next","C - Later")))</f>
        <v/>
      </c>
      <c r="S555" t="inlineStr">
        <is>
          <t>To do</t>
        </is>
      </c>
      <c r="T555" t="inlineStr"/>
    </row>
    <row r="556">
      <c r="A556" t="inlineStr">
        <is>
          <t>private label basmati rice uae</t>
        </is>
      </c>
      <c r="B556" t="inlineStr">
        <is>
          <t>Phase 1 - B2B now</t>
        </is>
      </c>
      <c r="C556" t="inlineStr">
        <is>
          <t>Importers / exporters / traders</t>
        </is>
      </c>
      <c r="D556" t="inlineStr">
        <is>
          <t>Private label</t>
        </is>
      </c>
      <c r="E556" t="inlineStr">
        <is>
          <t>Secondary (long-tail)</t>
        </is>
      </c>
      <c r="F556" t="inlineStr">
        <is>
          <t>H3 / body paragraph / table row / image alt</t>
        </is>
      </c>
      <c r="G556" t="inlineStr">
        <is>
          <t>Private label</t>
        </is>
      </c>
      <c r="H556" t="inlineStr">
        <is>
          <t>B2B</t>
        </is>
      </c>
      <c r="I556" t="inlineStr">
        <is>
          <t>Transactional (B2B)</t>
        </is>
      </c>
      <c r="J556" t="inlineStr">
        <is>
          <t>BOFU</t>
        </is>
      </c>
      <c r="K556" t="inlineStr">
        <is>
          <t>UAE</t>
        </is>
      </c>
      <c r="L556" t="inlineStr">
        <is>
          <t>Landing</t>
        </is>
      </c>
      <c r="M556">
        <f>IFERROR(VLOOKUP($A556,'Semrush Import'!$A:$D,2,FALSE),"")</f>
        <v/>
      </c>
      <c r="N556">
        <f>IFERROR(VLOOKUP($A556,'Semrush Import'!$A:$D,3,FALSE),"")</f>
        <v/>
      </c>
      <c r="O556">
        <f>IFERROR(VLOOKUP($A556,'Semrush Import'!$A:$D,4,FALSE),"")</f>
        <v/>
      </c>
      <c r="P556">
        <f>IFERROR(VLOOKUP($A556,'KP Import'!$A:$B,2,FALSE),"")</f>
        <v/>
      </c>
      <c r="Q556">
        <f>IF(M556="","",ROUND(M556/(N556+10),1))</f>
        <v/>
      </c>
      <c r="R556">
        <f>IF(Q556="","",IF(Q556&gt;=20,"A - Go first",IF(Q556&gt;=5,"B - Next","C - Later")))</f>
        <v/>
      </c>
      <c r="S556" t="inlineStr">
        <is>
          <t>To do</t>
        </is>
      </c>
      <c r="T556" t="inlineStr"/>
    </row>
    <row r="557">
      <c r="A557" t="inlineStr">
        <is>
          <t>rice packing manufacturer uae</t>
        </is>
      </c>
      <c r="B557" t="inlineStr">
        <is>
          <t>Phase 1 - B2B now</t>
        </is>
      </c>
      <c r="C557" t="inlineStr">
        <is>
          <t>Importers / exporters / traders</t>
        </is>
      </c>
      <c r="D557" t="inlineStr">
        <is>
          <t>Private label</t>
        </is>
      </c>
      <c r="E557" t="inlineStr">
        <is>
          <t>Secondary (long-tail)</t>
        </is>
      </c>
      <c r="F557" t="inlineStr">
        <is>
          <t>H3 / body paragraph / table row / image alt</t>
        </is>
      </c>
      <c r="G557" t="inlineStr">
        <is>
          <t>Private label</t>
        </is>
      </c>
      <c r="H557" t="inlineStr">
        <is>
          <t>B2B</t>
        </is>
      </c>
      <c r="I557" t="inlineStr">
        <is>
          <t>Transactional (B2B)</t>
        </is>
      </c>
      <c r="J557" t="inlineStr">
        <is>
          <t>BOFU</t>
        </is>
      </c>
      <c r="K557" t="inlineStr">
        <is>
          <t>UAE</t>
        </is>
      </c>
      <c r="L557" t="inlineStr">
        <is>
          <t>Landing</t>
        </is>
      </c>
      <c r="M557">
        <f>IFERROR(VLOOKUP($A557,'Semrush Import'!$A:$D,2,FALSE),"")</f>
        <v/>
      </c>
      <c r="N557">
        <f>IFERROR(VLOOKUP($A557,'Semrush Import'!$A:$D,3,FALSE),"")</f>
        <v/>
      </c>
      <c r="O557">
        <f>IFERROR(VLOOKUP($A557,'Semrush Import'!$A:$D,4,FALSE),"")</f>
        <v/>
      </c>
      <c r="P557">
        <f>IFERROR(VLOOKUP($A557,'KP Import'!$A:$B,2,FALSE),"")</f>
        <v/>
      </c>
      <c r="Q557">
        <f>IF(M557="","",ROUND(M557/(N557+10),1))</f>
        <v/>
      </c>
      <c r="R557">
        <f>IF(Q557="","",IF(Q557&gt;=20,"A - Go first",IF(Q557&gt;=5,"B - Next","C - Later")))</f>
        <v/>
      </c>
      <c r="S557" t="inlineStr">
        <is>
          <t>To do</t>
        </is>
      </c>
      <c r="T557" t="inlineStr"/>
    </row>
    <row r="558">
      <c r="A558" t="inlineStr">
        <is>
          <t>rice oem packaging</t>
        </is>
      </c>
      <c r="B558" t="inlineStr">
        <is>
          <t>Phase 1 - B2B now</t>
        </is>
      </c>
      <c r="C558" t="inlineStr">
        <is>
          <t>Importers / exporters / traders</t>
        </is>
      </c>
      <c r="D558" t="inlineStr">
        <is>
          <t>Private label</t>
        </is>
      </c>
      <c r="E558" t="inlineStr">
        <is>
          <t>Secondary (short)</t>
        </is>
      </c>
      <c r="F558" t="inlineStr">
        <is>
          <t>H2 heading + 1st paragraph under it</t>
        </is>
      </c>
      <c r="G558" t="inlineStr">
        <is>
          <t>Private label</t>
        </is>
      </c>
      <c r="H558" t="inlineStr">
        <is>
          <t>B2B</t>
        </is>
      </c>
      <c r="I558" t="inlineStr">
        <is>
          <t>Transactional (B2B)</t>
        </is>
      </c>
      <c r="J558" t="inlineStr">
        <is>
          <t>BOFU</t>
        </is>
      </c>
      <c r="K558" t="inlineStr">
        <is>
          <t>Global/International</t>
        </is>
      </c>
      <c r="L558" t="inlineStr">
        <is>
          <t>Landing</t>
        </is>
      </c>
      <c r="M558">
        <f>IFERROR(VLOOKUP($A558,'Semrush Import'!$A:$D,2,FALSE),"")</f>
        <v/>
      </c>
      <c r="N558">
        <f>IFERROR(VLOOKUP($A558,'Semrush Import'!$A:$D,3,FALSE),"")</f>
        <v/>
      </c>
      <c r="O558">
        <f>IFERROR(VLOOKUP($A558,'Semrush Import'!$A:$D,4,FALSE),"")</f>
        <v/>
      </c>
      <c r="P558">
        <f>IFERROR(VLOOKUP($A558,'KP Import'!$A:$B,2,FALSE),"")</f>
        <v/>
      </c>
      <c r="Q558">
        <f>IF(M558="","",ROUND(M558/(N558+10),1))</f>
        <v/>
      </c>
      <c r="R558">
        <f>IF(Q558="","",IF(Q558&gt;=20,"A - Go first",IF(Q558&gt;=5,"B - Next","C - Later")))</f>
        <v/>
      </c>
      <c r="S558" t="inlineStr">
        <is>
          <t>To do</t>
        </is>
      </c>
      <c r="T558" t="inlineStr"/>
    </row>
    <row r="559">
      <c r="A559" t="inlineStr">
        <is>
          <t>custom branded rice bags</t>
        </is>
      </c>
      <c r="B559" t="inlineStr">
        <is>
          <t>Phase 1 - B2B now</t>
        </is>
      </c>
      <c r="C559" t="inlineStr">
        <is>
          <t>Importers / exporters / traders</t>
        </is>
      </c>
      <c r="D559" t="inlineStr">
        <is>
          <t>Private label</t>
        </is>
      </c>
      <c r="E559" t="inlineStr">
        <is>
          <t>Secondary (long-tail)</t>
        </is>
      </c>
      <c r="F559" t="inlineStr">
        <is>
          <t>H3 / body paragraph / table row / image alt</t>
        </is>
      </c>
      <c r="G559" t="inlineStr">
        <is>
          <t>Private label</t>
        </is>
      </c>
      <c r="H559" t="inlineStr">
        <is>
          <t>B2B</t>
        </is>
      </c>
      <c r="I559" t="inlineStr">
        <is>
          <t>Transactional (B2B)</t>
        </is>
      </c>
      <c r="J559" t="inlineStr">
        <is>
          <t>BOFU</t>
        </is>
      </c>
      <c r="K559" t="inlineStr">
        <is>
          <t>Global/International</t>
        </is>
      </c>
      <c r="L559" t="inlineStr">
        <is>
          <t>Landing</t>
        </is>
      </c>
      <c r="M559">
        <f>IFERROR(VLOOKUP($A559,'Semrush Import'!$A:$D,2,FALSE),"")</f>
        <v/>
      </c>
      <c r="N559">
        <f>IFERROR(VLOOKUP($A559,'Semrush Import'!$A:$D,3,FALSE),"")</f>
        <v/>
      </c>
      <c r="O559">
        <f>IFERROR(VLOOKUP($A559,'Semrush Import'!$A:$D,4,FALSE),"")</f>
        <v/>
      </c>
      <c r="P559">
        <f>IFERROR(VLOOKUP($A559,'KP Import'!$A:$B,2,FALSE),"")</f>
        <v/>
      </c>
      <c r="Q559">
        <f>IF(M559="","",ROUND(M559/(N559+10),1))</f>
        <v/>
      </c>
      <c r="R559">
        <f>IF(Q559="","",IF(Q559&gt;=20,"A - Go first",IF(Q559&gt;=5,"B - Next","C - Later")))</f>
        <v/>
      </c>
      <c r="S559" t="inlineStr">
        <is>
          <t>To do</t>
        </is>
      </c>
      <c r="T559" t="inlineStr"/>
    </row>
    <row r="560">
      <c r="A560" t="inlineStr">
        <is>
          <t>pp bag rice packing</t>
        </is>
      </c>
      <c r="B560" t="inlineStr">
        <is>
          <t>Phase 1 - B2B now</t>
        </is>
      </c>
      <c r="C560" t="inlineStr">
        <is>
          <t>Importers / exporters / traders</t>
        </is>
      </c>
      <c r="D560" t="inlineStr">
        <is>
          <t>Private label</t>
        </is>
      </c>
      <c r="E560" t="inlineStr">
        <is>
          <t>Secondary (long-tail)</t>
        </is>
      </c>
      <c r="F560" t="inlineStr">
        <is>
          <t>H3 / body paragraph / table row / image alt</t>
        </is>
      </c>
      <c r="G560" t="inlineStr">
        <is>
          <t>Private label</t>
        </is>
      </c>
      <c r="H560" t="inlineStr">
        <is>
          <t>B2B</t>
        </is>
      </c>
      <c r="I560" t="inlineStr">
        <is>
          <t>Transactional (B2B)</t>
        </is>
      </c>
      <c r="J560" t="inlineStr">
        <is>
          <t>BOFU</t>
        </is>
      </c>
      <c r="K560" t="inlineStr">
        <is>
          <t>Global/International</t>
        </is>
      </c>
      <c r="L560" t="inlineStr">
        <is>
          <t>Landing</t>
        </is>
      </c>
      <c r="M560">
        <f>IFERROR(VLOOKUP($A560,'Semrush Import'!$A:$D,2,FALSE),"")</f>
        <v/>
      </c>
      <c r="N560">
        <f>IFERROR(VLOOKUP($A560,'Semrush Import'!$A:$D,3,FALSE),"")</f>
        <v/>
      </c>
      <c r="O560">
        <f>IFERROR(VLOOKUP($A560,'Semrush Import'!$A:$D,4,FALSE),"")</f>
        <v/>
      </c>
      <c r="P560">
        <f>IFERROR(VLOOKUP($A560,'KP Import'!$A:$B,2,FALSE),"")</f>
        <v/>
      </c>
      <c r="Q560">
        <f>IF(M560="","",ROUND(M560/(N560+10),1))</f>
        <v/>
      </c>
      <c r="R560">
        <f>IF(Q560="","",IF(Q560&gt;=20,"A - Go first",IF(Q560&gt;=5,"B - Next","C - Later")))</f>
        <v/>
      </c>
      <c r="S560" t="inlineStr">
        <is>
          <t>To do</t>
        </is>
      </c>
      <c r="T560" t="inlineStr"/>
    </row>
    <row r="561">
      <c r="A561" t="inlineStr">
        <is>
          <t>halal certified rice supplier</t>
        </is>
      </c>
      <c r="B561" t="inlineStr">
        <is>
          <t>Phase 1 - B2B now</t>
        </is>
      </c>
      <c r="C561" t="inlineStr">
        <is>
          <t>Importers / exporters / traders</t>
        </is>
      </c>
      <c r="D561" t="inlineStr">
        <is>
          <t>Quality &amp; certifications</t>
        </is>
      </c>
      <c r="E561" t="inlineStr">
        <is>
          <t>PRIMARY</t>
        </is>
      </c>
      <c r="F561" t="inlineStr">
        <is>
          <t>URL slug + SEO title + H1 + meta description + first 100 words</t>
        </is>
      </c>
      <c r="G561" t="inlineStr">
        <is>
          <t>Certifications</t>
        </is>
      </c>
      <c r="H561" t="inlineStr">
        <is>
          <t>B2B</t>
        </is>
      </c>
      <c r="I561" t="inlineStr">
        <is>
          <t>Transactional (B2B)</t>
        </is>
      </c>
      <c r="J561" t="inlineStr">
        <is>
          <t>BOFU</t>
        </is>
      </c>
      <c r="K561" t="inlineStr">
        <is>
          <t>UAE</t>
        </is>
      </c>
      <c r="L561" t="inlineStr">
        <is>
          <t>Landing</t>
        </is>
      </c>
      <c r="M561">
        <f>IFERROR(VLOOKUP($A561,'Semrush Import'!$A:$D,2,FALSE),"")</f>
        <v/>
      </c>
      <c r="N561">
        <f>IFERROR(VLOOKUP($A561,'Semrush Import'!$A:$D,3,FALSE),"")</f>
        <v/>
      </c>
      <c r="O561">
        <f>IFERROR(VLOOKUP($A561,'Semrush Import'!$A:$D,4,FALSE),"")</f>
        <v/>
      </c>
      <c r="P561">
        <f>IFERROR(VLOOKUP($A561,'KP Import'!$A:$B,2,FALSE),"")</f>
        <v/>
      </c>
      <c r="Q561">
        <f>IF(M561="","",ROUND(M561/(N561+10),1))</f>
        <v/>
      </c>
      <c r="R561">
        <f>IF(Q561="","",IF(Q561&gt;=20,"A - Go first",IF(Q561&gt;=5,"B - Next","C - Later")))</f>
        <v/>
      </c>
      <c r="S561" t="inlineStr">
        <is>
          <t>To do</t>
        </is>
      </c>
      <c r="T561" t="inlineStr"/>
    </row>
    <row r="562">
      <c r="A562" t="inlineStr">
        <is>
          <t>haccp rice supplier</t>
        </is>
      </c>
      <c r="B562" t="inlineStr">
        <is>
          <t>Phase 1 - B2B now</t>
        </is>
      </c>
      <c r="C562" t="inlineStr">
        <is>
          <t>Importers / exporters / traders</t>
        </is>
      </c>
      <c r="D562" t="inlineStr">
        <is>
          <t>Quality &amp; certifications</t>
        </is>
      </c>
      <c r="E562" t="inlineStr">
        <is>
          <t>Secondary (short)</t>
        </is>
      </c>
      <c r="F562" t="inlineStr">
        <is>
          <t>H2 heading + 1st paragraph under it</t>
        </is>
      </c>
      <c r="G562" t="inlineStr">
        <is>
          <t>Certifications</t>
        </is>
      </c>
      <c r="H562" t="inlineStr">
        <is>
          <t>B2B</t>
        </is>
      </c>
      <c r="I562" t="inlineStr">
        <is>
          <t>Transactional (B2B)</t>
        </is>
      </c>
      <c r="J562" t="inlineStr">
        <is>
          <t>BOFU</t>
        </is>
      </c>
      <c r="K562" t="inlineStr">
        <is>
          <t>Global/International</t>
        </is>
      </c>
      <c r="L562" t="inlineStr">
        <is>
          <t>Landing</t>
        </is>
      </c>
      <c r="M562">
        <f>IFERROR(VLOOKUP($A562,'Semrush Import'!$A:$D,2,FALSE),"")</f>
        <v/>
      </c>
      <c r="N562">
        <f>IFERROR(VLOOKUP($A562,'Semrush Import'!$A:$D,3,FALSE),"")</f>
        <v/>
      </c>
      <c r="O562">
        <f>IFERROR(VLOOKUP($A562,'Semrush Import'!$A:$D,4,FALSE),"")</f>
        <v/>
      </c>
      <c r="P562">
        <f>IFERROR(VLOOKUP($A562,'KP Import'!$A:$B,2,FALSE),"")</f>
        <v/>
      </c>
      <c r="Q562">
        <f>IF(M562="","",ROUND(M562/(N562+10),1))</f>
        <v/>
      </c>
      <c r="R562">
        <f>IF(Q562="","",IF(Q562&gt;=20,"A - Go first",IF(Q562&gt;=5,"B - Next","C - Later")))</f>
        <v/>
      </c>
      <c r="S562" t="inlineStr">
        <is>
          <t>To do</t>
        </is>
      </c>
      <c r="T562" t="inlineStr"/>
    </row>
    <row r="563">
      <c r="A563" t="inlineStr">
        <is>
          <t>iso certified rice exporter</t>
        </is>
      </c>
      <c r="B563" t="inlineStr">
        <is>
          <t>Phase 1 - B2B now</t>
        </is>
      </c>
      <c r="C563" t="inlineStr">
        <is>
          <t>Importers / exporters / traders</t>
        </is>
      </c>
      <c r="D563" t="inlineStr">
        <is>
          <t>Quality &amp; certifications</t>
        </is>
      </c>
      <c r="E563" t="inlineStr">
        <is>
          <t>Secondary (long-tail)</t>
        </is>
      </c>
      <c r="F563" t="inlineStr">
        <is>
          <t>H3 / body paragraph / table row / image alt</t>
        </is>
      </c>
      <c r="G563" t="inlineStr">
        <is>
          <t>Certifications</t>
        </is>
      </c>
      <c r="H563" t="inlineStr">
        <is>
          <t>B2B</t>
        </is>
      </c>
      <c r="I563" t="inlineStr">
        <is>
          <t>Transactional (B2B)</t>
        </is>
      </c>
      <c r="J563" t="inlineStr">
        <is>
          <t>BOFU</t>
        </is>
      </c>
      <c r="K563" t="inlineStr">
        <is>
          <t>Global/International</t>
        </is>
      </c>
      <c r="L563" t="inlineStr">
        <is>
          <t>Landing</t>
        </is>
      </c>
      <c r="M563">
        <f>IFERROR(VLOOKUP($A563,'Semrush Import'!$A:$D,2,FALSE),"")</f>
        <v/>
      </c>
      <c r="N563">
        <f>IFERROR(VLOOKUP($A563,'Semrush Import'!$A:$D,3,FALSE),"")</f>
        <v/>
      </c>
      <c r="O563">
        <f>IFERROR(VLOOKUP($A563,'Semrush Import'!$A:$D,4,FALSE),"")</f>
        <v/>
      </c>
      <c r="P563">
        <f>IFERROR(VLOOKUP($A563,'KP Import'!$A:$B,2,FALSE),"")</f>
        <v/>
      </c>
      <c r="Q563">
        <f>IF(M563="","",ROUND(M563/(N563+10),1))</f>
        <v/>
      </c>
      <c r="R563">
        <f>IF(Q563="","",IF(Q563&gt;=20,"A - Go first",IF(Q563&gt;=5,"B - Next","C - Later")))</f>
        <v/>
      </c>
      <c r="S563" t="inlineStr">
        <is>
          <t>To do</t>
        </is>
      </c>
      <c r="T563" t="inlineStr"/>
    </row>
    <row r="564">
      <c r="A564" t="inlineStr">
        <is>
          <t>rice quality inspection</t>
        </is>
      </c>
      <c r="B564" t="inlineStr">
        <is>
          <t>Phase 1 - B2B now</t>
        </is>
      </c>
      <c r="C564" t="inlineStr">
        <is>
          <t>Importers / exporters / traders</t>
        </is>
      </c>
      <c r="D564" t="inlineStr">
        <is>
          <t>Quality &amp; certifications</t>
        </is>
      </c>
      <c r="E564" t="inlineStr">
        <is>
          <t>Secondary (short)</t>
        </is>
      </c>
      <c r="F564" t="inlineStr">
        <is>
          <t>H2 heading + 1st paragraph under it</t>
        </is>
      </c>
      <c r="G564" t="inlineStr">
        <is>
          <t>Certifications</t>
        </is>
      </c>
      <c r="H564" t="inlineStr">
        <is>
          <t>B2B</t>
        </is>
      </c>
      <c r="I564" t="inlineStr">
        <is>
          <t>Transactional (B2B)</t>
        </is>
      </c>
      <c r="J564" t="inlineStr">
        <is>
          <t>BOFU</t>
        </is>
      </c>
      <c r="K564" t="inlineStr">
        <is>
          <t>Global/International</t>
        </is>
      </c>
      <c r="L564" t="inlineStr">
        <is>
          <t>Landing</t>
        </is>
      </c>
      <c r="M564">
        <f>IFERROR(VLOOKUP($A564,'Semrush Import'!$A:$D,2,FALSE),"")</f>
        <v/>
      </c>
      <c r="N564">
        <f>IFERROR(VLOOKUP($A564,'Semrush Import'!$A:$D,3,FALSE),"")</f>
        <v/>
      </c>
      <c r="O564">
        <f>IFERROR(VLOOKUP($A564,'Semrush Import'!$A:$D,4,FALSE),"")</f>
        <v/>
      </c>
      <c r="P564">
        <f>IFERROR(VLOOKUP($A564,'KP Import'!$A:$B,2,FALSE),"")</f>
        <v/>
      </c>
      <c r="Q564">
        <f>IF(M564="","",ROUND(M564/(N564+10),1))</f>
        <v/>
      </c>
      <c r="R564">
        <f>IF(Q564="","",IF(Q564&gt;=20,"A - Go first",IF(Q564&gt;=5,"B - Next","C - Later")))</f>
        <v/>
      </c>
      <c r="S564" t="inlineStr">
        <is>
          <t>To do</t>
        </is>
      </c>
      <c r="T564" t="inlineStr"/>
    </row>
    <row r="565">
      <c r="A565" t="inlineStr">
        <is>
          <t>rice sgs inspection</t>
        </is>
      </c>
      <c r="B565" t="inlineStr">
        <is>
          <t>Phase 1 - B2B now</t>
        </is>
      </c>
      <c r="C565" t="inlineStr">
        <is>
          <t>Importers / exporters / traders</t>
        </is>
      </c>
      <c r="D565" t="inlineStr">
        <is>
          <t>Quality &amp; certifications</t>
        </is>
      </c>
      <c r="E565" t="inlineStr">
        <is>
          <t>Secondary (short)</t>
        </is>
      </c>
      <c r="F565" t="inlineStr">
        <is>
          <t>H2 heading + 1st paragraph under it</t>
        </is>
      </c>
      <c r="G565" t="inlineStr">
        <is>
          <t>Certifications</t>
        </is>
      </c>
      <c r="H565" t="inlineStr">
        <is>
          <t>B2B</t>
        </is>
      </c>
      <c r="I565" t="inlineStr">
        <is>
          <t>Transactional (B2B)</t>
        </is>
      </c>
      <c r="J565" t="inlineStr">
        <is>
          <t>BOFU</t>
        </is>
      </c>
      <c r="K565" t="inlineStr">
        <is>
          <t>Global/International</t>
        </is>
      </c>
      <c r="L565" t="inlineStr">
        <is>
          <t>Landing</t>
        </is>
      </c>
      <c r="M565">
        <f>IFERROR(VLOOKUP($A565,'Semrush Import'!$A:$D,2,FALSE),"")</f>
        <v/>
      </c>
      <c r="N565">
        <f>IFERROR(VLOOKUP($A565,'Semrush Import'!$A:$D,3,FALSE),"")</f>
        <v/>
      </c>
      <c r="O565">
        <f>IFERROR(VLOOKUP($A565,'Semrush Import'!$A:$D,4,FALSE),"")</f>
        <v/>
      </c>
      <c r="P565">
        <f>IFERROR(VLOOKUP($A565,'KP Import'!$A:$B,2,FALSE),"")</f>
        <v/>
      </c>
      <c r="Q565">
        <f>IF(M565="","",ROUND(M565/(N565+10),1))</f>
        <v/>
      </c>
      <c r="R565">
        <f>IF(Q565="","",IF(Q565&gt;=20,"A - Go first",IF(Q565&gt;=5,"B - Next","C - Later")))</f>
        <v/>
      </c>
      <c r="S565" t="inlineStr">
        <is>
          <t>To do</t>
        </is>
      </c>
      <c r="T565" t="inlineStr"/>
    </row>
    <row r="566">
      <c r="A566" t="inlineStr">
        <is>
          <t>rice sample request</t>
        </is>
      </c>
      <c r="B566" t="inlineStr">
        <is>
          <t>Phase 1 - B2B now</t>
        </is>
      </c>
      <c r="C566" t="inlineStr">
        <is>
          <t>Importers / exporters / traders</t>
        </is>
      </c>
      <c r="D566" t="inlineStr">
        <is>
          <t>Quality &amp; certifications</t>
        </is>
      </c>
      <c r="E566" t="inlineStr">
        <is>
          <t>Secondary (FAQ type)</t>
        </is>
      </c>
      <c r="F566" t="inlineStr">
        <is>
          <t>FAQ question + answer (FAQPage schema)</t>
        </is>
      </c>
      <c r="G566" t="inlineStr">
        <is>
          <t>Certifications</t>
        </is>
      </c>
      <c r="H566" t="inlineStr">
        <is>
          <t>B2B</t>
        </is>
      </c>
      <c r="I566" t="inlineStr">
        <is>
          <t>Transactional (B2B)</t>
        </is>
      </c>
      <c r="J566" t="inlineStr">
        <is>
          <t>BOFU</t>
        </is>
      </c>
      <c r="K566" t="inlineStr">
        <is>
          <t>Global/International</t>
        </is>
      </c>
      <c r="L566" t="inlineStr">
        <is>
          <t>Landing</t>
        </is>
      </c>
      <c r="M566">
        <f>IFERROR(VLOOKUP($A566,'Semrush Import'!$A:$D,2,FALSE),"")</f>
        <v/>
      </c>
      <c r="N566">
        <f>IFERROR(VLOOKUP($A566,'Semrush Import'!$A:$D,3,FALSE),"")</f>
        <v/>
      </c>
      <c r="O566">
        <f>IFERROR(VLOOKUP($A566,'Semrush Import'!$A:$D,4,FALSE),"")</f>
        <v/>
      </c>
      <c r="P566">
        <f>IFERROR(VLOOKUP($A566,'KP Import'!$A:$B,2,FALSE),"")</f>
        <v/>
      </c>
      <c r="Q566">
        <f>IF(M566="","",ROUND(M566/(N566+10),1))</f>
        <v/>
      </c>
      <c r="R566">
        <f>IF(Q566="","",IF(Q566&gt;=20,"A - Go first",IF(Q566&gt;=5,"B - Next","C - Later")))</f>
        <v/>
      </c>
      <c r="S566" t="inlineStr">
        <is>
          <t>To do</t>
        </is>
      </c>
      <c r="T566" t="inlineStr"/>
    </row>
    <row r="567">
      <c r="A567" t="inlineStr">
        <is>
          <t>rice for supermarkets uae</t>
        </is>
      </c>
      <c r="B567" t="inlineStr">
        <is>
          <t>Phase 1 - B2B now</t>
        </is>
      </c>
      <c r="C567" t="inlineStr">
        <is>
          <t>HORECA / retail chains / institutions</t>
        </is>
      </c>
      <c r="D567" t="inlineStr">
        <is>
          <t>HORECA &amp; institutions</t>
        </is>
      </c>
      <c r="E567" t="inlineStr">
        <is>
          <t>Secondary (long-tail)</t>
        </is>
      </c>
      <c r="F567" t="inlineStr">
        <is>
          <t>H3 / body paragraph / table row / image alt</t>
        </is>
      </c>
      <c r="G567" t="inlineStr">
        <is>
          <t>B2B segment</t>
        </is>
      </c>
      <c r="H567" t="inlineStr">
        <is>
          <t>B2B</t>
        </is>
      </c>
      <c r="I567" t="inlineStr">
        <is>
          <t>Transactional (B2B)</t>
        </is>
      </c>
      <c r="J567" t="inlineStr">
        <is>
          <t>BOFU</t>
        </is>
      </c>
      <c r="K567" t="inlineStr">
        <is>
          <t>UAE</t>
        </is>
      </c>
      <c r="L567" t="inlineStr">
        <is>
          <t>Landing</t>
        </is>
      </c>
      <c r="M567">
        <f>IFERROR(VLOOKUP($A567,'Semrush Import'!$A:$D,2,FALSE),"")</f>
        <v/>
      </c>
      <c r="N567">
        <f>IFERROR(VLOOKUP($A567,'Semrush Import'!$A:$D,3,FALSE),"")</f>
        <v/>
      </c>
      <c r="O567">
        <f>IFERROR(VLOOKUP($A567,'Semrush Import'!$A:$D,4,FALSE),"")</f>
        <v/>
      </c>
      <c r="P567">
        <f>IFERROR(VLOOKUP($A567,'KP Import'!$A:$B,2,FALSE),"")</f>
        <v/>
      </c>
      <c r="Q567">
        <f>IF(M567="","",ROUND(M567/(N567+10),1))</f>
        <v/>
      </c>
      <c r="R567">
        <f>IF(Q567="","",IF(Q567&gt;=20,"A - Go first",IF(Q567&gt;=5,"B - Next","C - Later")))</f>
        <v/>
      </c>
      <c r="S567" t="inlineStr">
        <is>
          <t>To do</t>
        </is>
      </c>
      <c r="T567" t="inlineStr"/>
    </row>
    <row r="568">
      <c r="A568" t="inlineStr">
        <is>
          <t>rice supplier for hypermarkets uae</t>
        </is>
      </c>
      <c r="B568" t="inlineStr">
        <is>
          <t>Phase 1 - B2B now</t>
        </is>
      </c>
      <c r="C568" t="inlineStr">
        <is>
          <t>HORECA / retail chains / institutions</t>
        </is>
      </c>
      <c r="D568" t="inlineStr">
        <is>
          <t>HORECA &amp; institutions</t>
        </is>
      </c>
      <c r="E568" t="inlineStr">
        <is>
          <t>Secondary (long-tail)</t>
        </is>
      </c>
      <c r="F568" t="inlineStr">
        <is>
          <t>H3 / body paragraph / table row / image alt</t>
        </is>
      </c>
      <c r="G568" t="inlineStr">
        <is>
          <t>B2B segment</t>
        </is>
      </c>
      <c r="H568" t="inlineStr">
        <is>
          <t>B2B</t>
        </is>
      </c>
      <c r="I568" t="inlineStr">
        <is>
          <t>Transactional (B2B)</t>
        </is>
      </c>
      <c r="J568" t="inlineStr">
        <is>
          <t>BOFU</t>
        </is>
      </c>
      <c r="K568" t="inlineStr">
        <is>
          <t>UAE</t>
        </is>
      </c>
      <c r="L568" t="inlineStr">
        <is>
          <t>Landing</t>
        </is>
      </c>
      <c r="M568">
        <f>IFERROR(VLOOKUP($A568,'Semrush Import'!$A:$D,2,FALSE),"")</f>
        <v/>
      </c>
      <c r="N568">
        <f>IFERROR(VLOOKUP($A568,'Semrush Import'!$A:$D,3,FALSE),"")</f>
        <v/>
      </c>
      <c r="O568">
        <f>IFERROR(VLOOKUP($A568,'Semrush Import'!$A:$D,4,FALSE),"")</f>
        <v/>
      </c>
      <c r="P568">
        <f>IFERROR(VLOOKUP($A568,'KP Import'!$A:$B,2,FALSE),"")</f>
        <v/>
      </c>
      <c r="Q568">
        <f>IF(M568="","",ROUND(M568/(N568+10),1))</f>
        <v/>
      </c>
      <c r="R568">
        <f>IF(Q568="","",IF(Q568&gt;=20,"A - Go first",IF(Q568&gt;=5,"B - Next","C - Later")))</f>
        <v/>
      </c>
      <c r="S568" t="inlineStr">
        <is>
          <t>To do</t>
        </is>
      </c>
      <c r="T568" t="inlineStr"/>
    </row>
    <row r="569">
      <c r="A569" t="inlineStr">
        <is>
          <t>rice supplier for hotels dubai</t>
        </is>
      </c>
      <c r="B569" t="inlineStr">
        <is>
          <t>Phase 1 - B2B now</t>
        </is>
      </c>
      <c r="C569" t="inlineStr">
        <is>
          <t>HORECA / retail chains / institutions</t>
        </is>
      </c>
      <c r="D569" t="inlineStr">
        <is>
          <t>HORECA &amp; institutions</t>
        </is>
      </c>
      <c r="E569" t="inlineStr">
        <is>
          <t>PRIMARY</t>
        </is>
      </c>
      <c r="F569" t="inlineStr">
        <is>
          <t>URL slug + SEO title + H1 + meta description + first 100 words</t>
        </is>
      </c>
      <c r="G569" t="inlineStr">
        <is>
          <t>B2B segment</t>
        </is>
      </c>
      <c r="H569" t="inlineStr">
        <is>
          <t>B2B</t>
        </is>
      </c>
      <c r="I569" t="inlineStr">
        <is>
          <t>Transactional (B2B)</t>
        </is>
      </c>
      <c r="J569" t="inlineStr">
        <is>
          <t>BOFU</t>
        </is>
      </c>
      <c r="K569" t="inlineStr">
        <is>
          <t>Dubai</t>
        </is>
      </c>
      <c r="L569" t="inlineStr">
        <is>
          <t>Landing</t>
        </is>
      </c>
      <c r="M569">
        <f>IFERROR(VLOOKUP($A569,'Semrush Import'!$A:$D,2,FALSE),"")</f>
        <v/>
      </c>
      <c r="N569">
        <f>IFERROR(VLOOKUP($A569,'Semrush Import'!$A:$D,3,FALSE),"")</f>
        <v/>
      </c>
      <c r="O569">
        <f>IFERROR(VLOOKUP($A569,'Semrush Import'!$A:$D,4,FALSE),"")</f>
        <v/>
      </c>
      <c r="P569">
        <f>IFERROR(VLOOKUP($A569,'KP Import'!$A:$B,2,FALSE),"")</f>
        <v/>
      </c>
      <c r="Q569">
        <f>IF(M569="","",ROUND(M569/(N569+10),1))</f>
        <v/>
      </c>
      <c r="R569">
        <f>IF(Q569="","",IF(Q569&gt;=20,"A - Go first",IF(Q569&gt;=5,"B - Next","C - Later")))</f>
        <v/>
      </c>
      <c r="S569" t="inlineStr">
        <is>
          <t>To do</t>
        </is>
      </c>
      <c r="T569" t="inlineStr"/>
    </row>
    <row r="570">
      <c r="A570" t="inlineStr">
        <is>
          <t>horeca rice supplier dubai</t>
        </is>
      </c>
      <c r="B570" t="inlineStr">
        <is>
          <t>Phase 1 - B2B now</t>
        </is>
      </c>
      <c r="C570" t="inlineStr">
        <is>
          <t>HORECA / retail chains / institutions</t>
        </is>
      </c>
      <c r="D570" t="inlineStr">
        <is>
          <t>HORECA &amp; institutions</t>
        </is>
      </c>
      <c r="E570" t="inlineStr">
        <is>
          <t>Secondary (long-tail)</t>
        </is>
      </c>
      <c r="F570" t="inlineStr">
        <is>
          <t>H3 / body paragraph / table row / image alt</t>
        </is>
      </c>
      <c r="G570" t="inlineStr">
        <is>
          <t>B2B segment</t>
        </is>
      </c>
      <c r="H570" t="inlineStr">
        <is>
          <t>B2B</t>
        </is>
      </c>
      <c r="I570" t="inlineStr">
        <is>
          <t>Transactional (B2B)</t>
        </is>
      </c>
      <c r="J570" t="inlineStr">
        <is>
          <t>BOFU</t>
        </is>
      </c>
      <c r="K570" t="inlineStr">
        <is>
          <t>Dubai</t>
        </is>
      </c>
      <c r="L570" t="inlineStr">
        <is>
          <t>Landing</t>
        </is>
      </c>
      <c r="M570">
        <f>IFERROR(VLOOKUP($A570,'Semrush Import'!$A:$D,2,FALSE),"")</f>
        <v/>
      </c>
      <c r="N570">
        <f>IFERROR(VLOOKUP($A570,'Semrush Import'!$A:$D,3,FALSE),"")</f>
        <v/>
      </c>
      <c r="O570">
        <f>IFERROR(VLOOKUP($A570,'Semrush Import'!$A:$D,4,FALSE),"")</f>
        <v/>
      </c>
      <c r="P570">
        <f>IFERROR(VLOOKUP($A570,'KP Import'!$A:$B,2,FALSE),"")</f>
        <v/>
      </c>
      <c r="Q570">
        <f>IF(M570="","",ROUND(M570/(N570+10),1))</f>
        <v/>
      </c>
      <c r="R570">
        <f>IF(Q570="","",IF(Q570&gt;=20,"A - Go first",IF(Q570&gt;=5,"B - Next","C - Later")))</f>
        <v/>
      </c>
      <c r="S570" t="inlineStr">
        <is>
          <t>To do</t>
        </is>
      </c>
      <c r="T570" t="inlineStr"/>
    </row>
    <row r="571">
      <c r="A571" t="inlineStr">
        <is>
          <t>rice supplier for catering companies dubai</t>
        </is>
      </c>
      <c r="B571" t="inlineStr">
        <is>
          <t>Phase 1 - B2B now</t>
        </is>
      </c>
      <c r="C571" t="inlineStr">
        <is>
          <t>HORECA / retail chains / institutions</t>
        </is>
      </c>
      <c r="D571" t="inlineStr">
        <is>
          <t>HORECA &amp; institutions</t>
        </is>
      </c>
      <c r="E571" t="inlineStr">
        <is>
          <t>Secondary (long-tail)</t>
        </is>
      </c>
      <c r="F571" t="inlineStr">
        <is>
          <t>H3 / body paragraph / table row / image alt</t>
        </is>
      </c>
      <c r="G571" t="inlineStr">
        <is>
          <t>B2B segment</t>
        </is>
      </c>
      <c r="H571" t="inlineStr">
        <is>
          <t>B2B</t>
        </is>
      </c>
      <c r="I571" t="inlineStr">
        <is>
          <t>Transactional (B2B)</t>
        </is>
      </c>
      <c r="J571" t="inlineStr">
        <is>
          <t>BOFU</t>
        </is>
      </c>
      <c r="K571" t="inlineStr">
        <is>
          <t>Dubai</t>
        </is>
      </c>
      <c r="L571" t="inlineStr">
        <is>
          <t>Landing</t>
        </is>
      </c>
      <c r="M571">
        <f>IFERROR(VLOOKUP($A571,'Semrush Import'!$A:$D,2,FALSE),"")</f>
        <v/>
      </c>
      <c r="N571">
        <f>IFERROR(VLOOKUP($A571,'Semrush Import'!$A:$D,3,FALSE),"")</f>
        <v/>
      </c>
      <c r="O571">
        <f>IFERROR(VLOOKUP($A571,'Semrush Import'!$A:$D,4,FALSE),"")</f>
        <v/>
      </c>
      <c r="P571">
        <f>IFERROR(VLOOKUP($A571,'KP Import'!$A:$B,2,FALSE),"")</f>
        <v/>
      </c>
      <c r="Q571">
        <f>IF(M571="","",ROUND(M571/(N571+10),1))</f>
        <v/>
      </c>
      <c r="R571">
        <f>IF(Q571="","",IF(Q571&gt;=20,"A - Go first",IF(Q571&gt;=5,"B - Next","C - Later")))</f>
        <v/>
      </c>
      <c r="S571" t="inlineStr">
        <is>
          <t>To do</t>
        </is>
      </c>
      <c r="T571" t="inlineStr"/>
    </row>
    <row r="572">
      <c r="A572" t="inlineStr">
        <is>
          <t>rice supplier for restaurants abu dhabi</t>
        </is>
      </c>
      <c r="B572" t="inlineStr">
        <is>
          <t>Phase 1 - B2B now</t>
        </is>
      </c>
      <c r="C572" t="inlineStr">
        <is>
          <t>HORECA / retail chains / institutions</t>
        </is>
      </c>
      <c r="D572" t="inlineStr">
        <is>
          <t>HORECA &amp; institutions</t>
        </is>
      </c>
      <c r="E572" t="inlineStr">
        <is>
          <t>Secondary (long-tail)</t>
        </is>
      </c>
      <c r="F572" t="inlineStr">
        <is>
          <t>H3 / body paragraph / table row / image alt</t>
        </is>
      </c>
      <c r="G572" t="inlineStr">
        <is>
          <t>B2B segment</t>
        </is>
      </c>
      <c r="H572" t="inlineStr">
        <is>
          <t>B2B</t>
        </is>
      </c>
      <c r="I572" t="inlineStr">
        <is>
          <t>Transactional (B2B)</t>
        </is>
      </c>
      <c r="J572" t="inlineStr">
        <is>
          <t>BOFU</t>
        </is>
      </c>
      <c r="K572" t="inlineStr">
        <is>
          <t>Abu Dhabi</t>
        </is>
      </c>
      <c r="L572" t="inlineStr">
        <is>
          <t>Landing</t>
        </is>
      </c>
      <c r="M572">
        <f>IFERROR(VLOOKUP($A572,'Semrush Import'!$A:$D,2,FALSE),"")</f>
        <v/>
      </c>
      <c r="N572">
        <f>IFERROR(VLOOKUP($A572,'Semrush Import'!$A:$D,3,FALSE),"")</f>
        <v/>
      </c>
      <c r="O572">
        <f>IFERROR(VLOOKUP($A572,'Semrush Import'!$A:$D,4,FALSE),"")</f>
        <v/>
      </c>
      <c r="P572">
        <f>IFERROR(VLOOKUP($A572,'KP Import'!$A:$B,2,FALSE),"")</f>
        <v/>
      </c>
      <c r="Q572">
        <f>IF(M572="","",ROUND(M572/(N572+10),1))</f>
        <v/>
      </c>
      <c r="R572">
        <f>IF(Q572="","",IF(Q572&gt;=20,"A - Go first",IF(Q572&gt;=5,"B - Next","C - Later")))</f>
        <v/>
      </c>
      <c r="S572" t="inlineStr">
        <is>
          <t>To do</t>
        </is>
      </c>
      <c r="T572" t="inlineStr"/>
    </row>
    <row r="573">
      <c r="A573" t="inlineStr">
        <is>
          <t>rice supplier for labour camps uae</t>
        </is>
      </c>
      <c r="B573" t="inlineStr">
        <is>
          <t>Phase 1 - B2B now</t>
        </is>
      </c>
      <c r="C573" t="inlineStr">
        <is>
          <t>HORECA / retail chains / institutions</t>
        </is>
      </c>
      <c r="D573" t="inlineStr">
        <is>
          <t>HORECA &amp; institutions</t>
        </is>
      </c>
      <c r="E573" t="inlineStr">
        <is>
          <t>Secondary (long-tail)</t>
        </is>
      </c>
      <c r="F573" t="inlineStr">
        <is>
          <t>H3 / body paragraph / table row / image alt</t>
        </is>
      </c>
      <c r="G573" t="inlineStr">
        <is>
          <t>B2B segment</t>
        </is>
      </c>
      <c r="H573" t="inlineStr">
        <is>
          <t>B2B</t>
        </is>
      </c>
      <c r="I573" t="inlineStr">
        <is>
          <t>Transactional (B2B)</t>
        </is>
      </c>
      <c r="J573" t="inlineStr">
        <is>
          <t>BOFU</t>
        </is>
      </c>
      <c r="K573" t="inlineStr">
        <is>
          <t>UAE</t>
        </is>
      </c>
      <c r="L573" t="inlineStr">
        <is>
          <t>Landing</t>
        </is>
      </c>
      <c r="M573">
        <f>IFERROR(VLOOKUP($A573,'Semrush Import'!$A:$D,2,FALSE),"")</f>
        <v/>
      </c>
      <c r="N573">
        <f>IFERROR(VLOOKUP($A573,'Semrush Import'!$A:$D,3,FALSE),"")</f>
        <v/>
      </c>
      <c r="O573">
        <f>IFERROR(VLOOKUP($A573,'Semrush Import'!$A:$D,4,FALSE),"")</f>
        <v/>
      </c>
      <c r="P573">
        <f>IFERROR(VLOOKUP($A573,'KP Import'!$A:$B,2,FALSE),"")</f>
        <v/>
      </c>
      <c r="Q573">
        <f>IF(M573="","",ROUND(M573/(N573+10),1))</f>
        <v/>
      </c>
      <c r="R573">
        <f>IF(Q573="","",IF(Q573&gt;=20,"A - Go first",IF(Q573&gt;=5,"B - Next","C - Later")))</f>
        <v/>
      </c>
      <c r="S573" t="inlineStr">
        <is>
          <t>To do</t>
        </is>
      </c>
      <c r="T573" t="inlineStr"/>
    </row>
    <row r="574">
      <c r="A574" t="inlineStr">
        <is>
          <t>rice supplier for government tender uae</t>
        </is>
      </c>
      <c r="B574" t="inlineStr">
        <is>
          <t>Phase 1 - B2B now</t>
        </is>
      </c>
      <c r="C574" t="inlineStr">
        <is>
          <t>HORECA / retail chains / institutions</t>
        </is>
      </c>
      <c r="D574" t="inlineStr">
        <is>
          <t>HORECA &amp; institutions</t>
        </is>
      </c>
      <c r="E574" t="inlineStr">
        <is>
          <t>Secondary (long-tail)</t>
        </is>
      </c>
      <c r="F574" t="inlineStr">
        <is>
          <t>H3 / body paragraph / table row / image alt</t>
        </is>
      </c>
      <c r="G574" t="inlineStr">
        <is>
          <t>B2B segment</t>
        </is>
      </c>
      <c r="H574" t="inlineStr">
        <is>
          <t>B2B</t>
        </is>
      </c>
      <c r="I574" t="inlineStr">
        <is>
          <t>Transactional (B2B)</t>
        </is>
      </c>
      <c r="J574" t="inlineStr">
        <is>
          <t>BOFU</t>
        </is>
      </c>
      <c r="K574" t="inlineStr">
        <is>
          <t>UAE</t>
        </is>
      </c>
      <c r="L574" t="inlineStr">
        <is>
          <t>Landing</t>
        </is>
      </c>
      <c r="M574">
        <f>IFERROR(VLOOKUP($A574,'Semrush Import'!$A:$D,2,FALSE),"")</f>
        <v/>
      </c>
      <c r="N574">
        <f>IFERROR(VLOOKUP($A574,'Semrush Import'!$A:$D,3,FALSE),"")</f>
        <v/>
      </c>
      <c r="O574">
        <f>IFERROR(VLOOKUP($A574,'Semrush Import'!$A:$D,4,FALSE),"")</f>
        <v/>
      </c>
      <c r="P574">
        <f>IFERROR(VLOOKUP($A574,'KP Import'!$A:$B,2,FALSE),"")</f>
        <v/>
      </c>
      <c r="Q574">
        <f>IF(M574="","",ROUND(M574/(N574+10),1))</f>
        <v/>
      </c>
      <c r="R574">
        <f>IF(Q574="","",IF(Q574&gt;=20,"A - Go first",IF(Q574&gt;=5,"B - Next","C - Later")))</f>
        <v/>
      </c>
      <c r="S574" t="inlineStr">
        <is>
          <t>To do</t>
        </is>
      </c>
      <c r="T574" t="inlineStr"/>
    </row>
    <row r="575">
      <c r="A575" t="inlineStr">
        <is>
          <t>rice for ration supply uae</t>
        </is>
      </c>
      <c r="B575" t="inlineStr">
        <is>
          <t>Phase 1 - B2B now</t>
        </is>
      </c>
      <c r="C575" t="inlineStr">
        <is>
          <t>HORECA / retail chains / institutions</t>
        </is>
      </c>
      <c r="D575" t="inlineStr">
        <is>
          <t>HORECA &amp; institutions</t>
        </is>
      </c>
      <c r="E575" t="inlineStr">
        <is>
          <t>Secondary (long-tail)</t>
        </is>
      </c>
      <c r="F575" t="inlineStr">
        <is>
          <t>H3 / body paragraph / table row / image alt</t>
        </is>
      </c>
      <c r="G575" t="inlineStr">
        <is>
          <t>B2B segment</t>
        </is>
      </c>
      <c r="H575" t="inlineStr">
        <is>
          <t>B2B</t>
        </is>
      </c>
      <c r="I575" t="inlineStr">
        <is>
          <t>Transactional (B2B)</t>
        </is>
      </c>
      <c r="J575" t="inlineStr">
        <is>
          <t>BOFU</t>
        </is>
      </c>
      <c r="K575" t="inlineStr">
        <is>
          <t>UAE</t>
        </is>
      </c>
      <c r="L575" t="inlineStr">
        <is>
          <t>Landing</t>
        </is>
      </c>
      <c r="M575">
        <f>IFERROR(VLOOKUP($A575,'Semrush Import'!$A:$D,2,FALSE),"")</f>
        <v/>
      </c>
      <c r="N575">
        <f>IFERROR(VLOOKUP($A575,'Semrush Import'!$A:$D,3,FALSE),"")</f>
        <v/>
      </c>
      <c r="O575">
        <f>IFERROR(VLOOKUP($A575,'Semrush Import'!$A:$D,4,FALSE),"")</f>
        <v/>
      </c>
      <c r="P575">
        <f>IFERROR(VLOOKUP($A575,'KP Import'!$A:$B,2,FALSE),"")</f>
        <v/>
      </c>
      <c r="Q575">
        <f>IF(M575="","",ROUND(M575/(N575+10),1))</f>
        <v/>
      </c>
      <c r="R575">
        <f>IF(Q575="","",IF(Q575&gt;=20,"A - Go first",IF(Q575&gt;=5,"B - Next","C - Later")))</f>
        <v/>
      </c>
      <c r="S575" t="inlineStr">
        <is>
          <t>To do</t>
        </is>
      </c>
      <c r="T575" t="inlineStr"/>
    </row>
    <row r="576">
      <c r="A576" t="inlineStr">
        <is>
          <t>bulk rice supplier for ngos</t>
        </is>
      </c>
      <c r="B576" t="inlineStr">
        <is>
          <t>Phase 1 - B2B now</t>
        </is>
      </c>
      <c r="C576" t="inlineStr">
        <is>
          <t>HORECA / retail chains / institutions</t>
        </is>
      </c>
      <c r="D576" t="inlineStr">
        <is>
          <t>HORECA &amp; institutions</t>
        </is>
      </c>
      <c r="E576" t="inlineStr">
        <is>
          <t>Secondary (long-tail)</t>
        </is>
      </c>
      <c r="F576" t="inlineStr">
        <is>
          <t>H3 / body paragraph / table row / image alt</t>
        </is>
      </c>
      <c r="G576" t="inlineStr">
        <is>
          <t>B2B segment</t>
        </is>
      </c>
      <c r="H576" t="inlineStr">
        <is>
          <t>B2B</t>
        </is>
      </c>
      <c r="I576" t="inlineStr">
        <is>
          <t>Transactional (B2B)</t>
        </is>
      </c>
      <c r="J576" t="inlineStr">
        <is>
          <t>BOFU</t>
        </is>
      </c>
      <c r="K576" t="inlineStr">
        <is>
          <t>Global/International</t>
        </is>
      </c>
      <c r="L576" t="inlineStr">
        <is>
          <t>Landing</t>
        </is>
      </c>
      <c r="M576">
        <f>IFERROR(VLOOKUP($A576,'Semrush Import'!$A:$D,2,FALSE),"")</f>
        <v/>
      </c>
      <c r="N576">
        <f>IFERROR(VLOOKUP($A576,'Semrush Import'!$A:$D,3,FALSE),"")</f>
        <v/>
      </c>
      <c r="O576">
        <f>IFERROR(VLOOKUP($A576,'Semrush Import'!$A:$D,4,FALSE),"")</f>
        <v/>
      </c>
      <c r="P576">
        <f>IFERROR(VLOOKUP($A576,'KP Import'!$A:$B,2,FALSE),"")</f>
        <v/>
      </c>
      <c r="Q576">
        <f>IF(M576="","",ROUND(M576/(N576+10),1))</f>
        <v/>
      </c>
      <c r="R576">
        <f>IF(Q576="","",IF(Q576&gt;=20,"A - Go first",IF(Q576&gt;=5,"B - Next","C - Later")))</f>
        <v/>
      </c>
      <c r="S576" t="inlineStr">
        <is>
          <t>To do</t>
        </is>
      </c>
      <c r="T576" t="inlineStr"/>
    </row>
  </sheetData>
  <autoFilter ref="A1:T57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28" customWidth="1" min="1" max="1"/>
    <col width="48" customWidth="1" min="2" max="2"/>
    <col width="34" customWidth="1" min="3" max="3"/>
    <col width="56" customWidth="1" min="4" max="4"/>
    <col width="56" customWidth="1" min="5" max="5"/>
  </cols>
  <sheetData>
    <row r="1">
      <c r="A1" s="3" t="inlineStr">
        <is>
          <t>Page ka hissa</t>
        </is>
      </c>
      <c r="B1" s="3" t="inlineStr">
        <is>
          <t>Kaunsa keyword</t>
        </is>
      </c>
      <c r="C1" s="3" t="inlineStr">
        <is>
          <t>Kitni baar</t>
        </is>
      </c>
      <c r="D1" s="3" t="inlineStr">
        <is>
          <t>Example</t>
        </is>
      </c>
      <c r="E1" s="3" t="inlineStr">
        <is>
          <t>Kya NA karein</t>
        </is>
      </c>
    </row>
    <row r="2">
      <c r="A2" s="4" t="inlineStr">
        <is>
          <t>URL slug</t>
        </is>
      </c>
      <c r="B2" s="4" t="inlineStr">
        <is>
          <t>Sirf primary keyword</t>
        </is>
      </c>
      <c r="C2" s="4" t="inlineStr">
        <is>
          <t>1 baar</t>
        </is>
      </c>
      <c r="D2" s="4" t="inlineStr">
        <is>
          <t>/rice-wholesale-dubai/</t>
        </is>
      </c>
      <c r="E2" s="4" t="inlineStr">
        <is>
          <t>Date, number, lamba sentence, underscore, capital letters</t>
        </is>
      </c>
    </row>
    <row r="3">
      <c r="A3" s="4" t="inlineStr">
        <is>
          <t>SEO title</t>
        </is>
      </c>
      <c r="B3" s="4" t="inlineStr">
        <is>
          <t>Primary pehle, brand last</t>
        </is>
      </c>
      <c r="C3" s="4" t="inlineStr">
        <is>
          <t>1 baar</t>
        </is>
      </c>
      <c r="D3" s="4" t="inlineStr">
        <is>
          <t>Rice Wholesale Dubai | Bulk Rice Supplier UAE</t>
        </is>
      </c>
      <c r="E3" s="4" t="inlineStr">
        <is>
          <t>60 se zyada characters; sirf 'Home' ya sirf brand naam</t>
        </is>
      </c>
    </row>
    <row r="4">
      <c r="A4" s="4" t="inlineStr">
        <is>
          <t>Meta description</t>
        </is>
      </c>
      <c r="B4" s="4" t="inlineStr">
        <is>
          <t>Primary + ek benefit + CTA</t>
        </is>
      </c>
      <c r="C4" s="4" t="inlineStr">
        <is>
          <t>1 baar (secondary optional)</t>
        </is>
      </c>
      <c r="D4" s="4" t="inlineStr">
        <is>
          <t>Bulk basmati supplier in Dubai. 25kg bags to full containers. Get a quote in 24 hrs.</t>
        </is>
      </c>
      <c r="E4" s="4" t="inlineStr">
        <is>
          <t>155 se zyada characters; jhoothe claims; same description kai pages pe</t>
        </is>
      </c>
    </row>
    <row r="5">
      <c r="A5" s="4" t="inlineStr">
        <is>
          <t>H1</t>
        </is>
      </c>
      <c r="B5" s="4" t="inlineStr">
        <is>
          <t>Primary (natural form)</t>
        </is>
      </c>
      <c r="C5" s="4" t="inlineStr">
        <is>
          <t>1 baar, sirf ek H1</t>
        </is>
      </c>
      <c r="D5" s="4" t="inlineStr">
        <is>
          <t>Rice Wholesale in Dubai</t>
        </is>
      </c>
      <c r="E5" s="4" t="inlineStr">
        <is>
          <t>Ek page mein 2 H1; keyword stuffing</t>
        </is>
      </c>
    </row>
    <row r="6">
      <c r="A6" s="4" t="inlineStr">
        <is>
          <t>Pehle 100 shabd</t>
        </is>
      </c>
      <c r="B6" s="4" t="inlineStr">
        <is>
          <t>Primary + 1 secondary</t>
        </is>
      </c>
      <c r="C6" s="4" t="inlineStr">
        <is>
          <t>1-2 baar</t>
        </is>
      </c>
      <c r="D6" s="4" t="inlineStr">
        <is>
          <t>...Dubai-based rice wholesale partner for importers...</t>
        </is>
      </c>
      <c r="E6" s="4" t="inlineStr">
        <is>
          <t>Pehle paragraph mein sirf company ka itihaas</t>
        </is>
      </c>
    </row>
    <row r="7">
      <c r="A7" s="4" t="inlineStr">
        <is>
          <t>H2 headings</t>
        </is>
      </c>
      <c r="B7" s="4" t="inlineStr">
        <is>
          <t>Secondary keywords (short, 2-4 shabd)</t>
        </is>
      </c>
      <c r="C7" s="4" t="inlineStr">
        <is>
          <t>Har H2 mein 1 alag keyword</t>
        </is>
      </c>
      <c r="D7" s="4" t="inlineStr">
        <is>
          <t>Bulk Basmati Rice Supplier UAE</t>
        </is>
      </c>
      <c r="E7" s="4" t="inlineStr">
        <is>
          <t>Ek hi keyword do H2 mein; H2 ko sirf keyword ki list banana</t>
        </is>
      </c>
    </row>
    <row r="8">
      <c r="A8" s="4" t="inlineStr">
        <is>
          <t>H3 / bullets / table</t>
        </is>
      </c>
      <c r="B8" s="4" t="inlineStr">
        <is>
          <t>Long-tail keywords</t>
        </is>
      </c>
      <c r="C8" s="4" t="inlineStr">
        <is>
          <t>1 baar har ek</t>
        </is>
      </c>
      <c r="D8" s="4" t="inlineStr">
        <is>
          <t>50kg Rice Bag Price Dubai</t>
        </is>
      </c>
      <c r="E8" s="4" t="inlineStr">
        <is>
          <t>Same sentence mein 3 keywords thoons dena</t>
        </is>
      </c>
    </row>
    <row r="9">
      <c r="A9" s="4" t="inlineStr">
        <is>
          <t>Body text</t>
        </is>
      </c>
      <c r="B9" s="4" t="inlineStr">
        <is>
          <t>Primary + synonyms (rice supplier, rice trader, rice exporter)</t>
        </is>
      </c>
      <c r="C9" s="4" t="inlineStr">
        <is>
          <t>Pure page mein primary 3-6 baar (natural)</t>
        </is>
      </c>
      <c r="D9" s="4" t="inlineStr">
        <is>
          <t>-</t>
        </is>
      </c>
      <c r="E9" s="4" t="inlineStr">
        <is>
          <t>Keyword density 3%+ (stuffing)</t>
        </is>
      </c>
    </row>
    <row r="10">
      <c r="A10" s="4" t="inlineStr">
        <is>
          <t>FAQ</t>
        </is>
      </c>
      <c r="B10" s="4" t="inlineStr">
        <is>
          <t>Question-type keywords</t>
        </is>
      </c>
      <c r="C10" s="4" t="inlineStr">
        <is>
          <t>Har question ek baar</t>
        </is>
      </c>
      <c r="D10" s="4" t="inlineStr">
        <is>
          <t>What is the MOQ for rice price per ton?</t>
        </is>
      </c>
      <c r="E10" s="4" t="inlineStr">
        <is>
          <t>FAQ mein ads jaisa text; jawab 100 shabd se bada</t>
        </is>
      </c>
    </row>
    <row r="11">
      <c r="A11" s="4" t="inlineStr">
        <is>
          <t>Image alt + file name</t>
        </is>
      </c>
      <c r="B11" s="4" t="inlineStr">
        <is>
          <t>Primary/secondary (sirf jahan sach ho)</t>
        </is>
      </c>
      <c r="C11" s="4" t="inlineStr">
        <is>
          <t>1-2 images mein</t>
        </is>
      </c>
      <c r="D11" s="4" t="inlineStr">
        <is>
          <t>alt='Sella basmati rice 25kg bag'</t>
        </is>
      </c>
      <c r="E11" s="4" t="inlineStr">
        <is>
          <t>Har image mein same alt; keyword ki list alt mein</t>
        </is>
      </c>
    </row>
    <row r="12">
      <c r="A12" s="4" t="inlineStr">
        <is>
          <t>Internal link anchor</t>
        </is>
      </c>
      <c r="B12" s="4" t="inlineStr">
        <is>
          <t>Primary, partial, branded - mix</t>
        </is>
      </c>
      <c r="C12" s="4" t="inlineStr">
        <is>
          <t>Alag-alag pages se alag anchors</t>
        </is>
      </c>
      <c r="D12" s="4" t="inlineStr">
        <is>
          <t>get 1121 basmati price per ton</t>
        </is>
      </c>
      <c r="E12" s="4" t="inlineStr">
        <is>
          <t>'click here', 'read more', hamesha same exact anchor</t>
        </is>
      </c>
    </row>
    <row r="13">
      <c r="A13" s="4" t="inlineStr">
        <is>
          <t>Schema</t>
        </is>
      </c>
      <c r="B13" s="4" t="inlineStr">
        <is>
          <t>Organization, FAQPage, Product, LocalBusiness, BreadcrumbList</t>
        </is>
      </c>
      <c r="C13" s="4" t="inlineStr">
        <is>
          <t>-</t>
        </is>
      </c>
      <c r="D13" s="4" t="inlineStr">
        <is>
          <t>JSON-LD via Yoast/RankMath</t>
        </is>
      </c>
      <c r="E13" s="4" t="inlineStr">
        <is>
          <t>Schema mein jhoothi reviews/ratings</t>
        </is>
      </c>
    </row>
    <row r="14">
      <c r="A14" s="4" t="inlineStr">
        <is>
          <t>Blog article</t>
        </is>
      </c>
      <c r="B14" s="4" t="inlineStr">
        <is>
          <t>Article ka primary: title + H1 + slug + first para</t>
        </is>
      </c>
      <c r="C14" s="4" t="inlineStr">
        <is>
          <t>Title mein 1 baar</t>
        </is>
      </c>
      <c r="D14" s="4" t="inlineStr">
        <is>
          <t>How to identify real basmati rice (UAE Guide)</t>
        </is>
      </c>
      <c r="E14" s="4" t="inlineStr">
        <is>
          <t>Blog ko money page se cannibalise karna (same primary keyword)</t>
        </is>
      </c>
    </row>
    <row r="15">
      <c r="A15" s="4" t="inlineStr">
        <is>
          <t>Ek keyword - ek page</t>
        </is>
      </c>
      <c r="B15" s="4" t="inlineStr">
        <is>
          <t>Har keyword sirf apne FINAL PAGE pe primary banta hai</t>
        </is>
      </c>
      <c r="C15" s="4" t="inlineStr">
        <is>
          <t>-</t>
        </is>
      </c>
      <c r="D15" s="4" t="inlineStr">
        <is>
          <t>Keyword Master col D dekho</t>
        </is>
      </c>
      <c r="E15" s="4" t="inlineStr">
        <is>
          <t>Do pages pe same primary (cannibalization)</t>
        </is>
      </c>
    </row>
  </sheetData>
  <autoFilter ref="A1:E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34" customWidth="1" min="1" max="1"/>
    <col width="36" customWidth="1" min="2" max="2"/>
    <col width="34" customWidth="1" min="3" max="3"/>
    <col width="80" customWidth="1" min="4" max="4"/>
    <col width="56" customWidth="1" min="5" max="5"/>
    <col width="10" customWidth="1" min="6" max="6"/>
    <col width="40" customWidth="1" min="7" max="7"/>
    <col width="12" customWidth="1" min="8" max="8"/>
    <col width="10" customWidth="1" min="9" max="9"/>
  </cols>
  <sheetData>
    <row r="1">
      <c r="A1" s="3" t="inlineStr">
        <is>
          <t>Page</t>
        </is>
      </c>
      <c r="B1" s="3" t="inlineStr">
        <is>
          <t>Suggested URL</t>
        </is>
      </c>
      <c r="C1" s="3" t="inlineStr">
        <is>
          <t>PRIMARY keyword</t>
        </is>
      </c>
      <c r="D1" s="3" t="inlineStr">
        <is>
          <t>Top secondary keywords (full list: Keyword Master, filter col D)</t>
        </is>
      </c>
      <c r="E1" s="3" t="inlineStr">
        <is>
          <t>Suggested SEO title</t>
        </is>
      </c>
      <c r="F1" s="3" t="inlineStr">
        <is>
          <t>Title chars (max 60)</t>
        </is>
      </c>
      <c r="G1" s="3" t="inlineStr">
        <is>
          <t>Suggested H1</t>
        </is>
      </c>
      <c r="H1" s="3" t="inlineStr">
        <is>
          <t>Total keywords on this page</t>
        </is>
      </c>
      <c r="I1" s="3" t="inlineStr">
        <is>
          <t>Phase</t>
        </is>
      </c>
    </row>
    <row r="2">
      <c r="A2" t="inlineStr">
        <is>
          <t>Home</t>
        </is>
      </c>
      <c r="B2" t="inlineStr">
        <is>
          <t>/</t>
        </is>
      </c>
      <c r="C2" t="inlineStr">
        <is>
          <t>rice trading company dubai</t>
        </is>
      </c>
      <c r="D2" t="inlineStr">
        <is>
          <t>rice supplier dubai; rice supplier uae; rice trading llc dubai</t>
        </is>
      </c>
      <c r="E2" t="inlineStr">
        <is>
          <t>Rice Trading Company Dubai | Bulk Rice Supplier UAE</t>
        </is>
      </c>
      <c r="F2" t="n">
        <v>51</v>
      </c>
      <c r="G2" t="inlineStr">
        <is>
          <t>Bulk Rice Supply for Importers &amp; Exporters</t>
        </is>
      </c>
      <c r="H2" t="n">
        <v>4</v>
      </c>
      <c r="I2" t="inlineStr">
        <is>
          <t>Phase 1</t>
        </is>
      </c>
    </row>
    <row r="3">
      <c r="A3" t="inlineStr">
        <is>
          <t>Importers &amp; Exporters</t>
        </is>
      </c>
      <c r="B3" t="inlineStr">
        <is>
          <t>/rice-importers-exporters-uae/</t>
        </is>
      </c>
      <c r="C3" t="inlineStr">
        <is>
          <t>rice importers in uae</t>
        </is>
      </c>
      <c r="D3" t="inlineStr">
        <is>
          <t>rice distributor dubai; rice importer uae; rice container import uae; rice importers in dubai; rice importer dubai; rice exporters in uae; basmati rice importers uae; rice trading company in uae ... (+5 more in Keyword Master)</t>
        </is>
      </c>
      <c r="E3" t="inlineStr">
        <is>
          <t>Rice Importers &amp; Exporters UAE | Trade Partner Dubai</t>
        </is>
      </c>
      <c r="F3" t="n">
        <v>52</v>
      </c>
      <c r="G3" t="inlineStr">
        <is>
          <t>Your Rice Import &amp; Export Partner in Dubai</t>
        </is>
      </c>
      <c r="H3" t="n">
        <v>14</v>
      </c>
      <c r="I3" t="inlineStr">
        <is>
          <t>Phase 1</t>
        </is>
      </c>
    </row>
    <row r="4">
      <c r="A4" t="inlineStr">
        <is>
          <t>Wholesale / Bulk</t>
        </is>
      </c>
      <c r="B4" t="inlineStr">
        <is>
          <t>/rice-wholesale-dubai/</t>
        </is>
      </c>
      <c r="C4" t="inlineStr">
        <is>
          <t>rice wholesale dubai</t>
        </is>
      </c>
      <c r="D4" t="inlineStr">
        <is>
          <t>sharjah rice; sharjah rice price in uae; sharjah rice price in dubai; 1kg rice bag price dubai; 5kg rice bag price dubai; 10kg rice bag price dubai; 20kg rice bag price dubai; 25kg rice bag price dubai ... (+29 more in Keyword Master)</t>
        </is>
      </c>
      <c r="E4" t="inlineStr">
        <is>
          <t>Rice Wholesale Dubai | Bulk Rice Supplier UAE</t>
        </is>
      </c>
      <c r="F4" t="n">
        <v>45</v>
      </c>
      <c r="G4" t="inlineStr">
        <is>
          <t>Rice Wholesale in Dubai</t>
        </is>
      </c>
      <c r="H4" t="n">
        <v>38</v>
      </c>
      <c r="I4" t="inlineStr">
        <is>
          <t>Phase 1</t>
        </is>
      </c>
    </row>
    <row r="5">
      <c r="A5" t="inlineStr">
        <is>
          <t>Export / Re-export</t>
        </is>
      </c>
      <c r="B5" t="inlineStr">
        <is>
          <t>/rice-export-from-dubai/</t>
        </is>
      </c>
      <c r="C5" t="inlineStr">
        <is>
          <t>rice re-export from dubai</t>
        </is>
      </c>
      <c r="D5" t="inlineStr">
        <is>
          <t>rice supplier for africa from dubai; rice export to africa from uae; rice exporter to saudi arabia; rice supplier iraq from dubai; rice export to yemen; rice supplier somalia; rice supplier kenya from dubai; rice export to nigeria ... (+3 more in Keyword Master)</t>
        </is>
      </c>
      <c r="E5" t="inlineStr">
        <is>
          <t>Rice Export from Dubai | Africa, GCC &amp; Middle East</t>
        </is>
      </c>
      <c r="F5" t="n">
        <v>50</v>
      </c>
      <c r="G5" t="inlineStr">
        <is>
          <t>Rice Export &amp; Re-export from Dubai</t>
        </is>
      </c>
      <c r="H5" t="n">
        <v>12</v>
      </c>
      <c r="I5" t="inlineStr">
        <is>
          <t>Phase 1</t>
        </is>
      </c>
    </row>
    <row r="6">
      <c r="A6" t="inlineStr">
        <is>
          <t>Price per ton (RFQ)</t>
        </is>
      </c>
      <c r="B6" t="inlineStr">
        <is>
          <t>/rice-price-per-ton/</t>
        </is>
      </c>
      <c r="C6" t="inlineStr">
        <is>
          <t>rice price per ton</t>
        </is>
      </c>
      <c r="D6" t="inlineStr">
        <is>
          <t>rice fob price; rice cif dubai; rice cif jebel ali; basmati rice fob price; rice price per ton in dubai; basmati rice price per ton; 1121 basmati rice price per ton; rice moq ... (+8 more in Keyword Master)</t>
        </is>
      </c>
      <c r="E6" t="inlineStr">
        <is>
          <t>Rice Price per Ton | FOB/CIF Dubai - Get Quote</t>
        </is>
      </c>
      <c r="F6" t="n">
        <v>46</v>
      </c>
      <c r="G6" t="inlineStr">
        <is>
          <t>Rice Price per Ton &amp; Container Quotes</t>
        </is>
      </c>
      <c r="H6" t="n">
        <v>17</v>
      </c>
      <c r="I6" t="inlineStr">
        <is>
          <t>Phase 1</t>
        </is>
      </c>
    </row>
    <row r="7">
      <c r="A7" t="inlineStr">
        <is>
          <t>Origin sourcing</t>
        </is>
      </c>
      <c r="B7" t="inlineStr">
        <is>
          <t>/rice-sourcing/</t>
        </is>
      </c>
      <c r="C7" t="inlineStr">
        <is>
          <t>indian rice supplier dubai</t>
        </is>
      </c>
      <c r="D7" t="inlineStr">
        <is>
          <t>rice exporter to uae; indian rice exporters uae; rice sourcing company dubai; rice procurement uae; rice sourcing agent uae; rice broker dubai; pakistani rice supplier uae; thai rice supplier uae ... (+7 more in Keyword Master)</t>
        </is>
      </c>
      <c r="E7" t="inlineStr">
        <is>
          <t>Indian, Pakistani &amp; Thai Rice Supplier Dubai</t>
        </is>
      </c>
      <c r="F7" t="n">
        <v>44</v>
      </c>
      <c r="G7" t="inlineStr">
        <is>
          <t>Source Rice from the Best Origins</t>
        </is>
      </c>
      <c r="H7" t="n">
        <v>16</v>
      </c>
      <c r="I7" t="inlineStr">
        <is>
          <t>Phase 1</t>
        </is>
      </c>
    </row>
    <row r="8">
      <c r="A8" t="inlineStr">
        <is>
          <t>Private label</t>
        </is>
      </c>
      <c r="B8" t="inlineStr">
        <is>
          <t>/private-label-rice/</t>
        </is>
      </c>
      <c r="C8" t="inlineStr">
        <is>
          <t>private label rice supplier</t>
        </is>
      </c>
      <c r="D8" t="inlineStr">
        <is>
          <t>private label rice uae; private label basmati rice uae; rice packing manufacturer uae; rice oem packaging; custom branded rice bags; pp bag rice packing</t>
        </is>
      </c>
      <c r="E8" t="inlineStr">
        <is>
          <t>Private Label Rice Supplier UAE | Your Brand</t>
        </is>
      </c>
      <c r="F8" t="n">
        <v>44</v>
      </c>
      <c r="G8" t="inlineStr">
        <is>
          <t>Private Label Rice for Your Brand</t>
        </is>
      </c>
      <c r="H8" t="n">
        <v>7</v>
      </c>
      <c r="I8" t="inlineStr">
        <is>
          <t>Phase 1</t>
        </is>
      </c>
    </row>
    <row r="9">
      <c r="A9" t="inlineStr">
        <is>
          <t>Quality &amp; certifications</t>
        </is>
      </c>
      <c r="B9" t="inlineStr">
        <is>
          <t>/quality-certifications/</t>
        </is>
      </c>
      <c r="C9" t="inlineStr">
        <is>
          <t>halal certified rice supplier</t>
        </is>
      </c>
      <c r="D9" t="inlineStr">
        <is>
          <t>haccp rice supplier; iso certified rice exporter; rice quality inspection; rice sgs inspection; rice sample request</t>
        </is>
      </c>
      <c r="E9" t="inlineStr">
        <is>
          <t>Halal Certified Rice Supplier UAE | HACCP, ISO</t>
        </is>
      </c>
      <c r="F9" t="n">
        <v>46</v>
      </c>
      <c r="G9" t="inlineStr">
        <is>
          <t>Quality &amp; Certifications</t>
        </is>
      </c>
      <c r="H9" t="n">
        <v>6</v>
      </c>
      <c r="I9" t="inlineStr">
        <is>
          <t>Phase 1</t>
        </is>
      </c>
    </row>
    <row r="10">
      <c r="A10" t="inlineStr">
        <is>
          <t>HORECA &amp; institutions</t>
        </is>
      </c>
      <c r="B10" t="inlineStr">
        <is>
          <t>/rice-for-hotels-restaurants/</t>
        </is>
      </c>
      <c r="C10" t="inlineStr">
        <is>
          <t>rice supplier for hotels dubai</t>
        </is>
      </c>
      <c r="D10" t="inlineStr">
        <is>
          <t>bulk rice for restaurants dubai; rice for catering dubai; rice supplier for hotels uae; rice for restaurants uae; rice for canteens dubai; rice for supermarkets uae; rice supplier for hypermarkets uae; horeca rice supplier dubai ... (+6 more in Keyword Master)</t>
        </is>
      </c>
      <c r="E10" t="inlineStr">
        <is>
          <t>Rice Supplier for Hotels &amp; Restaurants Dubai</t>
        </is>
      </c>
      <c r="F10" t="n">
        <v>44</v>
      </c>
      <c r="G10" t="inlineStr">
        <is>
          <t>Rice for Hotels, Restaurants &amp; Supermarkets</t>
        </is>
      </c>
      <c r="H10" t="n">
        <v>15</v>
      </c>
      <c r="I10" t="inlineStr">
        <is>
          <t>Phase 1</t>
        </is>
      </c>
    </row>
    <row r="11">
      <c r="A11" t="inlineStr">
        <is>
          <t>Basmati Rice (category)</t>
        </is>
      </c>
      <c r="B11" t="inlineStr">
        <is>
          <t>/basmati-rice/</t>
        </is>
      </c>
      <c r="C11" t="inlineStr">
        <is>
          <t>basmati rice supplier uae</t>
        </is>
      </c>
      <c r="D11" t="inlineStr">
        <is>
          <t>basmati rice; basmati rice price in uae; basmati rice price in dubai; basmati rice wholesale dubai; indian basmati rice; indian basmati rice price in uae; indian basmati rice price in dubai; indian basmati rice wholesale dubai ... (+24 more in Keyword Master)</t>
        </is>
      </c>
      <c r="E11" t="inlineStr">
        <is>
          <t>Basmati Rice Supplier UAE | Bulk 1121, Sella, Steam</t>
        </is>
      </c>
      <c r="F11" t="n">
        <v>51</v>
      </c>
      <c r="G11" t="inlineStr">
        <is>
          <t>Basmati Rice - Bulk Supply from Dubai</t>
        </is>
      </c>
      <c r="H11" t="n">
        <v>33</v>
      </c>
      <c r="I11" t="inlineStr">
        <is>
          <t>Phase 1</t>
        </is>
      </c>
    </row>
    <row r="12">
      <c r="A12" t="inlineStr">
        <is>
          <t>1121 Basmati</t>
        </is>
      </c>
      <c r="B12" t="inlineStr">
        <is>
          <t>/basmati-rice/1121/</t>
        </is>
      </c>
      <c r="C12" t="inlineStr">
        <is>
          <t>1121 basmati rice price per ton</t>
        </is>
      </c>
      <c r="D12" t="inlineStr">
        <is>
          <t>1121 basmati rice; 1121 basmati rice price in uae; 1121 basmati rice price in dubai; 1121 basmati rice wholesale dubai; 1121 basmati rice supplier uae</t>
        </is>
      </c>
      <c r="E12" t="inlineStr">
        <is>
          <t>1121 Basmati Rice Price per Ton | UAE Supplier</t>
        </is>
      </c>
      <c r="F12" t="n">
        <v>46</v>
      </c>
      <c r="G12" t="inlineStr">
        <is>
          <t>1121 Basmati Rice - Bulk Supply</t>
        </is>
      </c>
      <c r="H12" t="n">
        <v>5</v>
      </c>
      <c r="I12" t="inlineStr">
        <is>
          <t>Phase 1</t>
        </is>
      </c>
    </row>
    <row r="13">
      <c r="A13" t="inlineStr">
        <is>
          <t>Sella Basmati</t>
        </is>
      </c>
      <c r="B13" t="inlineStr">
        <is>
          <t>/basmati-rice/sella/</t>
        </is>
      </c>
      <c r="C13" t="inlineStr">
        <is>
          <t>sella basmati rice wholesale dubai</t>
        </is>
      </c>
      <c r="D13" t="inlineStr">
        <is>
          <t>sella basmati rice; sella basmati rice price in uae; sella basmati rice price in dubai; sella basmati rice supplier uae; golden sella basmati rice; golden sella basmati rice price in uae; golden sella basmati rice price in dubai; golden sella basmati rice wholesale dubai ... (+7 more in Keyword Master)</t>
        </is>
      </c>
      <c r="E13" t="inlineStr">
        <is>
          <t>Sella Basmati Rice Wholesale Dubai | Golden Sella</t>
        </is>
      </c>
      <c r="F13" t="n">
        <v>49</v>
      </c>
      <c r="G13" t="inlineStr">
        <is>
          <t>Sella Basmati Rice - Wholesale</t>
        </is>
      </c>
      <c r="H13" t="n">
        <v>16</v>
      </c>
      <c r="I13" t="inlineStr">
        <is>
          <t>Phase 1</t>
        </is>
      </c>
    </row>
    <row r="14">
      <c r="A14" t="inlineStr">
        <is>
          <t>Steam Basmati</t>
        </is>
      </c>
      <c r="B14" t="inlineStr">
        <is>
          <t>/basmati-rice/steam/</t>
        </is>
      </c>
      <c r="C14" t="inlineStr">
        <is>
          <t>steam basmati rice wholesale dubai</t>
        </is>
      </c>
      <c r="D14" t="inlineStr">
        <is>
          <t>steam basmati rice; steam basmati rice price in uae; steam basmati rice price in dubai; steam basmati rice supplier uae</t>
        </is>
      </c>
      <c r="E14" t="inlineStr">
        <is>
          <t>Steam Basmati Rice Wholesale Dubai</t>
        </is>
      </c>
      <c r="F14" t="n">
        <v>34</v>
      </c>
      <c r="G14" t="inlineStr">
        <is>
          <t>Steam Basmati Rice - Wholesale</t>
        </is>
      </c>
      <c r="H14" t="n">
        <v>5</v>
      </c>
      <c r="I14" t="inlineStr">
        <is>
          <t>Phase 1</t>
        </is>
      </c>
    </row>
    <row r="15">
      <c r="A15" t="inlineStr">
        <is>
          <t>Non-Basmati Rice</t>
        </is>
      </c>
      <c r="B15" t="inlineStr">
        <is>
          <t>/non-basmati-rice/</t>
        </is>
      </c>
      <c r="C15" t="inlineStr">
        <is>
          <t>parboiled rice supplier uae</t>
        </is>
      </c>
      <c r="D15" t="inlineStr">
        <is>
          <t>raw rice; raw rice price in uae; raw rice price in dubai; raw rice wholesale dubai; raw rice supplier uae; parboiled rice; parboiled rice price in uae; parboiled rice price in dubai ... (+16 more in Keyword Master)</t>
        </is>
      </c>
      <c r="E15" t="inlineStr">
        <is>
          <t>Parboiled &amp; Non-Basmati Rice Supplier UAE</t>
        </is>
      </c>
      <c r="F15" t="n">
        <v>41</v>
      </c>
      <c r="G15" t="inlineStr">
        <is>
          <t>Non-Basmati Rice - Bulk Supply</t>
        </is>
      </c>
      <c r="H15" t="n">
        <v>25</v>
      </c>
      <c r="I15" t="inlineStr">
        <is>
          <t>Phase 1</t>
        </is>
      </c>
    </row>
    <row r="16">
      <c r="A16" t="inlineStr">
        <is>
          <t>Specialty &amp; South Indian Rice</t>
        </is>
      </c>
      <c r="B16" t="inlineStr">
        <is>
          <t>/specialty-south-indian-rice/</t>
        </is>
      </c>
      <c r="C16" t="inlineStr">
        <is>
          <t>sona masoori rice supplier uae</t>
        </is>
      </c>
      <c r="D16" t="inlineStr">
        <is>
          <t>brown basmati rice; brown basmati rice price in uae; brown basmati rice price in dubai; brown basmati rice wholesale dubai; brown basmati rice supplier uae; jasmine rice; jasmine rice price in uae; jasmine rice price in dubai ... (+66 more in Keyword Master)</t>
        </is>
      </c>
      <c r="E16" t="inlineStr">
        <is>
          <t>Sona Masoori, Matta &amp; Jasmine Rice Supplier UAE</t>
        </is>
      </c>
      <c r="F16" t="n">
        <v>47</v>
      </c>
      <c r="G16" t="inlineStr">
        <is>
          <t>Specialty &amp; South Indian Rice</t>
        </is>
      </c>
      <c r="H16" t="n">
        <v>75</v>
      </c>
      <c r="I16" t="inlineStr">
        <is>
          <t>Phase 1</t>
        </is>
      </c>
    </row>
    <row r="17">
      <c r="A17" t="inlineStr">
        <is>
          <t>Warehouse &amp; free zone</t>
        </is>
      </c>
      <c r="B17" t="inlineStr">
        <is>
          <t>/rice-warehouse-jebel-ali/</t>
        </is>
      </c>
      <c r="C17" t="inlineStr">
        <is>
          <t>rice warehouse jebel ali</t>
        </is>
      </c>
      <c r="D17" t="inlineStr">
        <is>
          <t>rice trading jafza; food trading company jafza; rice warehouse dubai; rice storage dubai</t>
        </is>
      </c>
      <c r="E17" t="inlineStr">
        <is>
          <t>Rice Warehouse Jebel Ali | Storage &amp; Trading JAFZA</t>
        </is>
      </c>
      <c r="F17" t="n">
        <v>50</v>
      </c>
      <c r="G17" t="inlineStr">
        <is>
          <t>Rice Warehouse &amp; Logistics in Jebel Ali</t>
        </is>
      </c>
      <c r="H17" t="n">
        <v>5</v>
      </c>
      <c r="I17" t="inlineStr">
        <is>
          <t>Phase 1</t>
        </is>
      </c>
    </row>
    <row r="18">
      <c r="A18" t="inlineStr">
        <is>
          <t>Emirate page: Abu Dhabi</t>
        </is>
      </c>
      <c r="B18" t="inlineStr">
        <is>
          <t>/rice-supplier-abu-dhabi/</t>
        </is>
      </c>
      <c r="C18" t="inlineStr">
        <is>
          <t>rice supplier abu dhabi</t>
        </is>
      </c>
      <c r="D18" t="inlineStr">
        <is>
          <t>basmati rice abu dhabi; rice wholesale abu dhabi; buy rice online abu dhabi; rice delivery abu dhabi; sella basmati rice abu dhabi</t>
        </is>
      </c>
      <c r="E18" t="inlineStr">
        <is>
          <t>Rice Supplier Abu Dhabi | Bulk &amp; Wholesale</t>
        </is>
      </c>
      <c r="F18" t="n">
        <v>42</v>
      </c>
      <c r="G18" t="inlineStr">
        <is>
          <t>Rice Supplier in Abu Dhabi</t>
        </is>
      </c>
      <c r="H18" t="n">
        <v>6</v>
      </c>
      <c r="I18" t="inlineStr">
        <is>
          <t>Phase 1</t>
        </is>
      </c>
    </row>
    <row r="19">
      <c r="A19" t="inlineStr">
        <is>
          <t>Emirate page: Sharjah</t>
        </is>
      </c>
      <c r="B19" t="inlineStr">
        <is>
          <t>/rice-supplier-sharjah/</t>
        </is>
      </c>
      <c r="C19" t="inlineStr">
        <is>
          <t>rice supplier sharjah</t>
        </is>
      </c>
      <c r="D19" t="inlineStr">
        <is>
          <t>sharjah rice wholesale dubai; sharjah rice supplier uae; rice wholesale sharjah; basmati rice sharjah; buy rice online sharjah; rice delivery sharjah; sella basmati rice sharjah; rice wholesale al nahda sharjah ... (+3 more in Keyword Master)</t>
        </is>
      </c>
      <c r="E19" t="inlineStr">
        <is>
          <t>Rice Supplier Sharjah | Bulk &amp; Wholesale</t>
        </is>
      </c>
      <c r="F19" t="n">
        <v>40</v>
      </c>
      <c r="G19" t="inlineStr">
        <is>
          <t>Rice Supplier in Sharjah</t>
        </is>
      </c>
      <c r="H19" t="n">
        <v>12</v>
      </c>
      <c r="I19" t="inlineStr">
        <is>
          <t>Phase 1</t>
        </is>
      </c>
    </row>
    <row r="20">
      <c r="A20" t="inlineStr">
        <is>
          <t>Emirate page: Ajman</t>
        </is>
      </c>
      <c r="B20" t="inlineStr">
        <is>
          <t>/rice-supplier-ajman/</t>
        </is>
      </c>
      <c r="C20" t="inlineStr">
        <is>
          <t>rice supplier ajman</t>
        </is>
      </c>
      <c r="D20" t="inlineStr">
        <is>
          <t>rice suppliers in ajman; basmati rice ajman; rice wholesale ajman; buy rice online ajman; rice delivery ajman; sella basmati rice ajman</t>
        </is>
      </c>
      <c r="E20" t="inlineStr">
        <is>
          <t>Rice Supplier Ajman | Bulk &amp; Wholesale</t>
        </is>
      </c>
      <c r="F20" t="n">
        <v>38</v>
      </c>
      <c r="G20" t="inlineStr">
        <is>
          <t>Rice Supplier in Ajman</t>
        </is>
      </c>
      <c r="H20" t="n">
        <v>7</v>
      </c>
      <c r="I20" t="inlineStr">
        <is>
          <t>Phase 1</t>
        </is>
      </c>
    </row>
    <row r="21">
      <c r="A21" t="inlineStr">
        <is>
          <t>Emirate page: Ras Al Khaimah</t>
        </is>
      </c>
      <c r="B21" t="inlineStr">
        <is>
          <t>/rice-supplier-ras-al-khaimah/</t>
        </is>
      </c>
      <c r="C21" t="inlineStr">
        <is>
          <t>rice supplier ras al khaimah</t>
        </is>
      </c>
      <c r="D21" t="inlineStr">
        <is>
          <t>basmati rice ras al khaimah; rice wholesale ras al khaimah; buy rice online ras al khaimah; rice delivery ras al khaimah; sella basmati rice ras al khaimah</t>
        </is>
      </c>
      <c r="E21" t="inlineStr">
        <is>
          <t>Rice Supplier Ras Al Khaimah | Bulk</t>
        </is>
      </c>
      <c r="F21" t="n">
        <v>35</v>
      </c>
      <c r="G21" t="inlineStr">
        <is>
          <t>Rice Supplier in Ras Al Khaimah</t>
        </is>
      </c>
      <c r="H21" t="n">
        <v>6</v>
      </c>
      <c r="I21" t="inlineStr">
        <is>
          <t>Phase 1</t>
        </is>
      </c>
    </row>
    <row r="22">
      <c r="A22" t="inlineStr">
        <is>
          <t>Emirate page: Fujairah</t>
        </is>
      </c>
      <c r="B22" t="inlineStr">
        <is>
          <t>/rice-supplier-fujairah/</t>
        </is>
      </c>
      <c r="C22" t="inlineStr">
        <is>
          <t>rice supplier fujairah</t>
        </is>
      </c>
      <c r="D22" t="inlineStr">
        <is>
          <t>basmati rice fujairah; rice wholesale fujairah; buy rice online fujairah; rice delivery fujairah; sella basmati rice fujairah</t>
        </is>
      </c>
      <c r="E22" t="inlineStr">
        <is>
          <t>Rice Supplier Fujairah | Bulk &amp; Wholesale</t>
        </is>
      </c>
      <c r="F22" t="n">
        <v>41</v>
      </c>
      <c r="G22" t="inlineStr">
        <is>
          <t>Rice Supplier in Fujairah</t>
        </is>
      </c>
      <c r="H22" t="n">
        <v>6</v>
      </c>
      <c r="I22" t="inlineStr">
        <is>
          <t>Phase 1</t>
        </is>
      </c>
    </row>
    <row r="23">
      <c r="A23" t="inlineStr">
        <is>
          <t>Emirate page: Umm Al Quwain</t>
        </is>
      </c>
      <c r="B23" t="inlineStr">
        <is>
          <t>/rice-supplier-umm-al-quwain/</t>
        </is>
      </c>
      <c r="C23" t="inlineStr">
        <is>
          <t>rice supplier umm al quwain</t>
        </is>
      </c>
      <c r="D23" t="inlineStr">
        <is>
          <t>basmati rice umm al quwain; rice wholesale umm al quwain; buy rice online umm al quwain; rice delivery umm al quwain; sella basmati rice umm al quwain</t>
        </is>
      </c>
      <c r="E23" t="inlineStr">
        <is>
          <t>Rice Supplier Umm Al Quwain | Bulk</t>
        </is>
      </c>
      <c r="F23" t="n">
        <v>34</v>
      </c>
      <c r="G23" t="inlineStr">
        <is>
          <t>Rice Supplier in Umm Al Quwain</t>
        </is>
      </c>
      <c r="H23" t="n">
        <v>6</v>
      </c>
      <c r="I23" t="inlineStr">
        <is>
          <t>Phase 1</t>
        </is>
      </c>
    </row>
    <row r="24">
      <c r="A24" t="inlineStr">
        <is>
          <t>Emirate page: Al Ain</t>
        </is>
      </c>
      <c r="B24" t="inlineStr">
        <is>
          <t>/rice-supplier-al-ain/</t>
        </is>
      </c>
      <c r="C24" t="inlineStr">
        <is>
          <t>rice supplier al ain</t>
        </is>
      </c>
      <c r="D24" t="inlineStr">
        <is>
          <t>basmati rice al ain; rice wholesale al ain; buy rice online al ain; rice delivery al ain; sella basmati rice al ain</t>
        </is>
      </c>
      <c r="E24" t="inlineStr">
        <is>
          <t>Rice Supplier Al Ain | Bulk &amp; Wholesale</t>
        </is>
      </c>
      <c r="F24" t="n">
        <v>39</v>
      </c>
      <c r="G24" t="inlineStr">
        <is>
          <t>Rice Supplier in Al Ain</t>
        </is>
      </c>
      <c r="H24" t="n">
        <v>6</v>
      </c>
      <c r="I24" t="inlineStr">
        <is>
          <t>Phase 1</t>
        </is>
      </c>
    </row>
    <row r="25">
      <c r="A25" t="inlineStr">
        <is>
          <t>Arabic site (/ar/)</t>
        </is>
      </c>
      <c r="B25" t="inlineStr">
        <is>
          <t>/ar/</t>
        </is>
      </c>
      <c r="C25" t="inlineStr">
        <is>
          <t>ارز بسمتي بالجملة</t>
        </is>
      </c>
      <c r="D25" t="inlineStr">
        <is>
          <t>ارز بسمتي; ارز بسمتي دبي; سعر الارز في الامارات; شراء ارز اونلاين دبي; توصيل ارز دبي; ارز بسمتي سيلا; موردين ارز في الامارات; ارز مندي ... (+1 more in Keyword Master)</t>
        </is>
      </c>
      <c r="E25" t="inlineStr">
        <is>
          <t>موردين ارز بالجملة في الامارات | دبي</t>
        </is>
      </c>
      <c r="F25" t="n">
        <v>36</v>
      </c>
      <c r="G25" t="inlineStr">
        <is>
          <t>موردين الارز بالجملة في دبي</t>
        </is>
      </c>
      <c r="H25" t="n">
        <v>10</v>
      </c>
      <c r="I25" t="inlineStr">
        <is>
          <t>Phase 1</t>
        </is>
      </c>
    </row>
    <row r="26">
      <c r="A26" t="inlineStr">
        <is>
          <t>Get Quote (conversion page)</t>
        </is>
      </c>
      <c r="B26" t="inlineStr">
        <is>
          <t>/get-quote/</t>
        </is>
      </c>
      <c r="C26" t="inlineStr">
        <is>
          <t>(no SEO keyword - conversion page)</t>
        </is>
      </c>
      <c r="D26" t="inlineStr"/>
      <c r="E26" t="inlineStr">
        <is>
          <t>Get a Rice Quote | Cookychoice Dubai</t>
        </is>
      </c>
      <c r="F26" t="n">
        <v>36</v>
      </c>
      <c r="G26" t="inlineStr">
        <is>
          <t>Request a Quote</t>
        </is>
      </c>
      <c r="H26" t="n">
        <v>0</v>
      </c>
      <c r="I26" t="inlineStr">
        <is>
          <t>Phase 1</t>
        </is>
      </c>
    </row>
    <row r="27">
      <c r="A27" t="inlineStr">
        <is>
          <t>Shop (B2C)</t>
        </is>
      </c>
      <c r="B27" t="inlineStr">
        <is>
          <t>/shop/</t>
        </is>
      </c>
      <c r="C27" t="inlineStr">
        <is>
          <t>buy rice online uae</t>
        </is>
      </c>
      <c r="D27" t="inlineStr">
        <is>
          <t>buy basmati rice online; basmati rice online dubai; buy 1121 basmati rice online; 1121 basmati rice online dubai; buy sella basmati rice online; sella basmati rice online dubai; buy golden sella basmati rice online; golden sella basmati rice online dubai ... (+85 more in Keyword Master)</t>
        </is>
      </c>
      <c r="E27" t="inlineStr">
        <is>
          <t>Buy Rice Online UAE | Cookychoice</t>
        </is>
      </c>
      <c r="F27" t="n">
        <v>33</v>
      </c>
      <c r="G27" t="inlineStr">
        <is>
          <t>Shop Rice Online</t>
        </is>
      </c>
      <c r="H27" t="n">
        <v>94</v>
      </c>
      <c r="I27" t="inlineStr">
        <is>
          <t>Phase 2</t>
        </is>
      </c>
    </row>
    <row r="28">
      <c r="A28" t="inlineStr">
        <is>
          <t>Delivery page (B2C)</t>
        </is>
      </c>
      <c r="B28" t="inlineStr">
        <is>
          <t>/rice-delivery-dubai/</t>
        </is>
      </c>
      <c r="C28" t="inlineStr">
        <is>
          <t>rice delivery dubai</t>
        </is>
      </c>
      <c r="D28" t="inlineStr">
        <is>
          <t>rice home delivery uae; rice delivery near me; rice shop near me; same day rice delivery dubai; cash on delivery rice uae; rice delivery deira; basmati rice deira; rice delivery bur dubai ... (+33 more in Keyword Master)</t>
        </is>
      </c>
      <c r="E28" t="inlineStr">
        <is>
          <t>Rice Delivery Dubai | Same Day Home Delivery</t>
        </is>
      </c>
      <c r="F28" t="n">
        <v>44</v>
      </c>
      <c r="G28" t="inlineStr">
        <is>
          <t>Rice Delivery in Dubai</t>
        </is>
      </c>
      <c r="H28" t="n">
        <v>42</v>
      </c>
      <c r="I28" t="inlineStr">
        <is>
          <t>Phase 2</t>
        </is>
      </c>
    </row>
    <row r="29">
      <c r="A29" t="inlineStr">
        <is>
          <t>Brands hub (B2C)</t>
        </is>
      </c>
      <c r="B29" t="inlineStr">
        <is>
          <t>/brands/</t>
        </is>
      </c>
      <c r="C29" t="inlineStr">
        <is>
          <t>india gate basmati rice</t>
        </is>
      </c>
      <c r="D29" t="inlineStr">
        <is>
          <t>india gate basmati rice price in uae; buy india gate basmati rice dubai; daawat basmati rice; daawat basmati rice price in uae; buy daawat basmati rice dubai; kohinoor basmati rice; kohinoor basmati rice price in uae; buy kohinoor basmati rice dubai ... (+18 more in Keyword Master)</t>
        </is>
      </c>
      <c r="E29" t="inlineStr">
        <is>
          <t>Rice Brands in UAE | India Gate, Daawat, Kohinoor</t>
        </is>
      </c>
      <c r="F29" t="n">
        <v>49</v>
      </c>
      <c r="G29" t="inlineStr">
        <is>
          <t>Shop Rice by Brand</t>
        </is>
      </c>
      <c r="H29" t="n">
        <v>27</v>
      </c>
      <c r="I29" t="inlineStr">
        <is>
          <t>Phase 2</t>
        </is>
      </c>
    </row>
    <row r="30">
      <c r="A30" t="inlineStr">
        <is>
          <t>Biryani &amp; Kabsa Rice (B2C)</t>
        </is>
      </c>
      <c r="B30" t="inlineStr">
        <is>
          <t>/biryani-kabsa-rice/</t>
        </is>
      </c>
      <c r="C30" t="inlineStr">
        <is>
          <t>rice for biryani</t>
        </is>
      </c>
      <c r="D30" t="inlineStr">
        <is>
          <t>biryani rice; buy biryani rice online; biryani rice price in uae; biryani rice price in dubai; biryani rice online dubai; biryani rice wholesale dubai; biryani rice supplier uae; buy rice for biryani online ... (+20 more in Keyword Master)</t>
        </is>
      </c>
      <c r="E30" t="inlineStr">
        <is>
          <t>Best Rice for Biryani &amp; Kabsa UAE</t>
        </is>
      </c>
      <c r="F30" t="n">
        <v>33</v>
      </c>
      <c r="G30" t="inlineStr">
        <is>
          <t>Rice for Biryani &amp; Kabsa</t>
        </is>
      </c>
      <c r="H30" t="n">
        <v>29</v>
      </c>
      <c r="I30" t="inlineStr">
        <is>
          <t>Phase 2</t>
        </is>
      </c>
    </row>
  </sheetData>
  <autoFilter ref="A1:I3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06"/>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40" customWidth="1" min="3" max="3"/>
    <col width="48" customWidth="1" min="4" max="4"/>
    <col width="10" customWidth="1" min="5" max="5"/>
  </cols>
  <sheetData>
    <row r="1">
      <c r="A1" s="3" t="inlineStr">
        <is>
          <t>Link FROM page</t>
        </is>
      </c>
      <c r="B1" s="3" t="inlineStr">
        <is>
          <t>Link TO page</t>
        </is>
      </c>
      <c r="C1" s="3" t="inlineStr">
        <is>
          <t>Anchor text (link ka text)</t>
        </is>
      </c>
      <c r="D1" s="3" t="inlineStr">
        <is>
          <t>Kahan lagana hai</t>
        </is>
      </c>
      <c r="E1" s="3" t="inlineStr">
        <is>
          <t>Phase</t>
        </is>
      </c>
    </row>
    <row r="2">
      <c r="A2" t="inlineStr">
        <is>
          <t>Home</t>
        </is>
      </c>
      <c r="B2" t="inlineStr">
        <is>
          <t>Importers &amp; Exporters</t>
        </is>
      </c>
      <c r="C2" t="inlineStr">
        <is>
          <t>rice importers in uae</t>
        </is>
      </c>
      <c r="D2" t="inlineStr">
        <is>
          <t>Header menu + homepage section card</t>
        </is>
      </c>
      <c r="E2" t="inlineStr">
        <is>
          <t>Phase 1</t>
        </is>
      </c>
    </row>
    <row r="3">
      <c r="A3" t="inlineStr">
        <is>
          <t>Importers &amp; Exporters</t>
        </is>
      </c>
      <c r="B3" t="inlineStr">
        <is>
          <t>Get Quote (conversion page)</t>
        </is>
      </c>
      <c r="C3" t="inlineStr">
        <is>
          <t>get a quote</t>
        </is>
      </c>
      <c r="D3" t="inlineStr">
        <is>
          <t>Page ke upar, beech, neeche button</t>
        </is>
      </c>
      <c r="E3" t="inlineStr">
        <is>
          <t>Phase 1</t>
        </is>
      </c>
    </row>
    <row r="4">
      <c r="A4" t="inlineStr">
        <is>
          <t>Home</t>
        </is>
      </c>
      <c r="B4" t="inlineStr">
        <is>
          <t>Wholesale / Bulk</t>
        </is>
      </c>
      <c r="C4" t="inlineStr">
        <is>
          <t>rice wholesale dubai</t>
        </is>
      </c>
      <c r="D4" t="inlineStr">
        <is>
          <t>Header menu + homepage section card</t>
        </is>
      </c>
      <c r="E4" t="inlineStr">
        <is>
          <t>Phase 1</t>
        </is>
      </c>
    </row>
    <row r="5">
      <c r="A5" t="inlineStr">
        <is>
          <t>Wholesale / Bulk</t>
        </is>
      </c>
      <c r="B5" t="inlineStr">
        <is>
          <t>Get Quote (conversion page)</t>
        </is>
      </c>
      <c r="C5" t="inlineStr">
        <is>
          <t>get a quote</t>
        </is>
      </c>
      <c r="D5" t="inlineStr">
        <is>
          <t>Page ke upar, beech, neeche button</t>
        </is>
      </c>
      <c r="E5" t="inlineStr">
        <is>
          <t>Phase 1</t>
        </is>
      </c>
    </row>
    <row r="6">
      <c r="A6" t="inlineStr">
        <is>
          <t>Home</t>
        </is>
      </c>
      <c r="B6" t="inlineStr">
        <is>
          <t>Export / Re-export</t>
        </is>
      </c>
      <c r="C6" t="inlineStr">
        <is>
          <t>rice re-export from dubai</t>
        </is>
      </c>
      <c r="D6" t="inlineStr">
        <is>
          <t>Header menu + homepage section card</t>
        </is>
      </c>
      <c r="E6" t="inlineStr">
        <is>
          <t>Phase 1</t>
        </is>
      </c>
    </row>
    <row r="7">
      <c r="A7" t="inlineStr">
        <is>
          <t>Export / Re-export</t>
        </is>
      </c>
      <c r="B7" t="inlineStr">
        <is>
          <t>Get Quote (conversion page)</t>
        </is>
      </c>
      <c r="C7" t="inlineStr">
        <is>
          <t>get a quote</t>
        </is>
      </c>
      <c r="D7" t="inlineStr">
        <is>
          <t>Page ke upar, beech, neeche button</t>
        </is>
      </c>
      <c r="E7" t="inlineStr">
        <is>
          <t>Phase 1</t>
        </is>
      </c>
    </row>
    <row r="8">
      <c r="A8" t="inlineStr">
        <is>
          <t>Home</t>
        </is>
      </c>
      <c r="B8" t="inlineStr">
        <is>
          <t>Price per ton (RFQ)</t>
        </is>
      </c>
      <c r="C8" t="inlineStr">
        <is>
          <t>rice price per ton</t>
        </is>
      </c>
      <c r="D8" t="inlineStr">
        <is>
          <t>Header menu + homepage section card</t>
        </is>
      </c>
      <c r="E8" t="inlineStr">
        <is>
          <t>Phase 1</t>
        </is>
      </c>
    </row>
    <row r="9">
      <c r="A9" t="inlineStr">
        <is>
          <t>Price per ton (RFQ)</t>
        </is>
      </c>
      <c r="B9" t="inlineStr">
        <is>
          <t>Get Quote (conversion page)</t>
        </is>
      </c>
      <c r="C9" t="inlineStr">
        <is>
          <t>get a quote</t>
        </is>
      </c>
      <c r="D9" t="inlineStr">
        <is>
          <t>Page ke upar, beech, neeche button</t>
        </is>
      </c>
      <c r="E9" t="inlineStr">
        <is>
          <t>Phase 1</t>
        </is>
      </c>
    </row>
    <row r="10">
      <c r="A10" t="inlineStr">
        <is>
          <t>Home</t>
        </is>
      </c>
      <c r="B10" t="inlineStr">
        <is>
          <t>Origin sourcing</t>
        </is>
      </c>
      <c r="C10" t="inlineStr">
        <is>
          <t>indian rice supplier dubai</t>
        </is>
      </c>
      <c r="D10" t="inlineStr">
        <is>
          <t>Header menu + homepage section card</t>
        </is>
      </c>
      <c r="E10" t="inlineStr">
        <is>
          <t>Phase 1</t>
        </is>
      </c>
    </row>
    <row r="11">
      <c r="A11" t="inlineStr">
        <is>
          <t>Origin sourcing</t>
        </is>
      </c>
      <c r="B11" t="inlineStr">
        <is>
          <t>Get Quote (conversion page)</t>
        </is>
      </c>
      <c r="C11" t="inlineStr">
        <is>
          <t>get a quote</t>
        </is>
      </c>
      <c r="D11" t="inlineStr">
        <is>
          <t>Page ke upar, beech, neeche button</t>
        </is>
      </c>
      <c r="E11" t="inlineStr">
        <is>
          <t>Phase 1</t>
        </is>
      </c>
    </row>
    <row r="12">
      <c r="A12" t="inlineStr">
        <is>
          <t>Home</t>
        </is>
      </c>
      <c r="B12" t="inlineStr">
        <is>
          <t>Private label</t>
        </is>
      </c>
      <c r="C12" t="inlineStr">
        <is>
          <t>private label rice supplier</t>
        </is>
      </c>
      <c r="D12" t="inlineStr">
        <is>
          <t>Header menu + homepage section card</t>
        </is>
      </c>
      <c r="E12" t="inlineStr">
        <is>
          <t>Phase 1</t>
        </is>
      </c>
    </row>
    <row r="13">
      <c r="A13" t="inlineStr">
        <is>
          <t>Private label</t>
        </is>
      </c>
      <c r="B13" t="inlineStr">
        <is>
          <t>Get Quote (conversion page)</t>
        </is>
      </c>
      <c r="C13" t="inlineStr">
        <is>
          <t>get a quote</t>
        </is>
      </c>
      <c r="D13" t="inlineStr">
        <is>
          <t>Page ke upar, beech, neeche button</t>
        </is>
      </c>
      <c r="E13" t="inlineStr">
        <is>
          <t>Phase 1</t>
        </is>
      </c>
    </row>
    <row r="14">
      <c r="A14" t="inlineStr">
        <is>
          <t>Home</t>
        </is>
      </c>
      <c r="B14" t="inlineStr">
        <is>
          <t>Quality &amp; certifications</t>
        </is>
      </c>
      <c r="C14" t="inlineStr">
        <is>
          <t>halal certified rice supplier</t>
        </is>
      </c>
      <c r="D14" t="inlineStr">
        <is>
          <t>Header menu + homepage section card</t>
        </is>
      </c>
      <c r="E14" t="inlineStr">
        <is>
          <t>Phase 1</t>
        </is>
      </c>
    </row>
    <row r="15">
      <c r="A15" t="inlineStr">
        <is>
          <t>Quality &amp; certifications</t>
        </is>
      </c>
      <c r="B15" t="inlineStr">
        <is>
          <t>Get Quote (conversion page)</t>
        </is>
      </c>
      <c r="C15" t="inlineStr">
        <is>
          <t>get a quote</t>
        </is>
      </c>
      <c r="D15" t="inlineStr">
        <is>
          <t>Page ke upar, beech, neeche button</t>
        </is>
      </c>
      <c r="E15" t="inlineStr">
        <is>
          <t>Phase 1</t>
        </is>
      </c>
    </row>
    <row r="16">
      <c r="A16" t="inlineStr">
        <is>
          <t>Home</t>
        </is>
      </c>
      <c r="B16" t="inlineStr">
        <is>
          <t>HORECA &amp; institutions</t>
        </is>
      </c>
      <c r="C16" t="inlineStr">
        <is>
          <t>rice supplier for hotels dubai</t>
        </is>
      </c>
      <c r="D16" t="inlineStr">
        <is>
          <t>Header menu + homepage section card</t>
        </is>
      </c>
      <c r="E16" t="inlineStr">
        <is>
          <t>Phase 1</t>
        </is>
      </c>
    </row>
    <row r="17">
      <c r="A17" t="inlineStr">
        <is>
          <t>HORECA &amp; institutions</t>
        </is>
      </c>
      <c r="B17" t="inlineStr">
        <is>
          <t>Get Quote (conversion page)</t>
        </is>
      </c>
      <c r="C17" t="inlineStr">
        <is>
          <t>get a quote</t>
        </is>
      </c>
      <c r="D17" t="inlineStr">
        <is>
          <t>Page ke upar, beech, neeche button</t>
        </is>
      </c>
      <c r="E17" t="inlineStr">
        <is>
          <t>Phase 1</t>
        </is>
      </c>
    </row>
    <row r="18">
      <c r="A18" t="inlineStr">
        <is>
          <t>Home</t>
        </is>
      </c>
      <c r="B18" t="inlineStr">
        <is>
          <t>Basmati Rice (category)</t>
        </is>
      </c>
      <c r="C18" t="inlineStr">
        <is>
          <t>basmati rice supplier uae</t>
        </is>
      </c>
      <c r="D18" t="inlineStr">
        <is>
          <t>Header menu + homepage section card</t>
        </is>
      </c>
      <c r="E18" t="inlineStr">
        <is>
          <t>Phase 1</t>
        </is>
      </c>
    </row>
    <row r="19">
      <c r="A19" t="inlineStr">
        <is>
          <t>Basmati Rice (category)</t>
        </is>
      </c>
      <c r="B19" t="inlineStr">
        <is>
          <t>Get Quote (conversion page)</t>
        </is>
      </c>
      <c r="C19" t="inlineStr">
        <is>
          <t>get a quote</t>
        </is>
      </c>
      <c r="D19" t="inlineStr">
        <is>
          <t>Page ke upar, beech, neeche button</t>
        </is>
      </c>
      <c r="E19" t="inlineStr">
        <is>
          <t>Phase 1</t>
        </is>
      </c>
    </row>
    <row r="20">
      <c r="A20" t="inlineStr">
        <is>
          <t>Home</t>
        </is>
      </c>
      <c r="B20" t="inlineStr">
        <is>
          <t>1121 Basmati</t>
        </is>
      </c>
      <c r="C20" t="inlineStr">
        <is>
          <t>1121 basmati rice price per ton</t>
        </is>
      </c>
      <c r="D20" t="inlineStr">
        <is>
          <t>Header menu + homepage section card</t>
        </is>
      </c>
      <c r="E20" t="inlineStr">
        <is>
          <t>Phase 1</t>
        </is>
      </c>
    </row>
    <row r="21">
      <c r="A21" t="inlineStr">
        <is>
          <t>1121 Basmati</t>
        </is>
      </c>
      <c r="B21" t="inlineStr">
        <is>
          <t>Get Quote (conversion page)</t>
        </is>
      </c>
      <c r="C21" t="inlineStr">
        <is>
          <t>get a quote</t>
        </is>
      </c>
      <c r="D21" t="inlineStr">
        <is>
          <t>Page ke upar, beech, neeche button</t>
        </is>
      </c>
      <c r="E21" t="inlineStr">
        <is>
          <t>Phase 1</t>
        </is>
      </c>
    </row>
    <row r="22">
      <c r="A22" t="inlineStr">
        <is>
          <t>Home</t>
        </is>
      </c>
      <c r="B22" t="inlineStr">
        <is>
          <t>Sella Basmati</t>
        </is>
      </c>
      <c r="C22" t="inlineStr">
        <is>
          <t>sella basmati rice wholesale dubai</t>
        </is>
      </c>
      <c r="D22" t="inlineStr">
        <is>
          <t>Header menu + homepage section card</t>
        </is>
      </c>
      <c r="E22" t="inlineStr">
        <is>
          <t>Phase 1</t>
        </is>
      </c>
    </row>
    <row r="23">
      <c r="A23" t="inlineStr">
        <is>
          <t>Sella Basmati</t>
        </is>
      </c>
      <c r="B23" t="inlineStr">
        <is>
          <t>Get Quote (conversion page)</t>
        </is>
      </c>
      <c r="C23" t="inlineStr">
        <is>
          <t>get a quote</t>
        </is>
      </c>
      <c r="D23" t="inlineStr">
        <is>
          <t>Page ke upar, beech, neeche button</t>
        </is>
      </c>
      <c r="E23" t="inlineStr">
        <is>
          <t>Phase 1</t>
        </is>
      </c>
    </row>
    <row r="24">
      <c r="A24" t="inlineStr">
        <is>
          <t>Home</t>
        </is>
      </c>
      <c r="B24" t="inlineStr">
        <is>
          <t>Steam Basmati</t>
        </is>
      </c>
      <c r="C24" t="inlineStr">
        <is>
          <t>steam basmati rice wholesale dubai</t>
        </is>
      </c>
      <c r="D24" t="inlineStr">
        <is>
          <t>Header menu + homepage section card</t>
        </is>
      </c>
      <c r="E24" t="inlineStr">
        <is>
          <t>Phase 1</t>
        </is>
      </c>
    </row>
    <row r="25">
      <c r="A25" t="inlineStr">
        <is>
          <t>Steam Basmati</t>
        </is>
      </c>
      <c r="B25" t="inlineStr">
        <is>
          <t>Get Quote (conversion page)</t>
        </is>
      </c>
      <c r="C25" t="inlineStr">
        <is>
          <t>get a quote</t>
        </is>
      </c>
      <c r="D25" t="inlineStr">
        <is>
          <t>Page ke upar, beech, neeche button</t>
        </is>
      </c>
      <c r="E25" t="inlineStr">
        <is>
          <t>Phase 1</t>
        </is>
      </c>
    </row>
    <row r="26">
      <c r="A26" t="inlineStr">
        <is>
          <t>Home</t>
        </is>
      </c>
      <c r="B26" t="inlineStr">
        <is>
          <t>Non-Basmati Rice</t>
        </is>
      </c>
      <c r="C26" t="inlineStr">
        <is>
          <t>parboiled rice supplier uae</t>
        </is>
      </c>
      <c r="D26" t="inlineStr">
        <is>
          <t>Header menu + homepage section card</t>
        </is>
      </c>
      <c r="E26" t="inlineStr">
        <is>
          <t>Phase 1</t>
        </is>
      </c>
    </row>
    <row r="27">
      <c r="A27" t="inlineStr">
        <is>
          <t>Non-Basmati Rice</t>
        </is>
      </c>
      <c r="B27" t="inlineStr">
        <is>
          <t>Get Quote (conversion page)</t>
        </is>
      </c>
      <c r="C27" t="inlineStr">
        <is>
          <t>get a quote</t>
        </is>
      </c>
      <c r="D27" t="inlineStr">
        <is>
          <t>Page ke upar, beech, neeche button</t>
        </is>
      </c>
      <c r="E27" t="inlineStr">
        <is>
          <t>Phase 1</t>
        </is>
      </c>
    </row>
    <row r="28">
      <c r="A28" t="inlineStr">
        <is>
          <t>Home</t>
        </is>
      </c>
      <c r="B28" t="inlineStr">
        <is>
          <t>Specialty &amp; South Indian Rice</t>
        </is>
      </c>
      <c r="C28" t="inlineStr">
        <is>
          <t>sona masoori rice supplier uae</t>
        </is>
      </c>
      <c r="D28" t="inlineStr">
        <is>
          <t>Header menu + homepage section card</t>
        </is>
      </c>
      <c r="E28" t="inlineStr">
        <is>
          <t>Phase 1</t>
        </is>
      </c>
    </row>
    <row r="29">
      <c r="A29" t="inlineStr">
        <is>
          <t>Specialty &amp; South Indian Rice</t>
        </is>
      </c>
      <c r="B29" t="inlineStr">
        <is>
          <t>Get Quote (conversion page)</t>
        </is>
      </c>
      <c r="C29" t="inlineStr">
        <is>
          <t>get a quote</t>
        </is>
      </c>
      <c r="D29" t="inlineStr">
        <is>
          <t>Page ke upar, beech, neeche button</t>
        </is>
      </c>
      <c r="E29" t="inlineStr">
        <is>
          <t>Phase 1</t>
        </is>
      </c>
    </row>
    <row r="30">
      <c r="A30" t="inlineStr">
        <is>
          <t>Home</t>
        </is>
      </c>
      <c r="B30" t="inlineStr">
        <is>
          <t>Warehouse &amp; free zone</t>
        </is>
      </c>
      <c r="C30" t="inlineStr">
        <is>
          <t>rice warehouse jebel ali</t>
        </is>
      </c>
      <c r="D30" t="inlineStr">
        <is>
          <t>Header menu + homepage section card</t>
        </is>
      </c>
      <c r="E30" t="inlineStr">
        <is>
          <t>Phase 1</t>
        </is>
      </c>
    </row>
    <row r="31">
      <c r="A31" t="inlineStr">
        <is>
          <t>Warehouse &amp; free zone</t>
        </is>
      </c>
      <c r="B31" t="inlineStr">
        <is>
          <t>Get Quote (conversion page)</t>
        </is>
      </c>
      <c r="C31" t="inlineStr">
        <is>
          <t>get a quote</t>
        </is>
      </c>
      <c r="D31" t="inlineStr">
        <is>
          <t>Page ke upar, beech, neeche button</t>
        </is>
      </c>
      <c r="E31" t="inlineStr">
        <is>
          <t>Phase 1</t>
        </is>
      </c>
    </row>
    <row r="32">
      <c r="A32" t="inlineStr">
        <is>
          <t>Home</t>
        </is>
      </c>
      <c r="B32" t="inlineStr">
        <is>
          <t>Emirate page: Abu Dhabi</t>
        </is>
      </c>
      <c r="C32" t="inlineStr">
        <is>
          <t>rice supplier abu dhabi</t>
        </is>
      </c>
      <c r="D32" t="inlineStr">
        <is>
          <t>Header menu + homepage section card</t>
        </is>
      </c>
      <c r="E32" t="inlineStr">
        <is>
          <t>Phase 1</t>
        </is>
      </c>
    </row>
    <row r="33">
      <c r="A33" t="inlineStr">
        <is>
          <t>Emirate page: Abu Dhabi</t>
        </is>
      </c>
      <c r="B33" t="inlineStr">
        <is>
          <t>Get Quote (conversion page)</t>
        </is>
      </c>
      <c r="C33" t="inlineStr">
        <is>
          <t>get a quote</t>
        </is>
      </c>
      <c r="D33" t="inlineStr">
        <is>
          <t>Page ke upar, beech, neeche button</t>
        </is>
      </c>
      <c r="E33" t="inlineStr">
        <is>
          <t>Phase 1</t>
        </is>
      </c>
    </row>
    <row r="34">
      <c r="A34" t="inlineStr">
        <is>
          <t>Home</t>
        </is>
      </c>
      <c r="B34" t="inlineStr">
        <is>
          <t>Emirate page: Sharjah</t>
        </is>
      </c>
      <c r="C34" t="inlineStr">
        <is>
          <t>rice supplier sharjah</t>
        </is>
      </c>
      <c r="D34" t="inlineStr">
        <is>
          <t>Header menu + homepage section card</t>
        </is>
      </c>
      <c r="E34" t="inlineStr">
        <is>
          <t>Phase 1</t>
        </is>
      </c>
    </row>
    <row r="35">
      <c r="A35" t="inlineStr">
        <is>
          <t>Emirate page: Sharjah</t>
        </is>
      </c>
      <c r="B35" t="inlineStr">
        <is>
          <t>Get Quote (conversion page)</t>
        </is>
      </c>
      <c r="C35" t="inlineStr">
        <is>
          <t>get a quote</t>
        </is>
      </c>
      <c r="D35" t="inlineStr">
        <is>
          <t>Page ke upar, beech, neeche button</t>
        </is>
      </c>
      <c r="E35" t="inlineStr">
        <is>
          <t>Phase 1</t>
        </is>
      </c>
    </row>
    <row r="36">
      <c r="A36" t="inlineStr">
        <is>
          <t>Home</t>
        </is>
      </c>
      <c r="B36" t="inlineStr">
        <is>
          <t>Emirate page: Ajman</t>
        </is>
      </c>
      <c r="C36" t="inlineStr">
        <is>
          <t>rice supplier ajman</t>
        </is>
      </c>
      <c r="D36" t="inlineStr">
        <is>
          <t>Header menu + homepage section card</t>
        </is>
      </c>
      <c r="E36" t="inlineStr">
        <is>
          <t>Phase 1</t>
        </is>
      </c>
    </row>
    <row r="37">
      <c r="A37" t="inlineStr">
        <is>
          <t>Emirate page: Ajman</t>
        </is>
      </c>
      <c r="B37" t="inlineStr">
        <is>
          <t>Get Quote (conversion page)</t>
        </is>
      </c>
      <c r="C37" t="inlineStr">
        <is>
          <t>get a quote</t>
        </is>
      </c>
      <c r="D37" t="inlineStr">
        <is>
          <t>Page ke upar, beech, neeche button</t>
        </is>
      </c>
      <c r="E37" t="inlineStr">
        <is>
          <t>Phase 1</t>
        </is>
      </c>
    </row>
    <row r="38">
      <c r="A38" t="inlineStr">
        <is>
          <t>Home</t>
        </is>
      </c>
      <c r="B38" t="inlineStr">
        <is>
          <t>Emirate page: Ras Al Khaimah</t>
        </is>
      </c>
      <c r="C38" t="inlineStr">
        <is>
          <t>rice supplier ras al khaimah</t>
        </is>
      </c>
      <c r="D38" t="inlineStr">
        <is>
          <t>Header menu + homepage section card</t>
        </is>
      </c>
      <c r="E38" t="inlineStr">
        <is>
          <t>Phase 1</t>
        </is>
      </c>
    </row>
    <row r="39">
      <c r="A39" t="inlineStr">
        <is>
          <t>Emirate page: Ras Al Khaimah</t>
        </is>
      </c>
      <c r="B39" t="inlineStr">
        <is>
          <t>Get Quote (conversion page)</t>
        </is>
      </c>
      <c r="C39" t="inlineStr">
        <is>
          <t>get a quote</t>
        </is>
      </c>
      <c r="D39" t="inlineStr">
        <is>
          <t>Page ke upar, beech, neeche button</t>
        </is>
      </c>
      <c r="E39" t="inlineStr">
        <is>
          <t>Phase 1</t>
        </is>
      </c>
    </row>
    <row r="40">
      <c r="A40" t="inlineStr">
        <is>
          <t>Home</t>
        </is>
      </c>
      <c r="B40" t="inlineStr">
        <is>
          <t>Emirate page: Fujairah</t>
        </is>
      </c>
      <c r="C40" t="inlineStr">
        <is>
          <t>rice supplier fujairah</t>
        </is>
      </c>
      <c r="D40" t="inlineStr">
        <is>
          <t>Header menu + homepage section card</t>
        </is>
      </c>
      <c r="E40" t="inlineStr">
        <is>
          <t>Phase 1</t>
        </is>
      </c>
    </row>
    <row r="41">
      <c r="A41" t="inlineStr">
        <is>
          <t>Emirate page: Fujairah</t>
        </is>
      </c>
      <c r="B41" t="inlineStr">
        <is>
          <t>Get Quote (conversion page)</t>
        </is>
      </c>
      <c r="C41" t="inlineStr">
        <is>
          <t>get a quote</t>
        </is>
      </c>
      <c r="D41" t="inlineStr">
        <is>
          <t>Page ke upar, beech, neeche button</t>
        </is>
      </c>
      <c r="E41" t="inlineStr">
        <is>
          <t>Phase 1</t>
        </is>
      </c>
    </row>
    <row r="42">
      <c r="A42" t="inlineStr">
        <is>
          <t>Home</t>
        </is>
      </c>
      <c r="B42" t="inlineStr">
        <is>
          <t>Emirate page: Umm Al Quwain</t>
        </is>
      </c>
      <c r="C42" t="inlineStr">
        <is>
          <t>rice supplier umm al quwain</t>
        </is>
      </c>
      <c r="D42" t="inlineStr">
        <is>
          <t>Header menu + homepage section card</t>
        </is>
      </c>
      <c r="E42" t="inlineStr">
        <is>
          <t>Phase 1</t>
        </is>
      </c>
    </row>
    <row r="43">
      <c r="A43" t="inlineStr">
        <is>
          <t>Emirate page: Umm Al Quwain</t>
        </is>
      </c>
      <c r="B43" t="inlineStr">
        <is>
          <t>Get Quote (conversion page)</t>
        </is>
      </c>
      <c r="C43" t="inlineStr">
        <is>
          <t>get a quote</t>
        </is>
      </c>
      <c r="D43" t="inlineStr">
        <is>
          <t>Page ke upar, beech, neeche button</t>
        </is>
      </c>
      <c r="E43" t="inlineStr">
        <is>
          <t>Phase 1</t>
        </is>
      </c>
    </row>
    <row r="44">
      <c r="A44" t="inlineStr">
        <is>
          <t>Home</t>
        </is>
      </c>
      <c r="B44" t="inlineStr">
        <is>
          <t>Emirate page: Al Ain</t>
        </is>
      </c>
      <c r="C44" t="inlineStr">
        <is>
          <t>rice supplier al ain</t>
        </is>
      </c>
      <c r="D44" t="inlineStr">
        <is>
          <t>Header menu + homepage section card</t>
        </is>
      </c>
      <c r="E44" t="inlineStr">
        <is>
          <t>Phase 1</t>
        </is>
      </c>
    </row>
    <row r="45">
      <c r="A45" t="inlineStr">
        <is>
          <t>Emirate page: Al Ain</t>
        </is>
      </c>
      <c r="B45" t="inlineStr">
        <is>
          <t>Get Quote (conversion page)</t>
        </is>
      </c>
      <c r="C45" t="inlineStr">
        <is>
          <t>get a quote</t>
        </is>
      </c>
      <c r="D45" t="inlineStr">
        <is>
          <t>Page ke upar, beech, neeche button</t>
        </is>
      </c>
      <c r="E45" t="inlineStr">
        <is>
          <t>Phase 1</t>
        </is>
      </c>
    </row>
    <row r="46">
      <c r="A46" t="inlineStr">
        <is>
          <t>Home</t>
        </is>
      </c>
      <c r="B46" t="inlineStr">
        <is>
          <t>Arabic site (/ar/)</t>
        </is>
      </c>
      <c r="C46" t="inlineStr">
        <is>
          <t>ارز بسمتي بالجملة</t>
        </is>
      </c>
      <c r="D46" t="inlineStr">
        <is>
          <t>Header menu + homepage section card</t>
        </is>
      </c>
      <c r="E46" t="inlineStr">
        <is>
          <t>Phase 1</t>
        </is>
      </c>
    </row>
    <row r="47">
      <c r="A47" t="inlineStr">
        <is>
          <t>Arabic site (/ar/)</t>
        </is>
      </c>
      <c r="B47" t="inlineStr">
        <is>
          <t>Get Quote (conversion page)</t>
        </is>
      </c>
      <c r="C47" t="inlineStr">
        <is>
          <t>get a quote</t>
        </is>
      </c>
      <c r="D47" t="inlineStr">
        <is>
          <t>Page ke upar, beech, neeche button</t>
        </is>
      </c>
      <c r="E47" t="inlineStr">
        <is>
          <t>Phase 1</t>
        </is>
      </c>
    </row>
    <row r="48">
      <c r="A48" t="inlineStr">
        <is>
          <t>Importers &amp; Exporters</t>
        </is>
      </c>
      <c r="B48" t="inlineStr">
        <is>
          <t>Export / Re-export</t>
        </is>
      </c>
      <c r="C48" t="inlineStr">
        <is>
          <t>rice re-export from dubai</t>
        </is>
      </c>
      <c r="D48" t="inlineStr">
        <is>
          <t>Body paragraph ke andar relevant sentence</t>
        </is>
      </c>
      <c r="E48" t="inlineStr">
        <is>
          <t>Phase 1</t>
        </is>
      </c>
    </row>
    <row r="49">
      <c r="A49" t="inlineStr">
        <is>
          <t>Importers &amp; Exporters</t>
        </is>
      </c>
      <c r="B49" t="inlineStr">
        <is>
          <t>Price per ton (RFQ)</t>
        </is>
      </c>
      <c r="C49" t="inlineStr">
        <is>
          <t>rice price per ton</t>
        </is>
      </c>
      <c r="D49" t="inlineStr">
        <is>
          <t>Body paragraph ke andar relevant sentence</t>
        </is>
      </c>
      <c r="E49" t="inlineStr">
        <is>
          <t>Phase 1</t>
        </is>
      </c>
    </row>
    <row r="50">
      <c r="A50" t="inlineStr">
        <is>
          <t>Wholesale / Bulk</t>
        </is>
      </c>
      <c r="B50" t="inlineStr">
        <is>
          <t>Basmati Rice (category)</t>
        </is>
      </c>
      <c r="C50" t="inlineStr">
        <is>
          <t>bulk basmati rice uae</t>
        </is>
      </c>
      <c r="D50" t="inlineStr">
        <is>
          <t>Body paragraph ke andar relevant sentence</t>
        </is>
      </c>
      <c r="E50" t="inlineStr">
        <is>
          <t>Phase 1</t>
        </is>
      </c>
    </row>
    <row r="51">
      <c r="A51" t="inlineStr">
        <is>
          <t>Wholesale / Bulk</t>
        </is>
      </c>
      <c r="B51" t="inlineStr">
        <is>
          <t>Non-Basmati Rice</t>
        </is>
      </c>
      <c r="C51" t="inlineStr">
        <is>
          <t>parboiled rice supplier uae</t>
        </is>
      </c>
      <c r="D51" t="inlineStr">
        <is>
          <t>Body paragraph ke andar relevant sentence</t>
        </is>
      </c>
      <c r="E51" t="inlineStr">
        <is>
          <t>Phase 1</t>
        </is>
      </c>
    </row>
    <row r="52">
      <c r="A52" t="inlineStr">
        <is>
          <t>Wholesale / Bulk</t>
        </is>
      </c>
      <c r="B52" t="inlineStr">
        <is>
          <t>Price per ton (RFQ)</t>
        </is>
      </c>
      <c r="C52" t="inlineStr">
        <is>
          <t>wholesale rice price dubai</t>
        </is>
      </c>
      <c r="D52" t="inlineStr">
        <is>
          <t>Body paragraph ke andar relevant sentence</t>
        </is>
      </c>
      <c r="E52" t="inlineStr">
        <is>
          <t>Phase 1</t>
        </is>
      </c>
    </row>
    <row r="53">
      <c r="A53" t="inlineStr">
        <is>
          <t>Export / Re-export</t>
        </is>
      </c>
      <c r="B53" t="inlineStr">
        <is>
          <t>Origin sourcing</t>
        </is>
      </c>
      <c r="C53" t="inlineStr">
        <is>
          <t>indian rice supplier dubai</t>
        </is>
      </c>
      <c r="D53" t="inlineStr">
        <is>
          <t>Body paragraph ke andar relevant sentence</t>
        </is>
      </c>
      <c r="E53" t="inlineStr">
        <is>
          <t>Phase 1</t>
        </is>
      </c>
    </row>
    <row r="54">
      <c r="A54" t="inlineStr">
        <is>
          <t>Export / Re-export</t>
        </is>
      </c>
      <c r="B54" t="inlineStr">
        <is>
          <t>Warehouse &amp; free zone</t>
        </is>
      </c>
      <c r="C54" t="inlineStr">
        <is>
          <t>rice warehouse jebel ali</t>
        </is>
      </c>
      <c r="D54" t="inlineStr">
        <is>
          <t>Body paragraph ke andar relevant sentence</t>
        </is>
      </c>
      <c r="E54" t="inlineStr">
        <is>
          <t>Phase 1</t>
        </is>
      </c>
    </row>
    <row r="55">
      <c r="A55" t="inlineStr">
        <is>
          <t>Basmati Rice (category)</t>
        </is>
      </c>
      <c r="B55" t="inlineStr">
        <is>
          <t>1121 Basmati</t>
        </is>
      </c>
      <c r="C55" t="inlineStr">
        <is>
          <t>1121 basmati rice</t>
        </is>
      </c>
      <c r="D55" t="inlineStr">
        <is>
          <t>Body paragraph ke andar relevant sentence</t>
        </is>
      </c>
      <c r="E55" t="inlineStr">
        <is>
          <t>Phase 1</t>
        </is>
      </c>
    </row>
    <row r="56">
      <c r="A56" t="inlineStr">
        <is>
          <t>Basmati Rice (category)</t>
        </is>
      </c>
      <c r="B56" t="inlineStr">
        <is>
          <t>Sella Basmati</t>
        </is>
      </c>
      <c r="C56" t="inlineStr">
        <is>
          <t>sella basmati rice</t>
        </is>
      </c>
      <c r="D56" t="inlineStr">
        <is>
          <t>Body paragraph ke andar relevant sentence</t>
        </is>
      </c>
      <c r="E56" t="inlineStr">
        <is>
          <t>Phase 1</t>
        </is>
      </c>
    </row>
    <row r="57">
      <c r="A57" t="inlineStr">
        <is>
          <t>Basmati Rice (category)</t>
        </is>
      </c>
      <c r="B57" t="inlineStr">
        <is>
          <t>Steam Basmati</t>
        </is>
      </c>
      <c r="C57" t="inlineStr">
        <is>
          <t>steam basmati rice</t>
        </is>
      </c>
      <c r="D57" t="inlineStr">
        <is>
          <t>Body paragraph ke andar relevant sentence</t>
        </is>
      </c>
      <c r="E57" t="inlineStr">
        <is>
          <t>Phase 1</t>
        </is>
      </c>
    </row>
    <row r="58">
      <c r="A58" t="inlineStr">
        <is>
          <t>1121 Basmati</t>
        </is>
      </c>
      <c r="B58" t="inlineStr">
        <is>
          <t>Price per ton (RFQ)</t>
        </is>
      </c>
      <c r="C58" t="inlineStr">
        <is>
          <t>1121 basmati price per ton</t>
        </is>
      </c>
      <c r="D58" t="inlineStr">
        <is>
          <t>Body paragraph ke andar relevant sentence</t>
        </is>
      </c>
      <c r="E58" t="inlineStr">
        <is>
          <t>Phase 1</t>
        </is>
      </c>
    </row>
    <row r="59">
      <c r="A59" t="inlineStr">
        <is>
          <t>Private label</t>
        </is>
      </c>
      <c r="B59" t="inlineStr">
        <is>
          <t>Quality &amp; certifications</t>
        </is>
      </c>
      <c r="C59" t="inlineStr">
        <is>
          <t>certified rice supplier</t>
        </is>
      </c>
      <c r="D59" t="inlineStr">
        <is>
          <t>Body paragraph ke andar relevant sentence</t>
        </is>
      </c>
      <c r="E59" t="inlineStr">
        <is>
          <t>Phase 1</t>
        </is>
      </c>
    </row>
    <row r="60">
      <c r="A60" t="inlineStr">
        <is>
          <t>HORECA &amp; institutions</t>
        </is>
      </c>
      <c r="B60" t="inlineStr">
        <is>
          <t>Wholesale / Bulk</t>
        </is>
      </c>
      <c r="C60" t="inlineStr">
        <is>
          <t>bulk rice for restaurants</t>
        </is>
      </c>
      <c r="D60" t="inlineStr">
        <is>
          <t>Body paragraph ke andar relevant sentence</t>
        </is>
      </c>
      <c r="E60" t="inlineStr">
        <is>
          <t>Phase 1</t>
        </is>
      </c>
    </row>
    <row r="61">
      <c r="A61" t="inlineStr">
        <is>
          <t>Origin sourcing</t>
        </is>
      </c>
      <c r="B61" t="inlineStr">
        <is>
          <t>Quality &amp; certifications</t>
        </is>
      </c>
      <c r="C61" t="inlineStr">
        <is>
          <t>quality inspection</t>
        </is>
      </c>
      <c r="D61" t="inlineStr">
        <is>
          <t>Body paragraph ke andar relevant sentence</t>
        </is>
      </c>
      <c r="E61" t="inlineStr">
        <is>
          <t>Phase 1</t>
        </is>
      </c>
    </row>
    <row r="62">
      <c r="A62" t="inlineStr">
        <is>
          <t>Blog: how to cook basmati rice</t>
        </is>
      </c>
      <c r="B62" t="inlineStr">
        <is>
          <t>Basmati Rice (category)</t>
        </is>
      </c>
      <c r="C62" t="inlineStr">
        <is>
          <t>basmati rice supplier uae</t>
        </is>
      </c>
      <c r="D62" t="inlineStr">
        <is>
          <t>Article ke beech mein 1 link + end mein CTA</t>
        </is>
      </c>
      <c r="E62" t="inlineStr">
        <is>
          <t>Phase 1</t>
        </is>
      </c>
    </row>
    <row r="63">
      <c r="A63" t="inlineStr">
        <is>
          <t>Blog: basmati rice vs jasmine rice</t>
        </is>
      </c>
      <c r="B63" t="inlineStr">
        <is>
          <t>Basmati Rice (category)</t>
        </is>
      </c>
      <c r="C63" t="inlineStr">
        <is>
          <t>basmati rice supplier uae</t>
        </is>
      </c>
      <c r="D63" t="inlineStr">
        <is>
          <t>Article ke beech mein 1 link + end mein CTA</t>
        </is>
      </c>
      <c r="E63" t="inlineStr">
        <is>
          <t>Phase 1</t>
        </is>
      </c>
    </row>
    <row r="64">
      <c r="A64" t="inlineStr">
        <is>
          <t>Blog: 1121 basmati vs sella basmati</t>
        </is>
      </c>
      <c r="B64" t="inlineStr">
        <is>
          <t>Basmati Rice (category)</t>
        </is>
      </c>
      <c r="C64" t="inlineStr">
        <is>
          <t>basmati rice supplier uae</t>
        </is>
      </c>
      <c r="D64" t="inlineStr">
        <is>
          <t>Article ke beech mein 1 link + end mein CTA</t>
        </is>
      </c>
      <c r="E64" t="inlineStr">
        <is>
          <t>Phase 1</t>
        </is>
      </c>
    </row>
    <row r="65">
      <c r="A65" t="inlineStr">
        <is>
          <t>Blog: difference between sella and steam basmati</t>
        </is>
      </c>
      <c r="B65" t="inlineStr">
        <is>
          <t>Basmati Rice (category)</t>
        </is>
      </c>
      <c r="C65" t="inlineStr">
        <is>
          <t>basmati rice supplier uae</t>
        </is>
      </c>
      <c r="D65" t="inlineStr">
        <is>
          <t>Article ke beech mein 1 link + end mein CTA</t>
        </is>
      </c>
      <c r="E65" t="inlineStr">
        <is>
          <t>Phase 1</t>
        </is>
      </c>
    </row>
    <row r="66">
      <c r="A66" t="inlineStr">
        <is>
          <t>Blog: how to identify real basmati rice</t>
        </is>
      </c>
      <c r="B66" t="inlineStr">
        <is>
          <t>Quality &amp; certifications</t>
        </is>
      </c>
      <c r="C66" t="inlineStr">
        <is>
          <t>halal certified rice supplier</t>
        </is>
      </c>
      <c r="D66" t="inlineStr">
        <is>
          <t>Article ke beech mein 1 link + end mein CTA</t>
        </is>
      </c>
      <c r="E66" t="inlineStr">
        <is>
          <t>Phase 1</t>
        </is>
      </c>
    </row>
    <row r="67">
      <c r="A67" t="inlineStr">
        <is>
          <t>Blog: how to choose basmati rice</t>
        </is>
      </c>
      <c r="B67" t="inlineStr">
        <is>
          <t>Basmati Rice (category)</t>
        </is>
      </c>
      <c r="C67" t="inlineStr">
        <is>
          <t>basmati rice supplier uae</t>
        </is>
      </c>
      <c r="D67" t="inlineStr">
        <is>
          <t>Article ke beech mein 1 link + end mein CTA</t>
        </is>
      </c>
      <c r="E67" t="inlineStr">
        <is>
          <t>Phase 1</t>
        </is>
      </c>
    </row>
    <row r="68">
      <c r="A68" t="inlineStr">
        <is>
          <t>Blog: how to store rice long term</t>
        </is>
      </c>
      <c r="B68" t="inlineStr">
        <is>
          <t>Basmati Rice (category)</t>
        </is>
      </c>
      <c r="C68" t="inlineStr">
        <is>
          <t>basmati rice supplier uae</t>
        </is>
      </c>
      <c r="D68" t="inlineStr">
        <is>
          <t>Article ke beech mein 1 link + end mein CTA</t>
        </is>
      </c>
      <c r="E68" t="inlineStr">
        <is>
          <t>Phase 1</t>
        </is>
      </c>
    </row>
    <row r="69">
      <c r="A69" t="inlineStr">
        <is>
          <t>Blog: how long does basmati rice last</t>
        </is>
      </c>
      <c r="B69" t="inlineStr">
        <is>
          <t>Basmati Rice (category)</t>
        </is>
      </c>
      <c r="C69" t="inlineStr">
        <is>
          <t>basmati rice supplier uae</t>
        </is>
      </c>
      <c r="D69" t="inlineStr">
        <is>
          <t>Article ke beech mein 1 link + end mein CTA</t>
        </is>
      </c>
      <c r="E69" t="inlineStr">
        <is>
          <t>Phase 1</t>
        </is>
      </c>
    </row>
    <row r="70">
      <c r="A70" t="inlineStr">
        <is>
          <t>Blog: rice to water ratio for biryani</t>
        </is>
      </c>
      <c r="B70" t="inlineStr">
        <is>
          <t>Basmati Rice (category)</t>
        </is>
      </c>
      <c r="C70" t="inlineStr">
        <is>
          <t>basmati rice supplier uae</t>
        </is>
      </c>
      <c r="D70" t="inlineStr">
        <is>
          <t>Article ke beech mein 1 link + end mein CTA</t>
        </is>
      </c>
      <c r="E70" t="inlineStr">
        <is>
          <t>Phase 1</t>
        </is>
      </c>
    </row>
    <row r="71">
      <c r="A71" t="inlineStr">
        <is>
          <t>Blog: how to cook rice for kabsa</t>
        </is>
      </c>
      <c r="B71" t="inlineStr">
        <is>
          <t>Basmati Rice (category)</t>
        </is>
      </c>
      <c r="C71" t="inlineStr">
        <is>
          <t>basmati rice supplier uae</t>
        </is>
      </c>
      <c r="D71" t="inlineStr">
        <is>
          <t>Article ke beech mein 1 link + end mein CTA</t>
        </is>
      </c>
      <c r="E71" t="inlineStr">
        <is>
          <t>Phase 1</t>
        </is>
      </c>
    </row>
    <row r="72">
      <c r="A72" t="inlineStr">
        <is>
          <t>Blog: how to make chicken mandi rice</t>
        </is>
      </c>
      <c r="B72" t="inlineStr">
        <is>
          <t>Basmati Rice (category)</t>
        </is>
      </c>
      <c r="C72" t="inlineStr">
        <is>
          <t>basmati rice supplier uae</t>
        </is>
      </c>
      <c r="D72" t="inlineStr">
        <is>
          <t>Article ke beech mein 1 link + end mein CTA</t>
        </is>
      </c>
      <c r="E72" t="inlineStr">
        <is>
          <t>Phase 1</t>
        </is>
      </c>
    </row>
    <row r="73">
      <c r="A73" t="inlineStr">
        <is>
          <t>Blog: how to make dubai style biryani</t>
        </is>
      </c>
      <c r="B73" t="inlineStr">
        <is>
          <t>Basmati Rice (category)</t>
        </is>
      </c>
      <c r="C73" t="inlineStr">
        <is>
          <t>basmati rice supplier uae</t>
        </is>
      </c>
      <c r="D73" t="inlineStr">
        <is>
          <t>Article ke beech mein 1 link + end mein CTA</t>
        </is>
      </c>
      <c r="E73" t="inlineStr">
        <is>
          <t>Phase 1</t>
        </is>
      </c>
    </row>
    <row r="74">
      <c r="A74" t="inlineStr">
        <is>
          <t>Blog: best rice for biryani</t>
        </is>
      </c>
      <c r="B74" t="inlineStr">
        <is>
          <t>Basmati Rice (category)</t>
        </is>
      </c>
      <c r="C74" t="inlineStr">
        <is>
          <t>basmati rice supplier uae</t>
        </is>
      </c>
      <c r="D74" t="inlineStr">
        <is>
          <t>Article ke beech mein 1 link + end mein CTA</t>
        </is>
      </c>
      <c r="E74" t="inlineStr">
        <is>
          <t>Phase 1</t>
        </is>
      </c>
    </row>
    <row r="75">
      <c r="A75" t="inlineStr">
        <is>
          <t>Blog: best rice for pulao</t>
        </is>
      </c>
      <c r="B75" t="inlineStr">
        <is>
          <t>Basmati Rice (category)</t>
        </is>
      </c>
      <c r="C75" t="inlineStr">
        <is>
          <t>basmati rice supplier uae</t>
        </is>
      </c>
      <c r="D75" t="inlineStr">
        <is>
          <t>Article ke beech mein 1 link + end mein CTA</t>
        </is>
      </c>
      <c r="E75" t="inlineStr">
        <is>
          <t>Phase 1</t>
        </is>
      </c>
    </row>
    <row r="76">
      <c r="A76" t="inlineStr">
        <is>
          <t>Blog: best rice for fried rice</t>
        </is>
      </c>
      <c r="B76" t="inlineStr">
        <is>
          <t>Basmati Rice (category)</t>
        </is>
      </c>
      <c r="C76" t="inlineStr">
        <is>
          <t>basmati rice supplier uae</t>
        </is>
      </c>
      <c r="D76" t="inlineStr">
        <is>
          <t>Article ke beech mein 1 link + end mein CTA</t>
        </is>
      </c>
      <c r="E76" t="inlineStr">
        <is>
          <t>Phase 1</t>
        </is>
      </c>
    </row>
    <row r="77">
      <c r="A77" t="inlineStr">
        <is>
          <t>Blog: is basmati rice healthy</t>
        </is>
      </c>
      <c r="B77" t="inlineStr">
        <is>
          <t>Basmati Rice (category)</t>
        </is>
      </c>
      <c r="C77" t="inlineStr">
        <is>
          <t>basmati rice supplier uae</t>
        </is>
      </c>
      <c r="D77" t="inlineStr">
        <is>
          <t>Article ke beech mein 1 link + end mein CTA</t>
        </is>
      </c>
      <c r="E77" t="inlineStr">
        <is>
          <t>Phase 1</t>
        </is>
      </c>
    </row>
    <row r="78">
      <c r="A78" t="inlineStr">
        <is>
          <t>Blog: brown rice vs white rice</t>
        </is>
      </c>
      <c r="B78" t="inlineStr">
        <is>
          <t>Basmati Rice (category)</t>
        </is>
      </c>
      <c r="C78" t="inlineStr">
        <is>
          <t>basmati rice supplier uae</t>
        </is>
      </c>
      <c r="D78" t="inlineStr">
        <is>
          <t>Article ke beech mein 1 link + end mein CTA</t>
        </is>
      </c>
      <c r="E78" t="inlineStr">
        <is>
          <t>Phase 1</t>
        </is>
      </c>
    </row>
    <row r="79">
      <c r="A79" t="inlineStr">
        <is>
          <t>Blog: basmati rice calories</t>
        </is>
      </c>
      <c r="B79" t="inlineStr">
        <is>
          <t>Basmati Rice (category)</t>
        </is>
      </c>
      <c r="C79" t="inlineStr">
        <is>
          <t>basmati rice supplier uae</t>
        </is>
      </c>
      <c r="D79" t="inlineStr">
        <is>
          <t>Article ke beech mein 1 link + end mein CTA</t>
        </is>
      </c>
      <c r="E79" t="inlineStr">
        <is>
          <t>Phase 1</t>
        </is>
      </c>
    </row>
    <row r="80">
      <c r="A80" t="inlineStr">
        <is>
          <t>Blog: glycemic index of basmati rice</t>
        </is>
      </c>
      <c r="B80" t="inlineStr">
        <is>
          <t>Basmati Rice (category)</t>
        </is>
      </c>
      <c r="C80" t="inlineStr">
        <is>
          <t>basmati rice supplier uae</t>
        </is>
      </c>
      <c r="D80" t="inlineStr">
        <is>
          <t>Article ke beech mein 1 link + end mein CTA</t>
        </is>
      </c>
      <c r="E80" t="inlineStr">
        <is>
          <t>Phase 1</t>
        </is>
      </c>
    </row>
    <row r="81">
      <c r="A81" t="inlineStr">
        <is>
          <t>Blog: what is sella basmati rice</t>
        </is>
      </c>
      <c r="B81" t="inlineStr">
        <is>
          <t>Basmati Rice (category)</t>
        </is>
      </c>
      <c r="C81" t="inlineStr">
        <is>
          <t>basmati rice supplier uae</t>
        </is>
      </c>
      <c r="D81" t="inlineStr">
        <is>
          <t>Article ke beech mein 1 link + end mein CTA</t>
        </is>
      </c>
      <c r="E81" t="inlineStr">
        <is>
          <t>Phase 1</t>
        </is>
      </c>
    </row>
    <row r="82">
      <c r="A82" t="inlineStr">
        <is>
          <t>Blog: what is 1121 basmati rice</t>
        </is>
      </c>
      <c r="B82" t="inlineStr">
        <is>
          <t>Basmati Rice (category)</t>
        </is>
      </c>
      <c r="C82" t="inlineStr">
        <is>
          <t>basmati rice supplier uae</t>
        </is>
      </c>
      <c r="D82" t="inlineStr">
        <is>
          <t>Article ke beech mein 1 link + end mein CTA</t>
        </is>
      </c>
      <c r="E82" t="inlineStr">
        <is>
          <t>Phase 1</t>
        </is>
      </c>
    </row>
    <row r="83">
      <c r="A83" t="inlineStr">
        <is>
          <t>Blog: what is parboiled rice</t>
        </is>
      </c>
      <c r="B83" t="inlineStr">
        <is>
          <t>Basmati Rice (category)</t>
        </is>
      </c>
      <c r="C83" t="inlineStr">
        <is>
          <t>basmati rice supplier uae</t>
        </is>
      </c>
      <c r="D83" t="inlineStr">
        <is>
          <t>Article ke beech mein 1 link + end mein CTA</t>
        </is>
      </c>
      <c r="E83" t="inlineStr">
        <is>
          <t>Phase 1</t>
        </is>
      </c>
    </row>
    <row r="84">
      <c r="A84" t="inlineStr">
        <is>
          <t>Blog: why is basmati rice expensive</t>
        </is>
      </c>
      <c r="B84" t="inlineStr">
        <is>
          <t>Basmati Rice (category)</t>
        </is>
      </c>
      <c r="C84" t="inlineStr">
        <is>
          <t>basmati rice supplier uae</t>
        </is>
      </c>
      <c r="D84" t="inlineStr">
        <is>
          <t>Article ke beech mein 1 link + end mein CTA</t>
        </is>
      </c>
      <c r="E84" t="inlineStr">
        <is>
          <t>Phase 1</t>
        </is>
      </c>
    </row>
    <row r="85">
      <c r="A85" t="inlineStr">
        <is>
          <t>Blog: basmati rice grading</t>
        </is>
      </c>
      <c r="B85" t="inlineStr">
        <is>
          <t>Quality &amp; certifications</t>
        </is>
      </c>
      <c r="C85" t="inlineStr">
        <is>
          <t>halal certified rice supplier</t>
        </is>
      </c>
      <c r="D85" t="inlineStr">
        <is>
          <t>Article ke beech mein 1 link + end mein CTA</t>
        </is>
      </c>
      <c r="E85" t="inlineStr">
        <is>
          <t>Phase 1</t>
        </is>
      </c>
    </row>
    <row r="86">
      <c r="A86" t="inlineStr">
        <is>
          <t>Blog: rice import regulations uae</t>
        </is>
      </c>
      <c r="B86" t="inlineStr">
        <is>
          <t>Importers &amp; Exporters</t>
        </is>
      </c>
      <c r="C86" t="inlineStr">
        <is>
          <t>rice importers in uae</t>
        </is>
      </c>
      <c r="D86" t="inlineStr">
        <is>
          <t>Article ke beech mein 1 link + end mein CTA</t>
        </is>
      </c>
      <c r="E86" t="inlineStr">
        <is>
          <t>Phase 1</t>
        </is>
      </c>
    </row>
    <row r="87">
      <c r="A87" t="inlineStr">
        <is>
          <t>Blog: uae rice import duty</t>
        </is>
      </c>
      <c r="B87" t="inlineStr">
        <is>
          <t>Importers &amp; Exporters</t>
        </is>
      </c>
      <c r="C87" t="inlineStr">
        <is>
          <t>rice importers in uae</t>
        </is>
      </c>
      <c r="D87" t="inlineStr">
        <is>
          <t>Article ke beech mein 1 link + end mein CTA</t>
        </is>
      </c>
      <c r="E87" t="inlineStr">
        <is>
          <t>Phase 1</t>
        </is>
      </c>
    </row>
    <row r="88">
      <c r="A88" t="inlineStr">
        <is>
          <t>Blog: rice price trend uae</t>
        </is>
      </c>
      <c r="B88" t="inlineStr">
        <is>
          <t>Price per ton (RFQ)</t>
        </is>
      </c>
      <c r="C88" t="inlineStr">
        <is>
          <t>rice price per ton</t>
        </is>
      </c>
      <c r="D88" t="inlineStr">
        <is>
          <t>Article ke beech mein 1 link + end mein CTA</t>
        </is>
      </c>
      <c r="E88" t="inlineStr">
        <is>
          <t>Phase 1</t>
        </is>
      </c>
    </row>
    <row r="89">
      <c r="A89" t="inlineStr">
        <is>
          <t>Blog: india rice export ban impact on uae</t>
        </is>
      </c>
      <c r="B89" t="inlineStr">
        <is>
          <t>Export / Re-export</t>
        </is>
      </c>
      <c r="C89" t="inlineStr">
        <is>
          <t>rice re-export from dubai</t>
        </is>
      </c>
      <c r="D89" t="inlineStr">
        <is>
          <t>Article ke beech mein 1 link + end mein CTA</t>
        </is>
      </c>
      <c r="E89" t="inlineStr">
        <is>
          <t>Phase 1</t>
        </is>
      </c>
    </row>
    <row r="90">
      <c r="A90" t="inlineStr">
        <is>
          <t>Blog: how to start rice trading business in dubai</t>
        </is>
      </c>
      <c r="B90" t="inlineStr">
        <is>
          <t>Importers &amp; Exporters</t>
        </is>
      </c>
      <c r="C90" t="inlineStr">
        <is>
          <t>rice importers in uae</t>
        </is>
      </c>
      <c r="D90" t="inlineStr">
        <is>
          <t>Article ke beech mein 1 link + end mein CTA</t>
        </is>
      </c>
      <c r="E90" t="inlineStr">
        <is>
          <t>Phase 1</t>
        </is>
      </c>
    </row>
    <row r="91">
      <c r="A91" t="inlineStr">
        <is>
          <t>Blog: rice trading license dubai</t>
        </is>
      </c>
      <c r="B91" t="inlineStr">
        <is>
          <t>Importers &amp; Exporters</t>
        </is>
      </c>
      <c r="C91" t="inlineStr">
        <is>
          <t>rice importers in uae</t>
        </is>
      </c>
      <c r="D91" t="inlineStr">
        <is>
          <t>Article ke beech mein 1 link + end mein CTA</t>
        </is>
      </c>
      <c r="E91" t="inlineStr">
        <is>
          <t>Phase 1</t>
        </is>
      </c>
    </row>
    <row r="92">
      <c r="A92" t="inlineStr">
        <is>
          <t>Blog: food trading license dubai</t>
        </is>
      </c>
      <c r="B92" t="inlineStr">
        <is>
          <t>Importers &amp; Exporters</t>
        </is>
      </c>
      <c r="C92" t="inlineStr">
        <is>
          <t>rice importers in uae</t>
        </is>
      </c>
      <c r="D92" t="inlineStr">
        <is>
          <t>Article ke beech mein 1 link + end mein CTA</t>
        </is>
      </c>
      <c r="E92" t="inlineStr">
        <is>
          <t>Phase 1</t>
        </is>
      </c>
    </row>
    <row r="93">
      <c r="A93" t="inlineStr">
        <is>
          <t>Emirate page: Abu Dhabi</t>
        </is>
      </c>
      <c r="B93" t="inlineStr">
        <is>
          <t>Wholesale / Bulk</t>
        </is>
      </c>
      <c r="C93" t="inlineStr">
        <is>
          <t>rice wholesale dubai</t>
        </is>
      </c>
      <c r="D93" t="inlineStr">
        <is>
          <t>Body paragraph</t>
        </is>
      </c>
      <c r="E93" t="inlineStr">
        <is>
          <t>Phase 1</t>
        </is>
      </c>
    </row>
    <row r="94">
      <c r="A94" t="inlineStr">
        <is>
          <t>Home</t>
        </is>
      </c>
      <c r="B94" t="inlineStr">
        <is>
          <t>Emirate page: Abu Dhabi</t>
        </is>
      </c>
      <c r="C94" t="inlineStr">
        <is>
          <t>rice supplier abu dhabi</t>
        </is>
      </c>
      <c r="D94" t="inlineStr">
        <is>
          <t>Footer 'Areas we serve' list</t>
        </is>
      </c>
      <c r="E94" t="inlineStr">
        <is>
          <t>Phase 1</t>
        </is>
      </c>
    </row>
    <row r="95">
      <c r="A95" t="inlineStr">
        <is>
          <t>Emirate page: Sharjah</t>
        </is>
      </c>
      <c r="B95" t="inlineStr">
        <is>
          <t>Wholesale / Bulk</t>
        </is>
      </c>
      <c r="C95" t="inlineStr">
        <is>
          <t>rice wholesale dubai</t>
        </is>
      </c>
      <c r="D95" t="inlineStr">
        <is>
          <t>Body paragraph</t>
        </is>
      </c>
      <c r="E95" t="inlineStr">
        <is>
          <t>Phase 1</t>
        </is>
      </c>
    </row>
    <row r="96">
      <c r="A96" t="inlineStr">
        <is>
          <t>Home</t>
        </is>
      </c>
      <c r="B96" t="inlineStr">
        <is>
          <t>Emirate page: Sharjah</t>
        </is>
      </c>
      <c r="C96" t="inlineStr">
        <is>
          <t>rice supplier sharjah</t>
        </is>
      </c>
      <c r="D96" t="inlineStr">
        <is>
          <t>Footer 'Areas we serve' list</t>
        </is>
      </c>
      <c r="E96" t="inlineStr">
        <is>
          <t>Phase 1</t>
        </is>
      </c>
    </row>
    <row r="97">
      <c r="A97" t="inlineStr">
        <is>
          <t>Emirate page: Ajman</t>
        </is>
      </c>
      <c r="B97" t="inlineStr">
        <is>
          <t>Wholesale / Bulk</t>
        </is>
      </c>
      <c r="C97" t="inlineStr">
        <is>
          <t>rice wholesale dubai</t>
        </is>
      </c>
      <c r="D97" t="inlineStr">
        <is>
          <t>Body paragraph</t>
        </is>
      </c>
      <c r="E97" t="inlineStr">
        <is>
          <t>Phase 1</t>
        </is>
      </c>
    </row>
    <row r="98">
      <c r="A98" t="inlineStr">
        <is>
          <t>Home</t>
        </is>
      </c>
      <c r="B98" t="inlineStr">
        <is>
          <t>Emirate page: Ajman</t>
        </is>
      </c>
      <c r="C98" t="inlineStr">
        <is>
          <t>rice supplier ajman</t>
        </is>
      </c>
      <c r="D98" t="inlineStr">
        <is>
          <t>Footer 'Areas we serve' list</t>
        </is>
      </c>
      <c r="E98" t="inlineStr">
        <is>
          <t>Phase 1</t>
        </is>
      </c>
    </row>
    <row r="99">
      <c r="A99" t="inlineStr">
        <is>
          <t>Emirate page: Ras Al Khaimah</t>
        </is>
      </c>
      <c r="B99" t="inlineStr">
        <is>
          <t>Wholesale / Bulk</t>
        </is>
      </c>
      <c r="C99" t="inlineStr">
        <is>
          <t>rice wholesale dubai</t>
        </is>
      </c>
      <c r="D99" t="inlineStr">
        <is>
          <t>Body paragraph</t>
        </is>
      </c>
      <c r="E99" t="inlineStr">
        <is>
          <t>Phase 1</t>
        </is>
      </c>
    </row>
    <row r="100">
      <c r="A100" t="inlineStr">
        <is>
          <t>Home</t>
        </is>
      </c>
      <c r="B100" t="inlineStr">
        <is>
          <t>Emirate page: Ras Al Khaimah</t>
        </is>
      </c>
      <c r="C100" t="inlineStr">
        <is>
          <t>rice supplier ras al khaimah</t>
        </is>
      </c>
      <c r="D100" t="inlineStr">
        <is>
          <t>Footer 'Areas we serve' list</t>
        </is>
      </c>
      <c r="E100" t="inlineStr">
        <is>
          <t>Phase 1</t>
        </is>
      </c>
    </row>
    <row r="101">
      <c r="A101" t="inlineStr">
        <is>
          <t>Emirate page: Fujairah</t>
        </is>
      </c>
      <c r="B101" t="inlineStr">
        <is>
          <t>Wholesale / Bulk</t>
        </is>
      </c>
      <c r="C101" t="inlineStr">
        <is>
          <t>rice wholesale dubai</t>
        </is>
      </c>
      <c r="D101" t="inlineStr">
        <is>
          <t>Body paragraph</t>
        </is>
      </c>
      <c r="E101" t="inlineStr">
        <is>
          <t>Phase 1</t>
        </is>
      </c>
    </row>
    <row r="102">
      <c r="A102" t="inlineStr">
        <is>
          <t>Home</t>
        </is>
      </c>
      <c r="B102" t="inlineStr">
        <is>
          <t>Emirate page: Fujairah</t>
        </is>
      </c>
      <c r="C102" t="inlineStr">
        <is>
          <t>rice supplier fujairah</t>
        </is>
      </c>
      <c r="D102" t="inlineStr">
        <is>
          <t>Footer 'Areas we serve' list</t>
        </is>
      </c>
      <c r="E102" t="inlineStr">
        <is>
          <t>Phase 1</t>
        </is>
      </c>
    </row>
    <row r="103">
      <c r="A103" t="inlineStr">
        <is>
          <t>Emirate page: Umm Al Quwain</t>
        </is>
      </c>
      <c r="B103" t="inlineStr">
        <is>
          <t>Wholesale / Bulk</t>
        </is>
      </c>
      <c r="C103" t="inlineStr">
        <is>
          <t>rice wholesale dubai</t>
        </is>
      </c>
      <c r="D103" t="inlineStr">
        <is>
          <t>Body paragraph</t>
        </is>
      </c>
      <c r="E103" t="inlineStr">
        <is>
          <t>Phase 1</t>
        </is>
      </c>
    </row>
    <row r="104">
      <c r="A104" t="inlineStr">
        <is>
          <t>Home</t>
        </is>
      </c>
      <c r="B104" t="inlineStr">
        <is>
          <t>Emirate page: Umm Al Quwain</t>
        </is>
      </c>
      <c r="C104" t="inlineStr">
        <is>
          <t>rice supplier umm al quwain</t>
        </is>
      </c>
      <c r="D104" t="inlineStr">
        <is>
          <t>Footer 'Areas we serve' list</t>
        </is>
      </c>
      <c r="E104" t="inlineStr">
        <is>
          <t>Phase 1</t>
        </is>
      </c>
    </row>
    <row r="105">
      <c r="A105" t="inlineStr">
        <is>
          <t>Emirate page: Al Ain</t>
        </is>
      </c>
      <c r="B105" t="inlineStr">
        <is>
          <t>Wholesale / Bulk</t>
        </is>
      </c>
      <c r="C105" t="inlineStr">
        <is>
          <t>rice wholesale dubai</t>
        </is>
      </c>
      <c r="D105" t="inlineStr">
        <is>
          <t>Body paragraph</t>
        </is>
      </c>
      <c r="E105" t="inlineStr">
        <is>
          <t>Phase 1</t>
        </is>
      </c>
    </row>
    <row r="106">
      <c r="A106" t="inlineStr">
        <is>
          <t>Home</t>
        </is>
      </c>
      <c r="B106" t="inlineStr">
        <is>
          <t>Emirate page: Al Ain</t>
        </is>
      </c>
      <c r="C106" t="inlineStr">
        <is>
          <t>rice supplier al ain</t>
        </is>
      </c>
      <c r="D106" t="inlineStr">
        <is>
          <t>Footer 'Areas we serve' list</t>
        </is>
      </c>
      <c r="E106" t="inlineStr">
        <is>
          <t>Phase 1</t>
        </is>
      </c>
    </row>
  </sheetData>
  <autoFilter ref="A1:E10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26" customWidth="1" min="1" max="1"/>
    <col width="10" customWidth="1" min="2" max="2"/>
    <col width="48" customWidth="1" min="3" max="3"/>
    <col width="70" customWidth="1" min="4" max="4"/>
    <col width="22" customWidth="1" min="5" max="5"/>
    <col width="60" customWidth="1" min="6" max="6"/>
  </cols>
  <sheetData>
    <row r="1">
      <c r="A1" s="3" t="inlineStr">
        <is>
          <t>Location</t>
        </is>
      </c>
      <c r="B1" s="3" t="inlineStr">
        <is>
          <t>Level</t>
        </is>
      </c>
      <c r="C1" s="3" t="inlineStr">
        <is>
          <t>Suggested page</t>
        </is>
      </c>
      <c r="D1" s="3" t="inlineStr">
        <is>
          <t>Keywords to target</t>
        </is>
      </c>
      <c r="E1" s="3" t="inlineStr">
        <is>
          <t>Likely priority (judgement, verify with volume)</t>
        </is>
      </c>
      <c r="F1" s="3" t="inlineStr">
        <is>
          <t>Notes</t>
        </is>
      </c>
    </row>
    <row r="2">
      <c r="A2" t="inlineStr">
        <is>
          <t>Dubai</t>
        </is>
      </c>
      <c r="B2" t="inlineStr">
        <is>
          <t>Emirate</t>
        </is>
      </c>
      <c r="C2" t="inlineStr">
        <is>
          <t>/dubai-rice-delivery/ (suggested)</t>
        </is>
      </c>
      <c r="D2" t="inlineStr">
        <is>
          <t>rice delivery dubai; basmati rice dubai; rice wholesale dubai; rice supplier dubai</t>
        </is>
      </c>
      <c r="E2" t="inlineStr">
        <is>
          <t>High</t>
        </is>
      </c>
      <c r="F2" t="inlineStr">
        <is>
          <t>Own landing page with delivery info, local FAQ, LocalBusiness/Service schema</t>
        </is>
      </c>
    </row>
    <row r="3">
      <c r="A3" t="inlineStr">
        <is>
          <t>Abu Dhabi</t>
        </is>
      </c>
      <c r="B3" t="inlineStr">
        <is>
          <t>Emirate</t>
        </is>
      </c>
      <c r="C3" t="inlineStr">
        <is>
          <t>/abu-dhabi-rice-delivery/ (suggested)</t>
        </is>
      </c>
      <c r="D3" t="inlineStr">
        <is>
          <t>rice delivery abu dhabi; basmati rice abu dhabi; rice wholesale abu dhabi; rice supplier abu dhabi</t>
        </is>
      </c>
      <c r="E3" t="inlineStr">
        <is>
          <t>High</t>
        </is>
      </c>
      <c r="F3" t="inlineStr">
        <is>
          <t>Own landing page with delivery info, local FAQ, LocalBusiness/Service schema</t>
        </is>
      </c>
    </row>
    <row r="4">
      <c r="A4" t="inlineStr">
        <is>
          <t>Sharjah</t>
        </is>
      </c>
      <c r="B4" t="inlineStr">
        <is>
          <t>Emirate</t>
        </is>
      </c>
      <c r="C4" t="inlineStr">
        <is>
          <t>/sharjah-rice-delivery/ (suggested)</t>
        </is>
      </c>
      <c r="D4" t="inlineStr">
        <is>
          <t>rice delivery sharjah; basmati rice sharjah; rice wholesale sharjah; rice supplier sharjah</t>
        </is>
      </c>
      <c r="E4" t="inlineStr">
        <is>
          <t>High</t>
        </is>
      </c>
      <c r="F4" t="inlineStr">
        <is>
          <t>Own landing page with delivery info, local FAQ, LocalBusiness/Service schema</t>
        </is>
      </c>
    </row>
    <row r="5">
      <c r="A5" t="inlineStr">
        <is>
          <t>Ajman</t>
        </is>
      </c>
      <c r="B5" t="inlineStr">
        <is>
          <t>Emirate</t>
        </is>
      </c>
      <c r="C5" t="inlineStr">
        <is>
          <t>/ajman-rice-delivery/ (suggested)</t>
        </is>
      </c>
      <c r="D5" t="inlineStr">
        <is>
          <t>rice delivery ajman; basmati rice ajman; rice wholesale ajman; rice supplier ajman</t>
        </is>
      </c>
      <c r="E5" t="inlineStr">
        <is>
          <t>Medium</t>
        </is>
      </c>
      <c r="F5" t="inlineStr">
        <is>
          <t>Own landing page with delivery info, local FAQ, LocalBusiness/Service schema</t>
        </is>
      </c>
    </row>
    <row r="6">
      <c r="A6" t="inlineStr">
        <is>
          <t>Ras Al Khaimah</t>
        </is>
      </c>
      <c r="B6" t="inlineStr">
        <is>
          <t>Emirate</t>
        </is>
      </c>
      <c r="C6" t="inlineStr">
        <is>
          <t>/ras-al-khaimah-rice-delivery/ (suggested)</t>
        </is>
      </c>
      <c r="D6" t="inlineStr">
        <is>
          <t>rice delivery ras al khaimah; basmati rice ras al khaimah; rice wholesale ras al khaimah; rice supplier ras al khaimah</t>
        </is>
      </c>
      <c r="E6" t="inlineStr">
        <is>
          <t>Medium</t>
        </is>
      </c>
      <c r="F6" t="inlineStr">
        <is>
          <t>Own landing page with delivery info, local FAQ, LocalBusiness/Service schema</t>
        </is>
      </c>
    </row>
    <row r="7">
      <c r="A7" t="inlineStr">
        <is>
          <t>Fujairah</t>
        </is>
      </c>
      <c r="B7" t="inlineStr">
        <is>
          <t>Emirate</t>
        </is>
      </c>
      <c r="C7" t="inlineStr">
        <is>
          <t>/fujairah-rice-delivery/ (suggested)</t>
        </is>
      </c>
      <c r="D7" t="inlineStr">
        <is>
          <t>rice delivery fujairah; basmati rice fujairah; rice wholesale fujairah; rice supplier fujairah</t>
        </is>
      </c>
      <c r="E7" t="inlineStr">
        <is>
          <t>Medium</t>
        </is>
      </c>
      <c r="F7" t="inlineStr">
        <is>
          <t>Own landing page with delivery info, local FAQ, LocalBusiness/Service schema</t>
        </is>
      </c>
    </row>
    <row r="8">
      <c r="A8" t="inlineStr">
        <is>
          <t>Umm Al Quwain</t>
        </is>
      </c>
      <c r="B8" t="inlineStr">
        <is>
          <t>Emirate</t>
        </is>
      </c>
      <c r="C8" t="inlineStr">
        <is>
          <t>/umm-al-quwain-rice-delivery/ (suggested)</t>
        </is>
      </c>
      <c r="D8" t="inlineStr">
        <is>
          <t>rice delivery umm al quwain; basmati rice umm al quwain; rice wholesale umm al quwain; rice supplier umm al quwain</t>
        </is>
      </c>
      <c r="E8" t="inlineStr">
        <is>
          <t>Medium</t>
        </is>
      </c>
      <c r="F8" t="inlineStr">
        <is>
          <t>Own landing page with delivery info, local FAQ, LocalBusiness/Service schema</t>
        </is>
      </c>
    </row>
    <row r="9">
      <c r="A9" t="inlineStr">
        <is>
          <t>Al Ain</t>
        </is>
      </c>
      <c r="B9" t="inlineStr">
        <is>
          <t>Emirate</t>
        </is>
      </c>
      <c r="C9" t="inlineStr">
        <is>
          <t>/al-ain-rice-delivery/ (suggested)</t>
        </is>
      </c>
      <c r="D9" t="inlineStr">
        <is>
          <t>rice delivery al ain; basmati rice al ain; rice wholesale al ain; rice supplier al ain</t>
        </is>
      </c>
      <c r="E9" t="inlineStr">
        <is>
          <t>Medium</t>
        </is>
      </c>
      <c r="F9" t="inlineStr">
        <is>
          <t>Own landing page with delivery info, local FAQ, LocalBusiness/Service schema</t>
        </is>
      </c>
    </row>
    <row r="10">
      <c r="A10" t="inlineStr">
        <is>
          <t>Dubai - Deira</t>
        </is>
      </c>
      <c r="B10" t="inlineStr">
        <is>
          <t>Area</t>
        </is>
      </c>
      <c r="C10" t="inlineStr">
        <is>
          <t>Section on Dubai page (or own page if volume proves)</t>
        </is>
      </c>
      <c r="D10" t="inlineStr">
        <is>
          <t>rice delivery deira; rice wholesale deira</t>
        </is>
      </c>
      <c r="E10" t="inlineStr">
        <is>
          <t>Medium</t>
        </is>
      </c>
      <c r="F10" t="inlineStr">
        <is>
          <t>Add to 'areas we deliver' block; create page only if Semrush shows volume</t>
        </is>
      </c>
    </row>
    <row r="11">
      <c r="A11" t="inlineStr">
        <is>
          <t>Dubai - Bur Dubai</t>
        </is>
      </c>
      <c r="B11" t="inlineStr">
        <is>
          <t>Area</t>
        </is>
      </c>
      <c r="C11" t="inlineStr">
        <is>
          <t>Section on Dubai page (or own page if volume proves)</t>
        </is>
      </c>
      <c r="D11" t="inlineStr">
        <is>
          <t>rice delivery bur dubai; rice wholesale bur dubai</t>
        </is>
      </c>
      <c r="E11" t="inlineStr">
        <is>
          <t>Low</t>
        </is>
      </c>
      <c r="F11" t="inlineStr">
        <is>
          <t>Add to 'areas we deliver' block; create page only if Semrush shows volume</t>
        </is>
      </c>
    </row>
    <row r="12">
      <c r="A12" t="inlineStr">
        <is>
          <t>Dubai - Al Quoz</t>
        </is>
      </c>
      <c r="B12" t="inlineStr">
        <is>
          <t>Area</t>
        </is>
      </c>
      <c r="C12" t="inlineStr">
        <is>
          <t>Section on Dubai page (or own page if volume proves)</t>
        </is>
      </c>
      <c r="D12" t="inlineStr">
        <is>
          <t>rice delivery al quoz; rice wholesale al quoz</t>
        </is>
      </c>
      <c r="E12" t="inlineStr">
        <is>
          <t>Medium</t>
        </is>
      </c>
      <c r="F12" t="inlineStr">
        <is>
          <t>Add to 'areas we deliver' block; create page only if Semrush shows volume</t>
        </is>
      </c>
    </row>
    <row r="13">
      <c r="A13" t="inlineStr">
        <is>
          <t>Dubai - Karama</t>
        </is>
      </c>
      <c r="B13" t="inlineStr">
        <is>
          <t>Area</t>
        </is>
      </c>
      <c r="C13" t="inlineStr">
        <is>
          <t>Section on Dubai page (or own page if volume proves)</t>
        </is>
      </c>
      <c r="D13" t="inlineStr">
        <is>
          <t>rice delivery karama; rice wholesale karama</t>
        </is>
      </c>
      <c r="E13" t="inlineStr">
        <is>
          <t>Medium</t>
        </is>
      </c>
      <c r="F13" t="inlineStr">
        <is>
          <t>Add to 'areas we deliver' block; create page only if Semrush shows volume</t>
        </is>
      </c>
    </row>
    <row r="14">
      <c r="A14" t="inlineStr">
        <is>
          <t>Dubai - Satwa</t>
        </is>
      </c>
      <c r="B14" t="inlineStr">
        <is>
          <t>Area</t>
        </is>
      </c>
      <c r="C14" t="inlineStr">
        <is>
          <t>Section on Dubai page (or own page if volume proves)</t>
        </is>
      </c>
      <c r="D14" t="inlineStr">
        <is>
          <t>rice delivery satwa; rice wholesale satwa</t>
        </is>
      </c>
      <c r="E14" t="inlineStr">
        <is>
          <t>Low</t>
        </is>
      </c>
      <c r="F14" t="inlineStr">
        <is>
          <t>Add to 'areas we deliver' block; create page only if Semrush shows volume</t>
        </is>
      </c>
    </row>
    <row r="15">
      <c r="A15" t="inlineStr">
        <is>
          <t>Dubai - Jebel Ali</t>
        </is>
      </c>
      <c r="B15" t="inlineStr">
        <is>
          <t>Area</t>
        </is>
      </c>
      <c r="C15" t="inlineStr">
        <is>
          <t>Section on Dubai page (or own page if volume proves)</t>
        </is>
      </c>
      <c r="D15" t="inlineStr">
        <is>
          <t>rice delivery jebel ali; rice wholesale jebel ali</t>
        </is>
      </c>
      <c r="E15" t="inlineStr">
        <is>
          <t>Medium</t>
        </is>
      </c>
      <c r="F15" t="inlineStr">
        <is>
          <t>Add to 'areas we deliver' block; create page only if Semrush shows volume</t>
        </is>
      </c>
    </row>
    <row r="16">
      <c r="A16" t="inlineStr">
        <is>
          <t>Dubai - JLT</t>
        </is>
      </c>
      <c r="B16" t="inlineStr">
        <is>
          <t>Area</t>
        </is>
      </c>
      <c r="C16" t="inlineStr">
        <is>
          <t>Section on Dubai page (or own page if volume proves)</t>
        </is>
      </c>
      <c r="D16" t="inlineStr">
        <is>
          <t>rice delivery jlt; rice wholesale jlt</t>
        </is>
      </c>
      <c r="E16" t="inlineStr">
        <is>
          <t>Medium</t>
        </is>
      </c>
      <c r="F16" t="inlineStr">
        <is>
          <t>Add to 'areas we deliver' block; create page only if Semrush shows volume</t>
        </is>
      </c>
    </row>
    <row r="17">
      <c r="A17" t="inlineStr">
        <is>
          <t>Dubai - Dubai Marina</t>
        </is>
      </c>
      <c r="B17" t="inlineStr">
        <is>
          <t>Area</t>
        </is>
      </c>
      <c r="C17" t="inlineStr">
        <is>
          <t>Section on Dubai page (or own page if volume proves)</t>
        </is>
      </c>
      <c r="D17" t="inlineStr">
        <is>
          <t>rice delivery dubai marina; rice wholesale dubai marina</t>
        </is>
      </c>
      <c r="E17" t="inlineStr">
        <is>
          <t>Medium</t>
        </is>
      </c>
      <c r="F17" t="inlineStr">
        <is>
          <t>Add to 'areas we deliver' block; create page only if Semrush shows volume</t>
        </is>
      </c>
    </row>
    <row r="18">
      <c r="A18" t="inlineStr">
        <is>
          <t>Dubai - Business Bay</t>
        </is>
      </c>
      <c r="B18" t="inlineStr">
        <is>
          <t>Area</t>
        </is>
      </c>
      <c r="C18" t="inlineStr">
        <is>
          <t>Section on Dubai page (or own page if volume proves)</t>
        </is>
      </c>
      <c r="D18" t="inlineStr">
        <is>
          <t>rice delivery business bay; rice wholesale business bay</t>
        </is>
      </c>
      <c r="E18" t="inlineStr">
        <is>
          <t>Low</t>
        </is>
      </c>
      <c r="F18" t="inlineStr">
        <is>
          <t>Add to 'areas we deliver' block; create page only if Semrush shows volume</t>
        </is>
      </c>
    </row>
    <row r="19">
      <c r="A19" t="inlineStr">
        <is>
          <t>Dubai - Downtown Dubai</t>
        </is>
      </c>
      <c r="B19" t="inlineStr">
        <is>
          <t>Area</t>
        </is>
      </c>
      <c r="C19" t="inlineStr">
        <is>
          <t>Section on Dubai page (or own page if volume proves)</t>
        </is>
      </c>
      <c r="D19" t="inlineStr">
        <is>
          <t>rice delivery downtown dubai; rice wholesale downtown dubai</t>
        </is>
      </c>
      <c r="E19" t="inlineStr">
        <is>
          <t>Low</t>
        </is>
      </c>
      <c r="F19" t="inlineStr">
        <is>
          <t>Add to 'areas we deliver' block; create page only if Semrush shows volume</t>
        </is>
      </c>
    </row>
    <row r="20">
      <c r="A20" t="inlineStr">
        <is>
          <t>Dubai - International City</t>
        </is>
      </c>
      <c r="B20" t="inlineStr">
        <is>
          <t>Area</t>
        </is>
      </c>
      <c r="C20" t="inlineStr">
        <is>
          <t>Section on Dubai page (or own page if volume proves)</t>
        </is>
      </c>
      <c r="D20" t="inlineStr">
        <is>
          <t>rice delivery international city; rice wholesale international city</t>
        </is>
      </c>
      <c r="E20" t="inlineStr">
        <is>
          <t>Low</t>
        </is>
      </c>
      <c r="F20" t="inlineStr">
        <is>
          <t>Add to 'areas we deliver' block; create page only if Semrush shows volume</t>
        </is>
      </c>
    </row>
    <row r="21">
      <c r="A21" t="inlineStr">
        <is>
          <t>Dubai - Al Qusais</t>
        </is>
      </c>
      <c r="B21" t="inlineStr">
        <is>
          <t>Area</t>
        </is>
      </c>
      <c r="C21" t="inlineStr">
        <is>
          <t>Section on Dubai page (or own page if volume proves)</t>
        </is>
      </c>
      <c r="D21" t="inlineStr">
        <is>
          <t>rice delivery al qusais; rice wholesale al qusais</t>
        </is>
      </c>
      <c r="E21" t="inlineStr">
        <is>
          <t>Medium</t>
        </is>
      </c>
      <c r="F21" t="inlineStr">
        <is>
          <t>Add to 'areas we deliver' block; create page only if Semrush shows volume</t>
        </is>
      </c>
    </row>
    <row r="22">
      <c r="A22" t="inlineStr">
        <is>
          <t>Dubai - Dubai Silicon Oasis</t>
        </is>
      </c>
      <c r="B22" t="inlineStr">
        <is>
          <t>Area</t>
        </is>
      </c>
      <c r="C22" t="inlineStr">
        <is>
          <t>Section on Dubai page (or own page if volume proves)</t>
        </is>
      </c>
      <c r="D22" t="inlineStr">
        <is>
          <t>rice delivery dubai silicon oasis; rice wholesale dubai silicon oasis</t>
        </is>
      </c>
      <c r="E22" t="inlineStr">
        <is>
          <t>Low</t>
        </is>
      </c>
      <c r="F22" t="inlineStr">
        <is>
          <t>Add to 'areas we deliver' block; create page only if Semrush shows volume</t>
        </is>
      </c>
    </row>
    <row r="23">
      <c r="A23" t="inlineStr">
        <is>
          <t>Dubai - Mirdif</t>
        </is>
      </c>
      <c r="B23" t="inlineStr">
        <is>
          <t>Area</t>
        </is>
      </c>
      <c r="C23" t="inlineStr">
        <is>
          <t>Section on Dubai page (or own page if volume proves)</t>
        </is>
      </c>
      <c r="D23" t="inlineStr">
        <is>
          <t>rice delivery mirdif; rice wholesale mirdif</t>
        </is>
      </c>
      <c r="E23" t="inlineStr">
        <is>
          <t>Low</t>
        </is>
      </c>
      <c r="F23" t="inlineStr">
        <is>
          <t>Add to 'areas we deliver' block; create page only if Semrush shows volume</t>
        </is>
      </c>
    </row>
    <row r="24">
      <c r="A24" t="inlineStr">
        <is>
          <t>Dubai - Jumeirah</t>
        </is>
      </c>
      <c r="B24" t="inlineStr">
        <is>
          <t>Area</t>
        </is>
      </c>
      <c r="C24" t="inlineStr">
        <is>
          <t>Section on Dubai page (or own page if volume proves)</t>
        </is>
      </c>
      <c r="D24" t="inlineStr">
        <is>
          <t>rice delivery jumeirah; rice wholesale jumeirah</t>
        </is>
      </c>
      <c r="E24" t="inlineStr">
        <is>
          <t>Low</t>
        </is>
      </c>
      <c r="F24" t="inlineStr">
        <is>
          <t>Add to 'areas we deliver' block; create page only if Semrush shows volume</t>
        </is>
      </c>
    </row>
    <row r="25">
      <c r="A25" t="inlineStr">
        <is>
          <t>Dubai - Ras Al Khor</t>
        </is>
      </c>
      <c r="B25" t="inlineStr">
        <is>
          <t>Area</t>
        </is>
      </c>
      <c r="C25" t="inlineStr">
        <is>
          <t>Section on Dubai page (or own page if volume proves)</t>
        </is>
      </c>
      <c r="D25" t="inlineStr">
        <is>
          <t>rice delivery ras al khor; rice wholesale ras al khor</t>
        </is>
      </c>
      <c r="E25" t="inlineStr">
        <is>
          <t>Low</t>
        </is>
      </c>
      <c r="F25" t="inlineStr">
        <is>
          <t>Add to 'areas we deliver' block; create page only if Semrush shows volume</t>
        </is>
      </c>
    </row>
    <row r="26">
      <c r="A26" t="inlineStr">
        <is>
          <t>Dubai - Al Barsha</t>
        </is>
      </c>
      <c r="B26" t="inlineStr">
        <is>
          <t>Area</t>
        </is>
      </c>
      <c r="C26" t="inlineStr">
        <is>
          <t>Section on Dubai page (or own page if volume proves)</t>
        </is>
      </c>
      <c r="D26" t="inlineStr">
        <is>
          <t>rice delivery al barsha; rice wholesale al barsha</t>
        </is>
      </c>
      <c r="E26" t="inlineStr">
        <is>
          <t>Low</t>
        </is>
      </c>
      <c r="F26" t="inlineStr">
        <is>
          <t>Add to 'areas we deliver' block; create page only if Semrush shows volume</t>
        </is>
      </c>
    </row>
    <row r="27">
      <c r="A27" t="inlineStr">
        <is>
          <t>Dubai - Dubai Investment Park</t>
        </is>
      </c>
      <c r="B27" t="inlineStr">
        <is>
          <t>Area</t>
        </is>
      </c>
      <c r="C27" t="inlineStr">
        <is>
          <t>Section on Dubai page (or own page if volume proves)</t>
        </is>
      </c>
      <c r="D27" t="inlineStr">
        <is>
          <t>rice delivery dubai investment park; rice wholesale dubai investment park</t>
        </is>
      </c>
      <c r="E27" t="inlineStr">
        <is>
          <t>Low</t>
        </is>
      </c>
      <c r="F27" t="inlineStr">
        <is>
          <t>Add to 'areas we deliver' block; create page only if Semrush shows volume</t>
        </is>
      </c>
    </row>
    <row r="28">
      <c r="A28" t="inlineStr">
        <is>
          <t>Sharjah - Al Nahda</t>
        </is>
      </c>
      <c r="B28" t="inlineStr">
        <is>
          <t>Area</t>
        </is>
      </c>
      <c r="C28" t="inlineStr">
        <is>
          <t>Section on Sharjah page</t>
        </is>
      </c>
      <c r="D28" t="inlineStr">
        <is>
          <t>rice wholesale al nahda sharjah</t>
        </is>
      </c>
      <c r="E28" t="inlineStr">
        <is>
          <t>Low</t>
        </is>
      </c>
      <c r="F28" t="inlineStr">
        <is>
          <t>Include in Sharjah page</t>
        </is>
      </c>
    </row>
    <row r="29">
      <c r="A29" t="inlineStr">
        <is>
          <t>Sharjah - Industrial Area</t>
        </is>
      </c>
      <c r="B29" t="inlineStr">
        <is>
          <t>Area</t>
        </is>
      </c>
      <c r="C29" t="inlineStr">
        <is>
          <t>Section on Sharjah page</t>
        </is>
      </c>
      <c r="D29" t="inlineStr">
        <is>
          <t>rice wholesale industrial area sharjah</t>
        </is>
      </c>
      <c r="E29" t="inlineStr">
        <is>
          <t>Low</t>
        </is>
      </c>
      <c r="F29" t="inlineStr">
        <is>
          <t>Include in Sharjah page</t>
        </is>
      </c>
    </row>
    <row r="30">
      <c r="A30" t="inlineStr">
        <is>
          <t>Sharjah - Al Majaz</t>
        </is>
      </c>
      <c r="B30" t="inlineStr">
        <is>
          <t>Area</t>
        </is>
      </c>
      <c r="C30" t="inlineStr">
        <is>
          <t>Section on Sharjah page</t>
        </is>
      </c>
      <c r="D30" t="inlineStr">
        <is>
          <t>rice wholesale al majaz sharjah</t>
        </is>
      </c>
      <c r="E30" t="inlineStr">
        <is>
          <t>Low</t>
        </is>
      </c>
      <c r="F30" t="inlineStr">
        <is>
          <t>Include in Sharjah page</t>
        </is>
      </c>
    </row>
    <row r="31">
      <c r="A31" t="inlineStr">
        <is>
          <t>Sharjah - Muwaileh</t>
        </is>
      </c>
      <c r="B31" t="inlineStr">
        <is>
          <t>Area</t>
        </is>
      </c>
      <c r="C31" t="inlineStr">
        <is>
          <t>Section on Sharjah page</t>
        </is>
      </c>
      <c r="D31" t="inlineStr">
        <is>
          <t>rice wholesale muwaileh sharjah</t>
        </is>
      </c>
      <c r="E31" t="inlineStr">
        <is>
          <t>Low</t>
        </is>
      </c>
      <c r="F31" t="inlineStr">
        <is>
          <t>Include in Sharjah page</t>
        </is>
      </c>
    </row>
  </sheetData>
  <autoFilter ref="A1:F3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22" customWidth="1" min="3" max="3"/>
    <col width="60" customWidth="1" min="4" max="4"/>
    <col width="52" customWidth="1" min="5" max="5"/>
    <col width="34" customWidth="1" min="6" max="6"/>
    <col width="12" customWidth="1" min="7" max="7"/>
    <col width="10" customWidth="1" min="8" max="8"/>
  </cols>
  <sheetData>
    <row r="1">
      <c r="A1" s="3" t="inlineStr">
        <is>
          <t>Primary keyword of article</t>
        </is>
      </c>
      <c r="B1" s="3" t="inlineStr">
        <is>
          <t>Type</t>
        </is>
      </c>
      <c r="C1" s="3" t="inlineStr">
        <is>
          <t>Phase</t>
        </is>
      </c>
      <c r="D1" s="3" t="inlineStr">
        <is>
          <t>Suggested article title</t>
        </is>
      </c>
      <c r="E1" s="3" t="inlineStr">
        <is>
          <t>Suggested URL</t>
        </is>
      </c>
      <c r="F1" s="3" t="inlineStr">
        <is>
          <t>Link this article to (money page)</t>
        </is>
      </c>
      <c r="G1" s="3" t="inlineStr">
        <is>
          <t>Search Volume</t>
        </is>
      </c>
      <c r="H1" s="3" t="inlineStr">
        <is>
          <t>KD %</t>
        </is>
      </c>
    </row>
    <row r="2">
      <c r="A2" t="inlineStr">
        <is>
          <t>how to cook basmati rice</t>
        </is>
      </c>
      <c r="B2" t="inlineStr">
        <is>
          <t>Cooking guide</t>
        </is>
      </c>
      <c r="C2" t="inlineStr">
        <is>
          <t>Phase 1 - B2B content</t>
        </is>
      </c>
      <c r="D2" t="inlineStr">
        <is>
          <t>How to cook basmati rice (UAE Guide)</t>
        </is>
      </c>
      <c r="E2" t="inlineStr">
        <is>
          <t>/blog/how-to-cook-basmati-rice/</t>
        </is>
      </c>
      <c r="F2" t="inlineStr">
        <is>
          <t>Basmati Rice (category)</t>
        </is>
      </c>
      <c r="G2" t="inlineStr"/>
      <c r="H2" t="inlineStr"/>
    </row>
    <row r="3">
      <c r="A3" t="inlineStr">
        <is>
          <t>basmati rice vs jasmine rice</t>
        </is>
      </c>
      <c r="B3" t="inlineStr">
        <is>
          <t>Comparison</t>
        </is>
      </c>
      <c r="C3" t="inlineStr">
        <is>
          <t>Phase 1 - B2B content</t>
        </is>
      </c>
      <c r="D3" t="inlineStr">
        <is>
          <t>Basmati rice vs jasmine rice - UAE Guide</t>
        </is>
      </c>
      <c r="E3" t="inlineStr">
        <is>
          <t>/blog/basmati-rice-vs-jasmine-rice/</t>
        </is>
      </c>
      <c r="F3" t="inlineStr">
        <is>
          <t>Basmati Rice (category)</t>
        </is>
      </c>
      <c r="G3" t="inlineStr"/>
      <c r="H3" t="inlineStr"/>
    </row>
    <row r="4">
      <c r="A4" t="inlineStr">
        <is>
          <t>1121 basmati vs sella basmati</t>
        </is>
      </c>
      <c r="B4" t="inlineStr">
        <is>
          <t>Comparison</t>
        </is>
      </c>
      <c r="C4" t="inlineStr">
        <is>
          <t>Phase 1 - B2B content</t>
        </is>
      </c>
      <c r="D4" t="inlineStr">
        <is>
          <t>1121 basmati vs sella basmati - UAE Guide</t>
        </is>
      </c>
      <c r="E4" t="inlineStr">
        <is>
          <t>/blog/1121-basmati-vs-sella-basmati/</t>
        </is>
      </c>
      <c r="F4" t="inlineStr">
        <is>
          <t>Basmati Rice (category)</t>
        </is>
      </c>
      <c r="G4" t="inlineStr"/>
      <c r="H4" t="inlineStr"/>
    </row>
    <row r="5">
      <c r="A5" t="inlineStr">
        <is>
          <t>difference between sella and steam basmati</t>
        </is>
      </c>
      <c r="B5" t="inlineStr">
        <is>
          <t>Comparison</t>
        </is>
      </c>
      <c r="C5" t="inlineStr">
        <is>
          <t>Phase 1 - B2B content</t>
        </is>
      </c>
      <c r="D5" t="inlineStr">
        <is>
          <t>Difference between sella and steam basmati (UAE Guide)</t>
        </is>
      </c>
      <c r="E5" t="inlineStr">
        <is>
          <t>/blog/difference-between-sella-and-steam-basmati/</t>
        </is>
      </c>
      <c r="F5" t="inlineStr">
        <is>
          <t>Basmati Rice (category)</t>
        </is>
      </c>
      <c r="G5" t="inlineStr"/>
      <c r="H5" t="inlineStr"/>
    </row>
    <row r="6">
      <c r="A6" t="inlineStr">
        <is>
          <t>how to identify real basmati rice</t>
        </is>
      </c>
      <c r="B6" t="inlineStr">
        <is>
          <t>Buying guide</t>
        </is>
      </c>
      <c r="C6" t="inlineStr">
        <is>
          <t>Phase 1 - B2B content</t>
        </is>
      </c>
      <c r="D6" t="inlineStr">
        <is>
          <t>How to identify real basmati rice (UAE Guide)</t>
        </is>
      </c>
      <c r="E6" t="inlineStr">
        <is>
          <t>/blog/how-to-identify-real-basmati-rice/</t>
        </is>
      </c>
      <c r="F6" t="inlineStr">
        <is>
          <t>Quality &amp; certifications</t>
        </is>
      </c>
      <c r="G6" t="inlineStr"/>
      <c r="H6" t="inlineStr"/>
    </row>
    <row r="7">
      <c r="A7" t="inlineStr">
        <is>
          <t>how to choose basmati rice</t>
        </is>
      </c>
      <c r="B7" t="inlineStr">
        <is>
          <t>Buying guide</t>
        </is>
      </c>
      <c r="C7" t="inlineStr">
        <is>
          <t>Phase 1 - B2B content</t>
        </is>
      </c>
      <c r="D7" t="inlineStr">
        <is>
          <t>How to choose basmati rice (UAE Guide)</t>
        </is>
      </c>
      <c r="E7" t="inlineStr">
        <is>
          <t>/blog/how-to-choose-basmati-rice/</t>
        </is>
      </c>
      <c r="F7" t="inlineStr">
        <is>
          <t>Basmati Rice (category)</t>
        </is>
      </c>
      <c r="G7" t="inlineStr"/>
      <c r="H7" t="inlineStr"/>
    </row>
    <row r="8">
      <c r="A8" t="inlineStr">
        <is>
          <t>how to store rice long term</t>
        </is>
      </c>
      <c r="B8" t="inlineStr">
        <is>
          <t>Storage</t>
        </is>
      </c>
      <c r="C8" t="inlineStr">
        <is>
          <t>Phase 1 - B2B content</t>
        </is>
      </c>
      <c r="D8" t="inlineStr">
        <is>
          <t>How to store rice long term (UAE Guide)</t>
        </is>
      </c>
      <c r="E8" t="inlineStr">
        <is>
          <t>/blog/how-to-store-rice-long-term/</t>
        </is>
      </c>
      <c r="F8" t="inlineStr">
        <is>
          <t>Basmati Rice (category)</t>
        </is>
      </c>
      <c r="G8" t="inlineStr"/>
      <c r="H8" t="inlineStr"/>
    </row>
    <row r="9">
      <c r="A9" t="inlineStr">
        <is>
          <t>how long does basmati rice last</t>
        </is>
      </c>
      <c r="B9" t="inlineStr">
        <is>
          <t>Storage</t>
        </is>
      </c>
      <c r="C9" t="inlineStr">
        <is>
          <t>Phase 1 - B2B content</t>
        </is>
      </c>
      <c r="D9" t="inlineStr">
        <is>
          <t>How long does basmati rice last (UAE Guide)</t>
        </is>
      </c>
      <c r="E9" t="inlineStr">
        <is>
          <t>/blog/how-long-does-basmati-rice-last/</t>
        </is>
      </c>
      <c r="F9" t="inlineStr">
        <is>
          <t>Basmati Rice (category)</t>
        </is>
      </c>
      <c r="G9" t="inlineStr"/>
      <c r="H9" t="inlineStr"/>
    </row>
    <row r="10">
      <c r="A10" t="inlineStr">
        <is>
          <t>rice to water ratio for biryani</t>
        </is>
      </c>
      <c r="B10" t="inlineStr">
        <is>
          <t>Cooking guide</t>
        </is>
      </c>
      <c r="C10" t="inlineStr">
        <is>
          <t>Phase 1 - B2B content</t>
        </is>
      </c>
      <c r="D10" t="inlineStr">
        <is>
          <t>Rice to water ratio for biryani - UAE Guide</t>
        </is>
      </c>
      <c r="E10" t="inlineStr">
        <is>
          <t>/blog/rice-to-water-ratio-for-biryani/</t>
        </is>
      </c>
      <c r="F10" t="inlineStr">
        <is>
          <t>Basmati Rice (category)</t>
        </is>
      </c>
      <c r="G10" t="inlineStr"/>
      <c r="H10" t="inlineStr"/>
    </row>
    <row r="11">
      <c r="A11" t="inlineStr">
        <is>
          <t>how to cook rice for kabsa</t>
        </is>
      </c>
      <c r="B11" t="inlineStr">
        <is>
          <t>Cooking guide</t>
        </is>
      </c>
      <c r="C11" t="inlineStr">
        <is>
          <t>Phase 1 - B2B content</t>
        </is>
      </c>
      <c r="D11" t="inlineStr">
        <is>
          <t>How to cook rice for kabsa (UAE Guide)</t>
        </is>
      </c>
      <c r="E11" t="inlineStr">
        <is>
          <t>/blog/how-to-cook-rice-for-kabsa/</t>
        </is>
      </c>
      <c r="F11" t="inlineStr">
        <is>
          <t>Basmati Rice (category)</t>
        </is>
      </c>
      <c r="G11" t="inlineStr"/>
      <c r="H11" t="inlineStr"/>
    </row>
    <row r="12">
      <c r="A12" t="inlineStr">
        <is>
          <t>how to make chicken mandi rice</t>
        </is>
      </c>
      <c r="B12" t="inlineStr">
        <is>
          <t>Recipe</t>
        </is>
      </c>
      <c r="C12" t="inlineStr">
        <is>
          <t>Phase 1 - B2B content</t>
        </is>
      </c>
      <c r="D12" t="inlineStr">
        <is>
          <t>How to make chicken mandi rice (UAE Guide)</t>
        </is>
      </c>
      <c r="E12" t="inlineStr">
        <is>
          <t>/blog/how-to-make-chicken-mandi-rice/</t>
        </is>
      </c>
      <c r="F12" t="inlineStr">
        <is>
          <t>Basmati Rice (category)</t>
        </is>
      </c>
      <c r="G12" t="inlineStr"/>
      <c r="H12" t="inlineStr"/>
    </row>
    <row r="13">
      <c r="A13" t="inlineStr">
        <is>
          <t>how to make dubai style biryani</t>
        </is>
      </c>
      <c r="B13" t="inlineStr">
        <is>
          <t>Recipe</t>
        </is>
      </c>
      <c r="C13" t="inlineStr">
        <is>
          <t>Phase 1 - B2B content</t>
        </is>
      </c>
      <c r="D13" t="inlineStr">
        <is>
          <t>How to make dubai style biryani (UAE Guide)</t>
        </is>
      </c>
      <c r="E13" t="inlineStr">
        <is>
          <t>/blog/how-to-make-dubai-style-biryani/</t>
        </is>
      </c>
      <c r="F13" t="inlineStr">
        <is>
          <t>Basmati Rice (category)</t>
        </is>
      </c>
      <c r="G13" t="inlineStr"/>
      <c r="H13" t="inlineStr"/>
    </row>
    <row r="14">
      <c r="A14" t="inlineStr">
        <is>
          <t>best rice for biryani</t>
        </is>
      </c>
      <c r="B14" t="inlineStr">
        <is>
          <t>Buying guide</t>
        </is>
      </c>
      <c r="C14" t="inlineStr">
        <is>
          <t>Phase 1 - B2B content</t>
        </is>
      </c>
      <c r="D14" t="inlineStr">
        <is>
          <t>Best rice for biryani (UAE Guide)</t>
        </is>
      </c>
      <c r="E14" t="inlineStr">
        <is>
          <t>/blog/best-rice-for-biryani/</t>
        </is>
      </c>
      <c r="F14" t="inlineStr">
        <is>
          <t>Basmati Rice (category)</t>
        </is>
      </c>
      <c r="G14" t="inlineStr"/>
      <c r="H14" t="inlineStr"/>
    </row>
    <row r="15">
      <c r="A15" t="inlineStr">
        <is>
          <t>best rice for pulao</t>
        </is>
      </c>
      <c r="B15" t="inlineStr">
        <is>
          <t>Buying guide</t>
        </is>
      </c>
      <c r="C15" t="inlineStr">
        <is>
          <t>Phase 1 - B2B content</t>
        </is>
      </c>
      <c r="D15" t="inlineStr">
        <is>
          <t>Best rice for pulao (UAE Guide)</t>
        </is>
      </c>
      <c r="E15" t="inlineStr">
        <is>
          <t>/blog/best-rice-for-pulao/</t>
        </is>
      </c>
      <c r="F15" t="inlineStr">
        <is>
          <t>Basmati Rice (category)</t>
        </is>
      </c>
      <c r="G15" t="inlineStr"/>
      <c r="H15" t="inlineStr"/>
    </row>
    <row r="16">
      <c r="A16" t="inlineStr">
        <is>
          <t>best rice for fried rice</t>
        </is>
      </c>
      <c r="B16" t="inlineStr">
        <is>
          <t>Buying guide</t>
        </is>
      </c>
      <c r="C16" t="inlineStr">
        <is>
          <t>Phase 1 - B2B content</t>
        </is>
      </c>
      <c r="D16" t="inlineStr">
        <is>
          <t>Best rice for fried rice (UAE Guide)</t>
        </is>
      </c>
      <c r="E16" t="inlineStr">
        <is>
          <t>/blog/best-rice-for-fried-rice/</t>
        </is>
      </c>
      <c r="F16" t="inlineStr">
        <is>
          <t>Basmati Rice (category)</t>
        </is>
      </c>
      <c r="G16" t="inlineStr"/>
      <c r="H16" t="inlineStr"/>
    </row>
    <row r="17">
      <c r="A17" t="inlineStr">
        <is>
          <t>is basmati rice healthy</t>
        </is>
      </c>
      <c r="B17" t="inlineStr">
        <is>
          <t>Health</t>
        </is>
      </c>
      <c r="C17" t="inlineStr">
        <is>
          <t>Phase 1 - B2B content</t>
        </is>
      </c>
      <c r="D17" t="inlineStr">
        <is>
          <t>Is basmati rice healthy (UAE Guide)</t>
        </is>
      </c>
      <c r="E17" t="inlineStr">
        <is>
          <t>/blog/is-basmati-rice-healthy/</t>
        </is>
      </c>
      <c r="F17" t="inlineStr">
        <is>
          <t>Basmati Rice (category)</t>
        </is>
      </c>
      <c r="G17" t="inlineStr"/>
      <c r="H17" t="inlineStr"/>
    </row>
    <row r="18">
      <c r="A18" t="inlineStr">
        <is>
          <t>brown rice vs white rice</t>
        </is>
      </c>
      <c r="B18" t="inlineStr">
        <is>
          <t>Health</t>
        </is>
      </c>
      <c r="C18" t="inlineStr">
        <is>
          <t>Phase 1 - B2B content</t>
        </is>
      </c>
      <c r="D18" t="inlineStr">
        <is>
          <t>Brown rice vs white rice - UAE Guide</t>
        </is>
      </c>
      <c r="E18" t="inlineStr">
        <is>
          <t>/blog/brown-rice-vs-white-rice/</t>
        </is>
      </c>
      <c r="F18" t="inlineStr">
        <is>
          <t>Basmati Rice (category)</t>
        </is>
      </c>
      <c r="G18" t="inlineStr"/>
      <c r="H18" t="inlineStr"/>
    </row>
    <row r="19">
      <c r="A19" t="inlineStr">
        <is>
          <t>basmati rice calories</t>
        </is>
      </c>
      <c r="B19" t="inlineStr">
        <is>
          <t>Health</t>
        </is>
      </c>
      <c r="C19" t="inlineStr">
        <is>
          <t>Phase 1 - B2B content</t>
        </is>
      </c>
      <c r="D19" t="inlineStr">
        <is>
          <t>Basmati rice calories - UAE Guide</t>
        </is>
      </c>
      <c r="E19" t="inlineStr">
        <is>
          <t>/blog/basmati-rice-calories/</t>
        </is>
      </c>
      <c r="F19" t="inlineStr">
        <is>
          <t>Basmati Rice (category)</t>
        </is>
      </c>
      <c r="G19" t="inlineStr"/>
      <c r="H19" t="inlineStr"/>
    </row>
    <row r="20">
      <c r="A20" t="inlineStr">
        <is>
          <t>glycemic index of basmati rice</t>
        </is>
      </c>
      <c r="B20" t="inlineStr">
        <is>
          <t>Health</t>
        </is>
      </c>
      <c r="C20" t="inlineStr">
        <is>
          <t>Phase 1 - B2B content</t>
        </is>
      </c>
      <c r="D20" t="inlineStr">
        <is>
          <t>Glycemic index of basmati rice - UAE Guide</t>
        </is>
      </c>
      <c r="E20" t="inlineStr">
        <is>
          <t>/blog/glycemic-index-of-basmati-rice/</t>
        </is>
      </c>
      <c r="F20" t="inlineStr">
        <is>
          <t>Basmati Rice (category)</t>
        </is>
      </c>
      <c r="G20" t="inlineStr"/>
      <c r="H20" t="inlineStr"/>
    </row>
    <row r="21">
      <c r="A21" t="inlineStr">
        <is>
          <t>what is sella basmati rice</t>
        </is>
      </c>
      <c r="B21" t="inlineStr">
        <is>
          <t>Definition</t>
        </is>
      </c>
      <c r="C21" t="inlineStr">
        <is>
          <t>Phase 1 - B2B content</t>
        </is>
      </c>
      <c r="D21" t="inlineStr">
        <is>
          <t>What is sella basmati rice (UAE Guide)</t>
        </is>
      </c>
      <c r="E21" t="inlineStr">
        <is>
          <t>/blog/what-is-sella-basmati-rice/</t>
        </is>
      </c>
      <c r="F21" t="inlineStr">
        <is>
          <t>Basmati Rice (category)</t>
        </is>
      </c>
      <c r="G21" t="inlineStr"/>
      <c r="H21" t="inlineStr"/>
    </row>
    <row r="22">
      <c r="A22" t="inlineStr">
        <is>
          <t>what is 1121 basmati rice</t>
        </is>
      </c>
      <c r="B22" t="inlineStr">
        <is>
          <t>Definition</t>
        </is>
      </c>
      <c r="C22" t="inlineStr">
        <is>
          <t>Phase 1 - B2B content</t>
        </is>
      </c>
      <c r="D22" t="inlineStr">
        <is>
          <t>What is 1121 basmati rice (UAE Guide)</t>
        </is>
      </c>
      <c r="E22" t="inlineStr">
        <is>
          <t>/blog/what-is-1121-basmati-rice/</t>
        </is>
      </c>
      <c r="F22" t="inlineStr">
        <is>
          <t>Basmati Rice (category)</t>
        </is>
      </c>
      <c r="G22" t="inlineStr"/>
      <c r="H22" t="inlineStr"/>
    </row>
    <row r="23">
      <c r="A23" t="inlineStr">
        <is>
          <t>what is parboiled rice</t>
        </is>
      </c>
      <c r="B23" t="inlineStr">
        <is>
          <t>Definition</t>
        </is>
      </c>
      <c r="C23" t="inlineStr">
        <is>
          <t>Phase 1 - B2B content</t>
        </is>
      </c>
      <c r="D23" t="inlineStr">
        <is>
          <t>What is parboiled rice (UAE Guide)</t>
        </is>
      </c>
      <c r="E23" t="inlineStr">
        <is>
          <t>/blog/what-is-parboiled-rice/</t>
        </is>
      </c>
      <c r="F23" t="inlineStr">
        <is>
          <t>Basmati Rice (category)</t>
        </is>
      </c>
      <c r="G23" t="inlineStr"/>
      <c r="H23" t="inlineStr"/>
    </row>
    <row r="24">
      <c r="A24" t="inlineStr">
        <is>
          <t>why is basmati rice expensive</t>
        </is>
      </c>
      <c r="B24" t="inlineStr">
        <is>
          <t>Buying guide</t>
        </is>
      </c>
      <c r="C24" t="inlineStr">
        <is>
          <t>Phase 1 - B2B content</t>
        </is>
      </c>
      <c r="D24" t="inlineStr">
        <is>
          <t>Why is basmati rice expensive (UAE Guide)</t>
        </is>
      </c>
      <c r="E24" t="inlineStr">
        <is>
          <t>/blog/why-is-basmati-rice-expensive/</t>
        </is>
      </c>
      <c r="F24" t="inlineStr">
        <is>
          <t>Basmati Rice (category)</t>
        </is>
      </c>
      <c r="G24" t="inlineStr"/>
      <c r="H24" t="inlineStr"/>
    </row>
    <row r="25">
      <c r="A25" t="inlineStr">
        <is>
          <t>basmati rice grading</t>
        </is>
      </c>
      <c r="B25" t="inlineStr">
        <is>
          <t>Buying guide</t>
        </is>
      </c>
      <c r="C25" t="inlineStr">
        <is>
          <t>Phase 1 - B2B content</t>
        </is>
      </c>
      <c r="D25" t="inlineStr">
        <is>
          <t>Basmati rice grading - UAE Guide</t>
        </is>
      </c>
      <c r="E25" t="inlineStr">
        <is>
          <t>/blog/basmati-rice-grading/</t>
        </is>
      </c>
      <c r="F25" t="inlineStr">
        <is>
          <t>Quality &amp; certifications</t>
        </is>
      </c>
      <c r="G25" t="inlineStr"/>
      <c r="H25" t="inlineStr"/>
    </row>
    <row r="26">
      <c r="A26" t="inlineStr">
        <is>
          <t>rice import regulations uae</t>
        </is>
      </c>
      <c r="B26" t="inlineStr">
        <is>
          <t>B2B guide</t>
        </is>
      </c>
      <c r="C26" t="inlineStr">
        <is>
          <t>Phase 1 - B2B content</t>
        </is>
      </c>
      <c r="D26" t="inlineStr">
        <is>
          <t>Rice import regulations uae - UAE Guide</t>
        </is>
      </c>
      <c r="E26" t="inlineStr">
        <is>
          <t>/blog/rice-import-regulations-uae/</t>
        </is>
      </c>
      <c r="F26" t="inlineStr">
        <is>
          <t>Importers &amp; Exporters</t>
        </is>
      </c>
      <c r="G26" t="inlineStr"/>
      <c r="H26" t="inlineStr"/>
    </row>
    <row r="27">
      <c r="A27" t="inlineStr">
        <is>
          <t>uae rice import duty</t>
        </is>
      </c>
      <c r="B27" t="inlineStr">
        <is>
          <t>B2B guide</t>
        </is>
      </c>
      <c r="C27" t="inlineStr">
        <is>
          <t>Phase 1 - B2B content</t>
        </is>
      </c>
      <c r="D27" t="inlineStr">
        <is>
          <t>Uae rice import duty - UAE Guide</t>
        </is>
      </c>
      <c r="E27" t="inlineStr">
        <is>
          <t>/blog/uae-rice-import-duty/</t>
        </is>
      </c>
      <c r="F27" t="inlineStr">
        <is>
          <t>Importers &amp; Exporters</t>
        </is>
      </c>
      <c r="G27" t="inlineStr"/>
      <c r="H27" t="inlineStr"/>
    </row>
    <row r="28">
      <c r="A28" t="inlineStr">
        <is>
          <t>rice price trend uae</t>
        </is>
      </c>
      <c r="B28" t="inlineStr">
        <is>
          <t>Market</t>
        </is>
      </c>
      <c r="C28" t="inlineStr">
        <is>
          <t>Phase 1 - B2B content</t>
        </is>
      </c>
      <c r="D28" t="inlineStr">
        <is>
          <t>Rice price trend uae - UAE Guide</t>
        </is>
      </c>
      <c r="E28" t="inlineStr">
        <is>
          <t>/blog/rice-price-trend-uae/</t>
        </is>
      </c>
      <c r="F28" t="inlineStr">
        <is>
          <t>Price per ton (RFQ)</t>
        </is>
      </c>
      <c r="G28" t="inlineStr"/>
      <c r="H28" t="inlineStr"/>
    </row>
    <row r="29">
      <c r="A29" t="inlineStr">
        <is>
          <t>india rice export ban impact on uae</t>
        </is>
      </c>
      <c r="B29" t="inlineStr">
        <is>
          <t>Market</t>
        </is>
      </c>
      <c r="C29" t="inlineStr">
        <is>
          <t>Phase 1 - B2B content</t>
        </is>
      </c>
      <c r="D29" t="inlineStr">
        <is>
          <t>India rice export ban impact on uae - UAE Guide</t>
        </is>
      </c>
      <c r="E29" t="inlineStr">
        <is>
          <t>/blog/india-rice-export-ban-impact-on-uae/</t>
        </is>
      </c>
      <c r="F29" t="inlineStr">
        <is>
          <t>Export / Re-export</t>
        </is>
      </c>
      <c r="G29" t="inlineStr"/>
      <c r="H29" t="inlineStr"/>
    </row>
    <row r="30">
      <c r="A30" t="inlineStr">
        <is>
          <t>how to start rice trading business in dubai</t>
        </is>
      </c>
      <c r="B30" t="inlineStr">
        <is>
          <t>B2B guide</t>
        </is>
      </c>
      <c r="C30" t="inlineStr">
        <is>
          <t>Phase 1 - B2B content</t>
        </is>
      </c>
      <c r="D30" t="inlineStr">
        <is>
          <t>How to start rice trading business in dubai (UAE Guide)</t>
        </is>
      </c>
      <c r="E30" t="inlineStr">
        <is>
          <t>/blog/how-to-start-rice-trading-business-in-dubai/</t>
        </is>
      </c>
      <c r="F30" t="inlineStr">
        <is>
          <t>Importers &amp; Exporters</t>
        </is>
      </c>
      <c r="G30" t="inlineStr"/>
      <c r="H30" t="inlineStr"/>
    </row>
    <row r="31">
      <c r="A31" t="inlineStr">
        <is>
          <t>rice trading license dubai</t>
        </is>
      </c>
      <c r="B31" t="inlineStr">
        <is>
          <t>B2B guide</t>
        </is>
      </c>
      <c r="C31" t="inlineStr">
        <is>
          <t>Phase 1 - B2B content</t>
        </is>
      </c>
      <c r="D31" t="inlineStr">
        <is>
          <t>Rice trading license dubai - UAE Guide</t>
        </is>
      </c>
      <c r="E31" t="inlineStr">
        <is>
          <t>/blog/rice-trading-license-dubai/</t>
        </is>
      </c>
      <c r="F31" t="inlineStr">
        <is>
          <t>Importers &amp; Exporters</t>
        </is>
      </c>
      <c r="G31" t="inlineStr"/>
      <c r="H31" t="inlineStr"/>
    </row>
    <row r="32">
      <c r="A32" t="inlineStr">
        <is>
          <t>food trading license dubai</t>
        </is>
      </c>
      <c r="B32" t="inlineStr">
        <is>
          <t>Free zone / ports</t>
        </is>
      </c>
      <c r="C32" t="inlineStr">
        <is>
          <t>Phase 1 - B2B now</t>
        </is>
      </c>
      <c r="D32" t="inlineStr">
        <is>
          <t>Food trading license dubai - UAE Guide</t>
        </is>
      </c>
      <c r="E32" t="inlineStr">
        <is>
          <t>/blog/food-trading-license-dubai/</t>
        </is>
      </c>
      <c r="F32" t="inlineStr">
        <is>
          <t>Importers &amp; Exporters</t>
        </is>
      </c>
      <c r="G32" t="inlineStr"/>
      <c r="H32" t="inlineStr"/>
    </row>
  </sheetData>
  <autoFilter ref="A1:H3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34"/>
  <sheetViews>
    <sheetView workbookViewId="0">
      <pane ySplit="1" topLeftCell="A2" activePane="bottomLeft" state="frozen"/>
      <selection pane="bottomLeft" activeCell="A1" sqref="A1"/>
    </sheetView>
  </sheetViews>
  <sheetFormatPr baseColWidth="8" defaultRowHeight="15"/>
  <cols>
    <col width="30" customWidth="1" min="1" max="1"/>
    <col width="120" customWidth="1" min="2" max="2"/>
  </cols>
  <sheetData>
    <row r="1">
      <c r="A1" s="3" t="inlineStr">
        <is>
          <t>Shabd</t>
        </is>
      </c>
      <c r="B1" s="3" t="inlineStr">
        <is>
          <t>Matlab (aasaan bhasha mein)</t>
        </is>
      </c>
    </row>
    <row r="2">
      <c r="A2" s="4" t="inlineStr">
        <is>
          <t>Keyword</t>
        </is>
      </c>
      <c r="B2" s="4" t="inlineStr">
        <is>
          <t>Wo shabd/phrase jo log Google mein type karte hain. Jaise 'rice wholesale dubai'.</t>
        </is>
      </c>
    </row>
    <row r="3">
      <c r="A3" s="4" t="inlineStr">
        <is>
          <t>Primary keyword</t>
        </is>
      </c>
      <c r="B3" s="4" t="inlineStr">
        <is>
          <t>Page ka sabse zaroori keyword. Ek page ka ek hi primary hota hai.</t>
        </is>
      </c>
    </row>
    <row r="4">
      <c r="A4" s="4" t="inlineStr">
        <is>
          <t>Secondary keyword</t>
        </is>
      </c>
      <c r="B4" s="4" t="inlineStr">
        <is>
          <t>Page ke baaki related keywords jo H2/H3/body mein lagte hain.</t>
        </is>
      </c>
    </row>
    <row r="5">
      <c r="A5" s="4" t="inlineStr">
        <is>
          <t>Search Volume</t>
        </is>
      </c>
      <c r="B5" s="4" t="inlineStr">
        <is>
          <t>Mahine mein Google par is keyword ko kitni baar search kiya jaata hai (Semrush/Keyword Planner se milta hai).</t>
        </is>
      </c>
    </row>
    <row r="6">
      <c r="A6" s="4" t="inlineStr">
        <is>
          <t>KD (Keyword Difficulty)</t>
        </is>
      </c>
      <c r="B6" s="4" t="inlineStr">
        <is>
          <t>0-100 score; jitna zyada, us keyword pe rank karna utna mushkil. 0-30 aasan, 30-60 medium, 60+ mushkil.</t>
        </is>
      </c>
    </row>
    <row r="7">
      <c r="A7" s="4" t="inlineStr">
        <is>
          <t>CPC</t>
        </is>
      </c>
      <c r="B7" s="4" t="inlineStr">
        <is>
          <t>Is keyword pe ek ad click ki average keemat; zyada CPC = keyword mein paisa zyada (commercial value).</t>
        </is>
      </c>
    </row>
    <row r="8">
      <c r="A8" s="4" t="inlineStr">
        <is>
          <t>Search intent</t>
        </is>
      </c>
      <c r="B8" s="4" t="inlineStr">
        <is>
          <t>Search karne wale ka maksad: Informational (jaankari), Commercial (compare), Transactional (kharidna/quote), Navigational (brand dhundhna).</t>
        </is>
      </c>
    </row>
    <row r="9">
      <c r="A9" s="4" t="inlineStr">
        <is>
          <t>SERP</t>
        </is>
      </c>
      <c r="B9" s="4" t="inlineStr">
        <is>
          <t>Search Engine Results Page - Google ka result page.</t>
        </is>
      </c>
    </row>
    <row r="10">
      <c r="A10" s="4" t="inlineStr">
        <is>
          <t>Title tag</t>
        </is>
      </c>
      <c r="B10" s="4" t="inlineStr">
        <is>
          <t>Google result mein jo neeli heading dikhti hai (SEO title).</t>
        </is>
      </c>
    </row>
    <row r="11">
      <c r="A11" s="4" t="inlineStr">
        <is>
          <t>Meta description</t>
        </is>
      </c>
      <c r="B11" s="4" t="inlineStr">
        <is>
          <t>Neeli heading ke neeche ka chhota description.</t>
        </is>
      </c>
    </row>
    <row r="12">
      <c r="A12" s="4" t="inlineStr">
        <is>
          <t>H1 / H2 / H3</t>
        </is>
      </c>
      <c r="B12" s="4" t="inlineStr">
        <is>
          <t>Page ke andar ke headings. H1 sabse bada (ek hi), H2 sections, H3 sub-sections.</t>
        </is>
      </c>
    </row>
    <row r="13">
      <c r="A13" s="4" t="inlineStr">
        <is>
          <t>Slug / URL</t>
        </is>
      </c>
      <c r="B13" s="4" t="inlineStr">
        <is>
          <t>Page ka address ka aakhri hissa, jaise /rice-wholesale-dubai/.</t>
        </is>
      </c>
    </row>
    <row r="14">
      <c r="A14" s="4" t="inlineStr">
        <is>
          <t>Anchor text</t>
        </is>
      </c>
      <c r="B14" s="4" t="inlineStr">
        <is>
          <t>Link ke andar jo clickable shabd hote hain.</t>
        </is>
      </c>
    </row>
    <row r="15">
      <c r="A15" s="4" t="inlineStr">
        <is>
          <t>Internal link</t>
        </is>
      </c>
      <c r="B15" s="4" t="inlineStr">
        <is>
          <t>Apni hi site ke ek page se doosre page ka link.</t>
        </is>
      </c>
    </row>
    <row r="16">
      <c r="A16" s="4" t="inlineStr">
        <is>
          <t>Backlink</t>
        </is>
      </c>
      <c r="B16" s="4" t="inlineStr">
        <is>
          <t>Doosri website se aapki website par aaya link; Google ise 'vote' maanta hai.</t>
        </is>
      </c>
    </row>
    <row r="17">
      <c r="A17" s="4" t="inlineStr">
        <is>
          <t>Indexing</t>
        </is>
      </c>
      <c r="B17" s="4" t="inlineStr">
        <is>
          <t>Google ka aapke page ko apne database mein add karna. Index nahi = search mein nahi dikhega.</t>
        </is>
      </c>
    </row>
    <row r="18">
      <c r="A18" s="4" t="inlineStr">
        <is>
          <t>noindex</t>
        </is>
      </c>
      <c r="B18" s="4" t="inlineStr">
        <is>
          <t>Ek tag jo Google ko bolta hai 'is page ko index mat karo'. Ye hata hona chahiye.</t>
        </is>
      </c>
    </row>
    <row r="19">
      <c r="A19" s="4" t="inlineStr">
        <is>
          <t>Sitemap</t>
        </is>
      </c>
      <c r="B19" s="4" t="inlineStr">
        <is>
          <t>Site ke saare pages ki list (XML file) jo Google ko di jaati hai.</t>
        </is>
      </c>
    </row>
    <row r="20">
      <c r="A20" s="4" t="inlineStr">
        <is>
          <t>robots.txt</t>
        </is>
      </c>
      <c r="B20" s="4" t="inlineStr">
        <is>
          <t>Ek file jo search engines ko batati hai kaun se pages crawl karne hain.</t>
        </is>
      </c>
    </row>
    <row r="21">
      <c r="A21" s="4" t="inlineStr">
        <is>
          <t>Canonical</t>
        </is>
      </c>
      <c r="B21" s="4" t="inlineStr">
        <is>
          <t>Tag jo batata hai ki is page ka 'asli' URL kaunsa hai (duplicate se bachne ke liye).</t>
        </is>
      </c>
    </row>
    <row r="22">
      <c r="A22" s="4" t="inlineStr">
        <is>
          <t>Cannibalization</t>
        </is>
      </c>
      <c r="B22" s="4" t="inlineStr">
        <is>
          <t>Jab aapke 2 pages ek hi keyword ke liye rank karne ki koshish karte hain; dono kamzor ho jaate hain.</t>
        </is>
      </c>
    </row>
    <row r="23">
      <c r="A23" s="4" t="inlineStr">
        <is>
          <t>Schema</t>
        </is>
      </c>
      <c r="B23" s="4" t="inlineStr">
        <is>
          <t>Code jo Google ko page ki cheez samjhata hai (FAQ, product, company). Rich results ke kaam aata hai.</t>
        </is>
      </c>
    </row>
    <row r="24">
      <c r="A24" s="4" t="inlineStr">
        <is>
          <t>FAQPage schema</t>
        </is>
      </c>
      <c r="B24" s="4" t="inlineStr">
        <is>
          <t>FAQ ke liye schema; Google result mein sawaal-jawab dikha sakta hai.</t>
        </is>
      </c>
    </row>
    <row r="25">
      <c r="A25" s="4" t="inlineStr">
        <is>
          <t>Keyword stuffing</t>
        </is>
      </c>
      <c r="B25" s="4" t="inlineStr">
        <is>
          <t>Ek keyword zabardasti baar-baar dohrana; Google penalty de sakta hai.</t>
        </is>
      </c>
    </row>
    <row r="26">
      <c r="A26" s="4" t="inlineStr">
        <is>
          <t>RFQ</t>
        </is>
      </c>
      <c r="B26" s="4" t="inlineStr">
        <is>
          <t>Request For Quotation - buyer ka price maangne ka form.</t>
        </is>
      </c>
    </row>
    <row r="27">
      <c r="A27" s="4" t="inlineStr">
        <is>
          <t>MOQ</t>
        </is>
      </c>
      <c r="B27" s="4" t="inlineStr">
        <is>
          <t>Minimum Order Quantity - kam se kam kitna maal order karna hoga.</t>
        </is>
      </c>
    </row>
    <row r="28">
      <c r="A28" s="4" t="inlineStr">
        <is>
          <t>FOB / CIF</t>
        </is>
      </c>
      <c r="B28" s="4" t="inlineStr">
        <is>
          <t>Shipping terms. FOB = maal jahaz mein chadhne tak seller ka kharcha; CIF = destination port tak freight+insurance seller ka.</t>
        </is>
      </c>
    </row>
    <row r="29">
      <c r="A29" s="4" t="inlineStr">
        <is>
          <t>HORECA</t>
        </is>
      </c>
      <c r="B29" s="4" t="inlineStr">
        <is>
          <t>Hotels, Restaurants, Catering.</t>
        </is>
      </c>
    </row>
    <row r="30">
      <c r="A30" s="4" t="inlineStr">
        <is>
          <t>HS code</t>
        </is>
      </c>
      <c r="B30" s="4" t="inlineStr">
        <is>
          <t>Customs ka product code; rice ka import/export documents mein lagta hai.</t>
        </is>
      </c>
    </row>
    <row r="31">
      <c r="A31" s="4" t="inlineStr">
        <is>
          <t>Phase 1 / Phase 2</t>
        </is>
      </c>
      <c r="B31" s="4" t="inlineStr">
        <is>
          <t>Phase 1 = abhi ka B2B kaam; Phase 2 = baad ka B2C kaam.</t>
        </is>
      </c>
    </row>
    <row r="32">
      <c r="A32" s="4" t="inlineStr">
        <is>
          <t>GSC</t>
        </is>
      </c>
      <c r="B32" s="4" t="inlineStr">
        <is>
          <t>Google Search Console - Google ka free tool, indexing aur rankings dekhne ke liye.</t>
        </is>
      </c>
    </row>
    <row r="33">
      <c r="A33" s="4" t="inlineStr">
        <is>
          <t>GA4</t>
        </is>
      </c>
      <c r="B33" s="4" t="inlineStr">
        <is>
          <t>Google Analytics 4 - traffic aur conversions (quote requests) dekhne ka tool.</t>
        </is>
      </c>
    </row>
    <row r="34">
      <c r="A34" s="4" t="inlineStr">
        <is>
          <t>Core Web Vitals</t>
        </is>
      </c>
      <c r="B34" s="4" t="inlineStr">
        <is>
          <t>Google ke speed aur user-experience ke 3 metrics (loading, interactivity, stability).</t>
        </is>
      </c>
    </row>
  </sheetData>
  <autoFilter ref="A1:B3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8" customWidth="1" min="1" max="1"/>
    <col width="90" customWidth="1" min="2" max="2"/>
    <col width="50" customWidth="1" min="3" max="3"/>
  </cols>
  <sheetData>
    <row r="1">
      <c r="A1" s="3" t="inlineStr">
        <is>
          <t>Step</t>
        </is>
      </c>
      <c r="B1" s="3" t="inlineStr">
        <is>
          <t>What to do in Semrush</t>
        </is>
      </c>
      <c r="C1" s="3" t="inlineStr">
        <is>
          <t>Output to paste/summarise</t>
        </is>
      </c>
    </row>
    <row r="2">
      <c r="A2" t="inlineStr">
        <is>
          <t>1</t>
        </is>
      </c>
      <c r="B2" t="inlineStr">
        <is>
          <t>Google 'basmati rice online dubai', 'rice wholesale dubai', 'rice delivery uae' and note top 10 domains (UAE results)</t>
        </is>
      </c>
      <c r="C2" t="inlineStr">
        <is>
          <t>Competitor domain list</t>
        </is>
      </c>
    </row>
    <row r="3">
      <c r="A3" t="inlineStr">
        <is>
          <t>2</t>
        </is>
      </c>
      <c r="B3" t="inlineStr">
        <is>
          <t>Semrush -&gt; Domain Overview for each domain (UAE database)</t>
        </is>
      </c>
      <c r="C3" t="inlineStr">
        <is>
          <t>Organic traffic, keywords count, authority score</t>
        </is>
      </c>
    </row>
    <row r="4">
      <c r="A4" t="inlineStr">
        <is>
          <t>3</t>
        </is>
      </c>
      <c r="B4" t="inlineStr">
        <is>
          <t>Keyword Gap: cookychoice.com vs 3-5 competitors</t>
        </is>
      </c>
      <c r="C4" t="inlineStr">
        <is>
          <t>Missing / weak / shared keywords</t>
        </is>
      </c>
    </row>
    <row r="5">
      <c r="A5" t="inlineStr">
        <is>
          <t>4</t>
        </is>
      </c>
      <c r="B5" t="inlineStr">
        <is>
          <t>Organic Research -&gt; Pages for each competitor</t>
        </is>
      </c>
      <c r="C5" t="inlineStr">
        <is>
          <t>Top traffic pages = page types to copy</t>
        </is>
      </c>
    </row>
    <row r="6">
      <c r="A6" t="inlineStr">
        <is>
          <t>5</t>
        </is>
      </c>
      <c r="B6" t="inlineStr">
        <is>
          <t>Backlink Gap</t>
        </is>
      </c>
      <c r="C6" t="inlineStr">
        <is>
          <t>Link targets (UAE directories, food blogs, B2B listings)</t>
        </is>
      </c>
    </row>
    <row r="7">
      <c r="A7" t="inlineStr">
        <is>
          <t>6</t>
        </is>
      </c>
      <c r="B7" t="inlineStr">
        <is>
          <t>Note SERP features: Shopping, Local pack, PAA</t>
        </is>
      </c>
      <c r="C7" t="inlineStr">
        <is>
          <t>Where to add schema / Google Business Profile</t>
        </is>
      </c>
    </row>
  </sheetData>
  <autoFilter ref="A1:C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16" customWidth="1" min="1" max="1"/>
    <col width="80" customWidth="1" min="2" max="2"/>
    <col width="10" customWidth="1" min="3" max="3"/>
    <col width="50" customWidth="1" min="4" max="4"/>
  </cols>
  <sheetData>
    <row r="1">
      <c r="A1" s="3" t="inlineStr">
        <is>
          <t>Area</t>
        </is>
      </c>
      <c r="B1" s="3" t="inlineStr">
        <is>
          <t>Check</t>
        </is>
      </c>
      <c r="C1" s="3" t="inlineStr">
        <is>
          <t>Severity</t>
        </is>
      </c>
      <c r="D1" s="3" t="inlineStr">
        <is>
          <t>Status</t>
        </is>
      </c>
    </row>
    <row r="2">
      <c r="A2" t="inlineStr">
        <is>
          <t>Indexing</t>
        </is>
      </c>
      <c r="B2" t="inlineStr">
        <is>
          <t>WordPress Settings &gt; Reading &gt; 'Discourage search engines' must be OFF</t>
        </is>
      </c>
      <c r="C2" t="inlineStr">
        <is>
          <t>Critical</t>
        </is>
      </c>
      <c r="D2" t="inlineStr">
        <is>
          <t>Reported by owner as ON; confirm removed</t>
        </is>
      </c>
    </row>
    <row r="3">
      <c r="A3" t="inlineStr">
        <is>
          <t>Indexing</t>
        </is>
      </c>
      <c r="B3" t="inlineStr">
        <is>
          <t>robots.txt has no 'Disallow: /'</t>
        </is>
      </c>
      <c r="C3" t="inlineStr">
        <is>
          <t>Critical</t>
        </is>
      </c>
      <c r="D3" t="inlineStr">
        <is>
          <t>Not yet verified (site not reachable from session)</t>
        </is>
      </c>
    </row>
    <row r="4">
      <c r="A4" t="inlineStr">
        <is>
          <t>Indexing</t>
        </is>
      </c>
      <c r="B4" t="inlineStr">
        <is>
          <t>No noindex meta / X-Robots-Tag on pages</t>
        </is>
      </c>
      <c r="C4" t="inlineStr">
        <is>
          <t>Critical</t>
        </is>
      </c>
      <c r="D4" t="inlineStr">
        <is>
          <t>Not yet verified</t>
        </is>
      </c>
    </row>
    <row r="5">
      <c r="A5" t="inlineStr">
        <is>
          <t>Indexing</t>
        </is>
      </c>
      <c r="B5" t="inlineStr">
        <is>
          <t>XML sitemap submitted in Search Console</t>
        </is>
      </c>
      <c r="C5" t="inlineStr">
        <is>
          <t>High</t>
        </is>
      </c>
      <c r="D5" t="inlineStr">
        <is>
          <t>Not yet verified</t>
        </is>
      </c>
    </row>
    <row r="6">
      <c r="A6" t="inlineStr">
        <is>
          <t>On-page</t>
        </is>
      </c>
      <c r="B6" t="inlineStr">
        <is>
          <t>Unique title (&lt;=60) &amp; meta description (&lt;=155) per page, keyword in title</t>
        </is>
      </c>
      <c r="C6" t="inlineStr">
        <is>
          <t>High</t>
        </is>
      </c>
      <c r="D6" t="inlineStr">
        <is>
          <t>Not yet verified</t>
        </is>
      </c>
    </row>
    <row r="7">
      <c r="A7" t="inlineStr">
        <is>
          <t>On-page</t>
        </is>
      </c>
      <c r="B7" t="inlineStr">
        <is>
          <t>One H1 per page with primary keyword</t>
        </is>
      </c>
      <c r="C7" t="inlineStr">
        <is>
          <t>High</t>
        </is>
      </c>
      <c r="D7" t="inlineStr">
        <is>
          <t>Not yet verified</t>
        </is>
      </c>
    </row>
    <row r="8">
      <c r="A8" t="inlineStr">
        <is>
          <t>On-page</t>
        </is>
      </c>
      <c r="B8" t="inlineStr">
        <is>
          <t>Product pages: unique descriptions, pack sizes, price in AED, FAQ</t>
        </is>
      </c>
      <c r="C8" t="inlineStr">
        <is>
          <t>High</t>
        </is>
      </c>
      <c r="D8" t="inlineStr">
        <is>
          <t>Not yet verified</t>
        </is>
      </c>
    </row>
    <row r="9">
      <c r="A9" t="inlineStr">
        <is>
          <t>Schema</t>
        </is>
      </c>
      <c r="B9" t="inlineStr">
        <is>
          <t>Product, Offer (AED), Organization, LocalBusiness, FAQPage, BreadcrumbList</t>
        </is>
      </c>
      <c r="C9" t="inlineStr">
        <is>
          <t>High</t>
        </is>
      </c>
      <c r="D9" t="inlineStr">
        <is>
          <t>Not yet verified</t>
        </is>
      </c>
    </row>
    <row r="10">
      <c r="A10" t="inlineStr">
        <is>
          <t>Local</t>
        </is>
      </c>
      <c r="B10" t="inlineStr">
        <is>
          <t>Google Business Profile + UAE citations (NAP consistent)</t>
        </is>
      </c>
      <c r="C10" t="inlineStr">
        <is>
          <t>High</t>
        </is>
      </c>
      <c r="D10" t="inlineStr">
        <is>
          <t>Not yet verified</t>
        </is>
      </c>
    </row>
    <row r="11">
      <c r="A11" t="inlineStr">
        <is>
          <t>Technical</t>
        </is>
      </c>
      <c r="B11" t="inlineStr">
        <is>
          <t>HTTPS, www/non-www redirect, canonical tags, no duplicate URLs</t>
        </is>
      </c>
      <c r="C11" t="inlineStr">
        <is>
          <t>High</t>
        </is>
      </c>
      <c r="D11" t="inlineStr">
        <is>
          <t>Not yet verified</t>
        </is>
      </c>
    </row>
    <row r="12">
      <c r="A12" t="inlineStr">
        <is>
          <t>Technical</t>
        </is>
      </c>
      <c r="B12" t="inlineStr">
        <is>
          <t>Core Web Vitals / mobile speed, image compression, WebP</t>
        </is>
      </c>
      <c r="C12" t="inlineStr">
        <is>
          <t>Medium</t>
        </is>
      </c>
      <c r="D12" t="inlineStr">
        <is>
          <t>Not yet verified</t>
        </is>
      </c>
    </row>
    <row r="13">
      <c r="A13" t="inlineStr">
        <is>
          <t>International</t>
        </is>
      </c>
      <c r="B13" t="inlineStr">
        <is>
          <t>Arabic version with hreflang (en-AE / ar-AE)</t>
        </is>
      </c>
      <c r="C13" t="inlineStr">
        <is>
          <t>Medium</t>
        </is>
      </c>
      <c r="D13" t="inlineStr">
        <is>
          <t>Not yet verified</t>
        </is>
      </c>
    </row>
    <row r="14">
      <c r="A14" t="inlineStr">
        <is>
          <t>Content</t>
        </is>
      </c>
      <c r="B14" t="inlineStr">
        <is>
          <t>Blog hub and internal linking from guides to category pages</t>
        </is>
      </c>
      <c r="C14" t="inlineStr">
        <is>
          <t>Medium</t>
        </is>
      </c>
      <c r="D14" t="inlineStr">
        <is>
          <t>Not yet verified</t>
        </is>
      </c>
    </row>
  </sheetData>
  <autoFilter ref="A1:D1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40" customWidth="1" min="1" max="1"/>
  </cols>
  <sheetData>
    <row r="1">
      <c r="A1" s="5" t="inlineStr">
        <is>
          <t>Keyword</t>
        </is>
      </c>
      <c r="B1" s="5" t="inlineStr">
        <is>
          <t>Search Volume</t>
        </is>
      </c>
      <c r="C1" s="5" t="inlineStr">
        <is>
          <t>Keyword Difficulty (KD %)</t>
        </is>
      </c>
      <c r="D1" s="5" t="inlineStr">
        <is>
          <t>CPC (USD)</t>
        </is>
      </c>
      <c r="E1" s="5" t="inlineStr">
        <is>
          <t>Competition</t>
        </is>
      </c>
      <c r="F1" s="5" t="inlineStr">
        <is>
          <t>Intent (Semrush)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0" customWidth="1" min="1" max="1"/>
  </cols>
  <sheetData>
    <row r="1">
      <c r="A1" s="5" t="inlineStr">
        <is>
          <t>Keyword</t>
        </is>
      </c>
      <c r="B1" s="5" t="inlineStr">
        <is>
          <t>Avg Monthly Searches</t>
        </is>
      </c>
      <c r="C1" s="5" t="inlineStr">
        <is>
          <t>Competition</t>
        </is>
      </c>
      <c r="D1" s="5" t="inlineStr">
        <is>
          <t>Top of page bid (low)</t>
        </is>
      </c>
      <c r="E1" s="5" t="inlineStr">
        <is>
          <t>Top of page bid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2026-10-07T10:18:04Z</dcterms:created>
  <dcterms:modified xmlns:dcterms="http://purl.org/dc/terms/" xmlns:xsi="http://www.w3.org/2001/XMLSchema-instance" xsi:type="dcterms:W3CDTF">2026-10-07T10:18:04Z</dcterms:modified>
</cp:coreProperties>
</file>